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81D76539-61F4-451A-A81A-7561FE1D7698}" xr6:coauthVersionLast="47" xr6:coauthVersionMax="47" xr10:uidLastSave="{00000000-0000-0000-0000-000000000000}"/>
  <bookViews>
    <workbookView xWindow="-108" yWindow="-108" windowWidth="23256" windowHeight="12576" activeTab="4" xr2:uid="{CCFB02C8-5EC0-4F47-BA2C-B4C388BCE499}"/>
  </bookViews>
  <sheets>
    <sheet name="pvt_holdings" sheetId="4" r:id="rId1"/>
    <sheet name="TIC" sheetId="1" r:id="rId2"/>
    <sheet name="official_non_official" sheetId="5" r:id="rId3"/>
    <sheet name="foreign_share" sheetId="3" r:id="rId4"/>
    <sheet name="net_sales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H5" i="5"/>
  <c r="I4" i="5"/>
  <c r="H4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V20" i="3" l="1"/>
  <c r="V21" i="3"/>
  <c r="V22" i="3"/>
  <c r="V23" i="3"/>
  <c r="V24" i="3"/>
  <c r="V25" i="3"/>
  <c r="V26" i="3"/>
  <c r="V27" i="3"/>
  <c r="V28" i="3"/>
  <c r="V30" i="3"/>
  <c r="V19" i="3"/>
  <c r="U20" i="3"/>
  <c r="U21" i="3"/>
  <c r="U22" i="3"/>
  <c r="U23" i="3"/>
  <c r="U24" i="3"/>
  <c r="U25" i="3"/>
  <c r="U26" i="3"/>
  <c r="U27" i="3"/>
  <c r="U28" i="3"/>
  <c r="U30" i="3"/>
  <c r="U19" i="3"/>
  <c r="T29" i="3"/>
  <c r="U29" i="3" s="1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5" i="3"/>
  <c r="V6" i="3"/>
  <c r="V7" i="3"/>
  <c r="V8" i="3"/>
  <c r="V9" i="3"/>
  <c r="V10" i="3"/>
  <c r="V11" i="3"/>
  <c r="V12" i="3"/>
  <c r="V13" i="3"/>
  <c r="V14" i="3"/>
  <c r="V16" i="3"/>
  <c r="V5" i="3"/>
  <c r="V29" i="3" l="1"/>
  <c r="U6" i="3"/>
  <c r="U7" i="3"/>
  <c r="U8" i="3"/>
  <c r="U9" i="3"/>
  <c r="U10" i="3"/>
  <c r="U11" i="3"/>
  <c r="U12" i="3"/>
  <c r="U13" i="3"/>
  <c r="U14" i="3"/>
  <c r="U16" i="3"/>
  <c r="U5" i="3"/>
  <c r="T15" i="3"/>
  <c r="V15" i="3" s="1"/>
  <c r="U1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D2A1F-BABB-410F-85EA-B03F68AC5AAD}" keepAlive="1" name="Query - slt_table3" description="Connection to the 'slt_table3' query in the workbook." type="5" refreshedVersion="8" background="1" saveData="1">
    <dbPr connection="Provider=Microsoft.Mashup.OleDb.1;Data Source=$Workbook$;Location=slt_table3;Extended Properties=&quot;&quot;" command="SELECT * FROM [slt_table3]"/>
  </connection>
</connections>
</file>

<file path=xl/sharedStrings.xml><?xml version="1.0" encoding="utf-8"?>
<sst xmlns="http://schemas.openxmlformats.org/spreadsheetml/2006/main" count="20504" uniqueCount="122">
  <si>
    <t>Country</t>
  </si>
  <si>
    <t>Date</t>
  </si>
  <si>
    <t>Austria</t>
  </si>
  <si>
    <t>n.a.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</si>
  <si>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</si>
  <si>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</si>
  <si>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</si>
  <si>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</si>
  <si>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</si>
  <si>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</si>
  <si>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</si>
  <si>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</si>
  <si>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</si>
  <si>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</si>
  <si>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</si>
  <si>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</si>
  <si>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</si>
  <si>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</si>
  <si>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</si>
  <si>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Switzerland</t>
  </si>
  <si>
    <t>Turkey</t>
  </si>
  <si>
    <t>United Kingdom</t>
  </si>
  <si>
    <t>Guernsey</t>
  </si>
  <si>
    <t>Jersey</t>
  </si>
  <si>
    <t>Serbia</t>
  </si>
  <si>
    <t>Hungary</t>
  </si>
  <si>
    <t>Poland</t>
  </si>
  <si>
    <t>Romania</t>
  </si>
  <si>
    <t>Russia</t>
  </si>
  <si>
    <t>Ukraine</t>
  </si>
  <si>
    <t>Kazakhstan</t>
  </si>
  <si>
    <t>Total Europe</t>
  </si>
  <si>
    <t>Memo: Euro Area</t>
  </si>
  <si>
    <t>Memo: European Union</t>
  </si>
  <si>
    <t>Canada</t>
  </si>
  <si>
    <t>Argentina</t>
  </si>
  <si>
    <t>Brazil</t>
  </si>
  <si>
    <t>Chile</t>
  </si>
  <si>
    <t>Colombia</t>
  </si>
  <si>
    <t>Costa Rica</t>
  </si>
  <si>
    <t>Ecuador</t>
  </si>
  <si>
    <t>Guatemala</t>
  </si>
  <si>
    <t>Mexico</t>
  </si>
  <si>
    <t>Panama</t>
  </si>
  <si>
    <t>Peru</t>
  </si>
  <si>
    <t>Uruguay</t>
  </si>
  <si>
    <t>Venezuela</t>
  </si>
  <si>
    <t>Total Latin America</t>
  </si>
  <si>
    <t>Barbados</t>
  </si>
  <si>
    <t>Anguilla</t>
  </si>
  <si>
    <t>Jamaica</t>
  </si>
  <si>
    <t>Trinidad and Tobago</t>
  </si>
  <si>
    <t>Aruba</t>
  </si>
  <si>
    <t>Bahamas</t>
  </si>
  <si>
    <t>Bermuda</t>
  </si>
  <si>
    <t>British Virgin Islands</t>
  </si>
  <si>
    <t>Cayman Islands</t>
  </si>
  <si>
    <t>Curacao</t>
  </si>
  <si>
    <t>Saint Kitts and Nevis</t>
  </si>
  <si>
    <t>Total Caribbean</t>
  </si>
  <si>
    <t>China, Mainland</t>
  </si>
  <si>
    <t>Hong Kong</t>
  </si>
  <si>
    <t>India</t>
  </si>
  <si>
    <t>Indonesia</t>
  </si>
  <si>
    <t>Israel</t>
  </si>
  <si>
    <t>Japan</t>
  </si>
  <si>
    <t>Korea, South</t>
  </si>
  <si>
    <t>Kuwait</t>
  </si>
  <si>
    <t>Lebanon</t>
  </si>
  <si>
    <t>Malaysia</t>
  </si>
  <si>
    <t>Philippines</t>
  </si>
  <si>
    <t>Saudi Arabia</t>
  </si>
  <si>
    <t>Singapore</t>
  </si>
  <si>
    <t>Syria</t>
  </si>
  <si>
    <t>Taiwan</t>
  </si>
  <si>
    <t>Thailand</t>
  </si>
  <si>
    <t>United Arab Emirates</t>
  </si>
  <si>
    <t>Total Asia</t>
  </si>
  <si>
    <t>Liberia</t>
  </si>
  <si>
    <t>Mauritius</t>
  </si>
  <si>
    <t>Morocco</t>
  </si>
  <si>
    <t>South Africa</t>
  </si>
  <si>
    <t>Egypt</t>
  </si>
  <si>
    <t>Total Africa</t>
  </si>
  <si>
    <t>Australia</t>
  </si>
  <si>
    <t>New Zealand</t>
  </si>
  <si>
    <t>Total Other</t>
  </si>
  <si>
    <t>All Countries</t>
  </si>
  <si>
    <t>International</t>
  </si>
  <si>
    <t>Total Regional Orgs.</t>
  </si>
  <si>
    <t>Total IROs</t>
  </si>
  <si>
    <t>Grand Total</t>
  </si>
  <si>
    <t>Of Which: Foreign Official</t>
  </si>
  <si>
    <t>Of Which: Foreign Non-Official</t>
  </si>
  <si>
    <t>Total Holdings of Treasuries</t>
  </si>
  <si>
    <t>Net Sales of Treasuries</t>
  </si>
  <si>
    <t>Holdings of Long-term Treasuries</t>
  </si>
  <si>
    <t>Net Sales of Long-term Treasuries</t>
  </si>
  <si>
    <t>Valuation Change of Long-term Treasuries</t>
  </si>
  <si>
    <t>Holdings of Short-term Treasuries</t>
  </si>
  <si>
    <t>Net Sales of Short-term Treasuries</t>
  </si>
  <si>
    <t xml:space="preserve"> Total Holdings of Treasuries</t>
  </si>
  <si>
    <t xml:space="preserve"> </t>
  </si>
  <si>
    <t>10 Largest Holders (Jan 25)</t>
  </si>
  <si>
    <t>10 Largest Holders</t>
  </si>
  <si>
    <t>% of Total Foreign Holding</t>
  </si>
  <si>
    <t>% of Public Debt Outstanding</t>
  </si>
  <si>
    <t>Total Debt held by the Public</t>
  </si>
  <si>
    <t>Total Foreign Holdings</t>
  </si>
  <si>
    <t>10 Largest Holders (Oct 25)</t>
  </si>
  <si>
    <t>Total Foreign Holding as % of Total Public Debt</t>
  </si>
  <si>
    <t>Month</t>
  </si>
  <si>
    <t>$ of Public Debt Outstanding</t>
  </si>
  <si>
    <t>Total Foreign Holding as % of Total National Debt</t>
  </si>
  <si>
    <t>Total National Debt (public debt + intragovernmental debt)</t>
  </si>
  <si>
    <t>Foreign non-official net sales</t>
  </si>
  <si>
    <t>Foreign official net sales</t>
  </si>
  <si>
    <t>Foreign official net sales (mn)</t>
  </si>
  <si>
    <t>Foreign non-official net sales (mn0</t>
  </si>
  <si>
    <t>Sample mean</t>
  </si>
  <si>
    <t>Sample standard deviation</t>
  </si>
  <si>
    <t>Foreign net sales of Treasuries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</si>
</sst>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&quot;$&quot;###0&quot;mn&quot;"/>
    <numFmt numFmtId="168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0" fontId="0" fillId="0" borderId="0" xfId="1" applyNumberFormat="1" applyFont="1"/>
    <xf numFmtId="1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1" fillId="0" borderId="0" xfId="2" applyNumberFormat="1" applyFont="1"/>
    <xf numFmtId="168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27">
    <dxf>
      <numFmt numFmtId="164" formatCode="[$-409]mmm\-yy;@"/>
    </dxf>
    <dxf>
      <numFmt numFmtId="165" formatCode="&quot;$&quot;###0&quot;mn&quot;"/>
    </dxf>
    <dxf>
      <numFmt numFmtId="0" formatCode="General"/>
    </dxf>
    <dxf>
      <numFmt numFmtId="0" formatCode="General"/>
    </dxf>
    <dxf>
      <numFmt numFmtId="164" formatCode="[$-409]mmm\-yy;@"/>
    </dxf>
    <dxf>
      <numFmt numFmtId="14" formatCode="0.00%"/>
    </dxf>
    <dxf>
      <numFmt numFmtId="14" formatCode="0.00%"/>
    </dxf>
    <dxf>
      <numFmt numFmtId="165" formatCode="&quot;$&quot;###0&quot;mn&quot;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65" formatCode="&quot;$&quot;###0&quot;mn&quot;"/>
    </dxf>
    <dxf>
      <numFmt numFmtId="14" formatCode="0.00%"/>
    </dxf>
    <dxf>
      <numFmt numFmtId="165" formatCode="&quot;$&quot;###0&quot;mn&quot;"/>
    </dxf>
    <dxf>
      <numFmt numFmtId="165" formatCode="&quot;$&quot;###0&quot;mn&quot;"/>
    </dxf>
    <dxf>
      <numFmt numFmtId="164" formatCode="[$-409]mmm\-yy;@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65" formatCode="&quot;$&quot;###0&quot;mn&quot;"/>
    </dxf>
    <dxf>
      <numFmt numFmtId="165" formatCode="&quot;$&quot;###0&quot;mn&quot;"/>
    </dxf>
    <dxf>
      <numFmt numFmtId="165" formatCode="&quot;$&quot;###0&quot;mn&quot;"/>
    </dxf>
    <dxf>
      <numFmt numFmtId="165" formatCode="&quot;$&quot;###0&quot;mn&quot;"/>
    </dxf>
    <dxf>
      <numFmt numFmtId="165" formatCode="&quot;$&quot;###0&quot;mn&quot;"/>
    </dxf>
    <dxf>
      <numFmt numFmtId="165" formatCode="&quot;$&quot;###0&quot;mn&quot;"/>
    </dxf>
    <dxf>
      <numFmt numFmtId="165" formatCode="&quot;$&quot;###0&quot;mn&quot;"/>
    </dxf>
    <dxf>
      <numFmt numFmtId="165" formatCode="&quot;$&quot;###0&quot;mn&quot;"/>
    </dxf>
    <dxf>
      <numFmt numFmtId="164" formatCode="[$-409]mmm\-yy;@"/>
    </dxf>
    <dxf>
      <numFmt numFmtId="165" formatCode="&quot;$&quot;###0&quot;mn&quot;"/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[TICSData.xlsx]pvt_holdings!PivotTable1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Holdings of Treasuries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pvt_holdings!$B$3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pvt_holdings!$A$4:$A$13</c:f>
              <c:strCache>
                <c:ptCount val="10"/>
                <c:pt idx="0">
                  <c:v>Japan</c:v>
                </c:pt>
                <c:pt idx="1">
                  <c:v>United Kingdom</c:v>
                </c:pt>
                <c:pt idx="2">
                  <c:v>China, Mainland</c:v>
                </c:pt>
                <c:pt idx="3">
                  <c:v>Belgium</c:v>
                </c:pt>
                <c:pt idx="4">
                  <c:v>Canada</c:v>
                </c:pt>
                <c:pt idx="5">
                  <c:v>Luxembourg</c:v>
                </c:pt>
                <c:pt idx="6">
                  <c:v>Cayman Islands</c:v>
                </c:pt>
                <c:pt idx="7">
                  <c:v>France</c:v>
                </c:pt>
                <c:pt idx="8">
                  <c:v>Ireland</c:v>
                </c:pt>
                <c:pt idx="9">
                  <c:v>Taiwan</c:v>
                </c:pt>
              </c:strCache>
            </c:strRef>
          </c:cat>
          <c:val>
            <c:numRef>
              <c:f>pvt_holdings!$B$4:$B$13</c:f>
              <c:numCache>
                <c:formatCode>"$"###0"mn"</c:formatCode>
                <c:ptCount val="10"/>
                <c:pt idx="0">
                  <c:v>1199992</c:v>
                </c:pt>
                <c:pt idx="1">
                  <c:v>877911</c:v>
                </c:pt>
                <c:pt idx="2">
                  <c:v>688748</c:v>
                </c:pt>
                <c:pt idx="3">
                  <c:v>468376</c:v>
                </c:pt>
                <c:pt idx="4">
                  <c:v>419131</c:v>
                </c:pt>
                <c:pt idx="5">
                  <c:v>418953</c:v>
                </c:pt>
                <c:pt idx="6">
                  <c:v>418540</c:v>
                </c:pt>
                <c:pt idx="7">
                  <c:v>390242</c:v>
                </c:pt>
                <c:pt idx="8">
                  <c:v>340388</c:v>
                </c:pt>
                <c:pt idx="9">
                  <c:v>309543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8-4046-B4C4-3B3D941A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827424"/>
        <c:axId val="1833848064"/>
      </c:lineChart>
      <c:catAx>
        <c:axId val="183382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48064"/>
        <c:crosses val="autoZero"/>
        <c:auto val="1"/>
        <c:lblAlgn val="ctr"/>
        <c:lblOffset val="100"/>
        <c:noMultiLvlLbl val="0"/>
      </c:catAx>
      <c:valAx>
        <c:axId val="18338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##0&quot;m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2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net_sales!$B$1</c:f>
              <c:strCache>
                <c:ptCount val="1"/>
                <c:pt idx="0">
                  <c:v>Foreign net sales of Treasuries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2F-4781-961D-FCEFB619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net_sales!$A$2:$A$34</c:f>
              <c:numCache>
                <c:formatCode>[$-409]mmm\-yy;@</c:formatCode>
                <c:ptCount val="33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</c:numCache>
            </c:numRef>
          </c:cat>
          <c:val>
            <c:numRef>
              <c:f>net_sales!$B$2:$B$34</c:f>
              <c:numCache>
                <c:formatCode>"$"###0"mn"</c:formatCode>
                <c:ptCount val="33"/>
                <c:pt idx="0">
                  <c:v>76633</c:v>
                </c:pt>
                <c:pt idx="1">
                  <c:v>91709</c:v>
                </c:pt>
                <c:pt idx="2">
                  <c:v>71023</c:v>
                </c:pt>
                <c:pt idx="3">
                  <c:v>44537</c:v>
                </c:pt>
                <c:pt idx="4">
                  <c:v>140437</c:v>
                </c:pt>
                <c:pt idx="5">
                  <c:v>29721</c:v>
                </c:pt>
                <c:pt idx="6">
                  <c:v>42232</c:v>
                </c:pt>
                <c:pt idx="7">
                  <c:v>33059</c:v>
                </c:pt>
                <c:pt idx="8">
                  <c:v>-5824</c:v>
                </c:pt>
                <c:pt idx="9">
                  <c:v>134604</c:v>
                </c:pt>
                <c:pt idx="10">
                  <c:v>32362</c:v>
                </c:pt>
                <c:pt idx="11">
                  <c:v>24952</c:v>
                </c:pt>
                <c:pt idx="12">
                  <c:v>126331</c:v>
                </c:pt>
                <c:pt idx="13">
                  <c:v>50033</c:v>
                </c:pt>
                <c:pt idx="14">
                  <c:v>72934</c:v>
                </c:pt>
                <c:pt idx="15">
                  <c:v>43464</c:v>
                </c:pt>
                <c:pt idx="16">
                  <c:v>84831</c:v>
                </c:pt>
                <c:pt idx="17">
                  <c:v>69728</c:v>
                </c:pt>
                <c:pt idx="18">
                  <c:v>92238</c:v>
                </c:pt>
                <c:pt idx="19">
                  <c:v>74624</c:v>
                </c:pt>
                <c:pt idx="20">
                  <c:v>96102</c:v>
                </c:pt>
                <c:pt idx="21">
                  <c:v>-26409</c:v>
                </c:pt>
                <c:pt idx="22">
                  <c:v>3335</c:v>
                </c:pt>
                <c:pt idx="23">
                  <c:v>28530</c:v>
                </c:pt>
                <c:pt idx="24">
                  <c:v>167509</c:v>
                </c:pt>
                <c:pt idx="25">
                  <c:v>144606</c:v>
                </c:pt>
                <c:pt idx="26">
                  <c:v>-70295</c:v>
                </c:pt>
                <c:pt idx="27">
                  <c:v>138287</c:v>
                </c:pt>
                <c:pt idx="28">
                  <c:v>10077</c:v>
                </c:pt>
                <c:pt idx="29">
                  <c:v>41517</c:v>
                </c:pt>
                <c:pt idx="30">
                  <c:v>73346</c:v>
                </c:pt>
                <c:pt idx="31">
                  <c:v>3815</c:v>
                </c:pt>
                <c:pt idx="32">
                  <c:v>-39379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F-4781-961D-FCEFB619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540927"/>
        <c:axId val="1134541407"/>
      </c:barChart>
      <c:dateAx>
        <c:axId val="1134540927"/>
        <c:scaling>
          <c:orientation val="minMax"/>
        </c:scaling>
        <c:delete val="0"/>
        <c:axPos val="b"/>
        <c:numFmt formatCode="[$-409]mmm\-yy;@" sourceLinked="1"/>
        <c:majorTickMark val="cross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41407"/>
        <c:crosses val="autoZero"/>
        <c:auto val="1"/>
        <c:lblOffset val="100"/>
        <c:baseTimeUnit val="months"/>
      </c:dateAx>
      <c:valAx>
        <c:axId val="113454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##0&quot;m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4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914400</xdr:colOff>
      <xdr:row>1</xdr:row>
      <xdr:rowOff>102870</xdr:rowOff>
    </xdr:from>
    <xdr:to>
      <xdr:col>8</xdr:col>
      <xdr:colOff>716280</xdr:colOff>
      <xdr:row>25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56C09-EDF8-B652-12F8-E21AECD11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4</xdr:row>
      <xdr:rowOff>0</xdr:rowOff>
    </xdr:from>
    <xdr:to>
      <xdr:col>26</xdr:col>
      <xdr:colOff>60960</xdr:colOff>
      <xdr:row>4</xdr:row>
      <xdr:rowOff>60960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269882-52A1-282E-90C1-09974F7BF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8600" y="9144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26</xdr:col>
      <xdr:colOff>60960</xdr:colOff>
      <xdr:row>4</xdr:row>
      <xdr:rowOff>60960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92ECA-27DE-641C-E6FD-EBAB4574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8600" y="9144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3</xdr:row>
      <xdr:rowOff>34290</xdr:rowOff>
    </xdr:from>
    <xdr:to>
      <xdr:col>18</xdr:col>
      <xdr:colOff>541020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09F82-35E0-9202-B262-F9881D5E3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" refreshedDate="46012.464118518517" createdVersion="8" refreshedVersion="8" minRefreshableVersion="3" recordCount="6370" xr:uid="{609873EF-7666-4A37-93A0-DDED04E20785}">
  <cacheSource type="worksheet">
    <worksheetSource name="Table5"/>
  </cacheSource>
  <cacheFields count="13">
    <cacheField name="Country" numFmtId="0">
      <sharedItems count="91">
        <s v="Austria"/>
        <s v="Belgium"/>
        <s v="Cyprus"/>
        <s v="Denmark"/>
        <s v="Finland"/>
        <s v="France"/>
        <s v="Germany"/>
        <s v="Greece"/>
        <s v="Ireland"/>
        <s v="Italy"/>
        <s v="Luxembourg"/>
        <s v="Netherlands"/>
        <s v="Norway"/>
        <s v="Portugal"/>
        <s v="Spain"/>
        <s v="Sweden"/>
        <s v="Switzerland"/>
        <s v="Turkey"/>
        <s v="United Kingdom"/>
        <s v="Guernsey"/>
        <s v="Jersey"/>
        <s v="Serbia"/>
        <s v="Hungary"/>
        <s v="Poland"/>
        <s v="Romania"/>
        <s v="Russia"/>
        <s v="Ukraine"/>
        <s v="Kazakhstan"/>
        <s v="Total Europe"/>
        <s v="Memo: Euro Area"/>
        <s v="Memo: European Union"/>
        <s v="Canada"/>
        <s v="Argentina"/>
        <s v="Brazil"/>
        <s v="Chile"/>
        <s v="Colombia"/>
        <s v="Costa Rica"/>
        <s v="Ecuador"/>
        <s v="Guatemala"/>
        <s v="Mexico"/>
        <s v="Panama"/>
        <s v="Peru"/>
        <s v="Uruguay"/>
        <s v="Venezuela"/>
        <s v="Total Latin America"/>
        <s v="Barbados"/>
        <s v="Anguilla"/>
        <s v="Jamaica"/>
        <s v="Trinidad and Tobago"/>
        <s v="Aruba"/>
        <s v="Bahamas"/>
        <s v="Bermuda"/>
        <s v="British Virgin Islands"/>
        <s v="Cayman Islands"/>
        <s v="Curacao"/>
        <s v="Saint Kitts and Nevis"/>
        <s v="Total Caribbean"/>
        <s v="China, Mainland"/>
        <s v="Hong Kong"/>
        <s v="India"/>
        <s v="Indonesia"/>
        <s v="Israel"/>
        <s v="Japan"/>
        <s v="Korea, South"/>
        <s v="Kuwait"/>
        <s v="Lebanon"/>
        <s v="Malaysia"/>
        <s v="Philippines"/>
        <s v="Saudi Arabia"/>
        <s v="Singapore"/>
        <s v="Syria"/>
        <s v="Taiwan"/>
        <s v="Thailand"/>
        <s v="United Arab Emirates"/>
        <s v="Total Asia"/>
        <s v="Liberia"/>
        <s v="Mauritius"/>
        <s v="Morocco"/>
        <s v="South Africa"/>
        <s v="Egypt"/>
        <s v="Total Africa"/>
        <s v="Australia"/>
        <s v="New Zealand"/>
        <s v="Total Other"/>
        <s v="All Countries"/>
        <s v="International"/>
        <s v="Total Regional Orgs."/>
        <s v="Total IROs"/>
        <s v="Grand Total"/>
        <s v="Of Which: Foreign Official"/>
        <s v="Of Which: Foreign Non-Official"/>
      </sharedItems>
    </cacheField>
    <cacheField name="Date" numFmtId="164">
      <sharedItems containsSemiMixedTypes="0" containsNonDate="0" containsDate="1" containsString="0" minDate="2020-01-01T00:00:00" maxDate="2025-10-02T00:00:00" count="70">
        <d v="2025-10-01T00:00:00"/>
        <d v="2025-09-01T00:00:00"/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d v="2022-12-01T00:00:00"/>
        <d v="2022-11-01T00:00:00"/>
        <d v="2022-10-01T00:00:00"/>
        <d v="2022-09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00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3-01T00:00:00"/>
        <d v="2021-02-01T00:00:00"/>
        <d v="2021-01-01T00:00:00"/>
        <d v="2020-12-01T00:00:00"/>
        <d v="2020-11-01T00:00:00"/>
        <d v="2020-10-01T00:00:00"/>
        <d v="2020-09-01T00:00:00"/>
        <d v="2020-08-01T00:00:00"/>
        <d v="2020-07-01T00:00:00"/>
        <d v="2020-06-01T00:00:00"/>
        <d v="2020-05-01T00:00:00"/>
        <d v="2020-04-01T00:00:00"/>
        <d v="2020-03-01T00:00:00"/>
        <d v="2020-02-01T00:00:00"/>
        <d v="2020-01-01T00:00:00"/>
      </sharedItems>
      <fieldGroup par="11"/>
    </cacheField>
    <cacheField name="Total Holdings of Treasuries" numFmtId="165">
      <sharedItems containsMixedTypes="1" containsNumber="1" containsInteger="1" minValue="23" maxValue="9261833" count="5082">
        <n v="5356"/>
        <n v="5878"/>
        <n v="5786"/>
        <n v="5780"/>
        <n v="6300"/>
        <n v="5327"/>
        <n v="5250"/>
        <n v="5979"/>
        <n v="5940"/>
        <n v="5098"/>
        <n v="6729"/>
        <n v="6633"/>
        <n v="6231"/>
        <n v="6530"/>
        <n v="5532"/>
        <n v="5635"/>
        <n v="5678"/>
        <n v="5276"/>
        <n v="5163"/>
        <n v="5078"/>
        <n v="4217"/>
        <n v="4820"/>
        <n v="5646"/>
        <n v="5971"/>
        <n v="5768"/>
        <n v="5792"/>
        <n v="6439"/>
        <n v="5480"/>
        <n v="4335"/>
        <n v="5058"/>
        <n v="5704"/>
        <n v="5572"/>
        <n v="5367"/>
        <n v="6034"/>
        <n v="4850"/>
        <n v="4140"/>
        <n v="4354"/>
        <n v="4446"/>
        <n v="4514"/>
        <n v="5037"/>
        <n v="3684"/>
        <n v="3870"/>
        <n v="3700"/>
        <n v="3730"/>
        <n v="3579"/>
        <n v="4540"/>
        <n v="3740"/>
        <n v="3742"/>
        <n v="4182"/>
        <n v="3729"/>
        <n v="3606"/>
        <n v="3980"/>
        <n v="3636"/>
        <n v="3670"/>
        <n v="3721"/>
        <n v="3665"/>
        <n v="4055"/>
        <n v="4550"/>
        <n v="4121"/>
        <n v="4306"/>
        <n v="4678"/>
        <n v="4744"/>
        <n v="4808"/>
        <n v="4766"/>
        <n v="4621"/>
        <n v="4679"/>
        <n v="4579"/>
        <n v="4503"/>
        <n v="4125"/>
        <n v="468376"/>
        <n v="466831"/>
        <n v="454291"/>
        <n v="428249"/>
        <n v="433362"/>
        <n v="415453"/>
        <n v="411019"/>
        <n v="402069"/>
        <n v="394664"/>
        <n v="377671"/>
        <n v="374583"/>
        <n v="361276"/>
        <n v="349624"/>
        <n v="366602"/>
        <n v="324992"/>
        <n v="315912"/>
        <n v="318004"/>
        <n v="313039"/>
        <n v="312449"/>
        <n v="317143"/>
        <n v="320038"/>
        <n v="293059"/>
        <n v="314387"/>
        <n v="296477"/>
        <n v="285417"/>
        <n v="317042"/>
        <n v="316698"/>
        <n v="318712"/>
        <n v="331760"/>
        <n v="335540"/>
        <n v="336558"/>
        <n v="336991"/>
        <n v="330869"/>
        <n v="331058"/>
        <n v="351175"/>
        <n v="334369"/>
        <n v="327216"/>
        <n v="325004"/>
        <n v="287801"/>
        <n v="285409"/>
        <n v="273485"/>
        <n v="268216"/>
        <n v="255625"/>
        <n v="264484"/>
        <n v="258380"/>
        <n v="242983"/>
        <n v="271633"/>
        <n v="224881"/>
        <n v="225769"/>
        <n v="220858"/>
        <n v="227728"/>
        <n v="220454"/>
        <n v="228488"/>
        <n v="236438"/>
        <n v="234814"/>
        <n v="235825"/>
        <n v="236710"/>
        <n v="248188"/>
        <n v="253461"/>
        <n v="240516"/>
        <n v="239514"/>
        <n v="218079"/>
        <n v="214932"/>
        <n v="211833"/>
        <n v="218816"/>
        <n v="212098"/>
        <n v="210177"/>
        <n v="206100"/>
        <n v="218029"/>
        <n v="206537"/>
        <n v="902"/>
        <n v="823"/>
        <n v="881"/>
        <n v="905"/>
        <n v="930"/>
        <n v="796"/>
        <n v="860"/>
        <n v="748"/>
        <n v="762"/>
        <n v="828"/>
        <n v="816"/>
        <n v="841"/>
        <n v="943"/>
        <n v="843"/>
        <n v="799"/>
        <n v="710"/>
        <n v="708"/>
        <n v="621"/>
        <n v="630"/>
        <n v="506"/>
        <n v="549"/>
        <n v="420"/>
        <n v="383"/>
        <n v="390"/>
        <n v="395"/>
        <n v="389"/>
        <n v="394"/>
        <n v="360"/>
        <n v="362"/>
        <n v="345"/>
        <n v="328"/>
        <n v="323"/>
        <n v="317"/>
        <n v="310"/>
        <n v="307"/>
        <n v="313"/>
        <n v="319"/>
        <n v="295"/>
        <n v="293"/>
        <n v="287"/>
        <n v="286"/>
        <n v="238"/>
        <n v="174"/>
        <n v="172"/>
        <n v="162"/>
        <n v="161"/>
        <n v="183"/>
        <n v="189"/>
        <n v="186"/>
        <n v="207"/>
        <n v="198"/>
        <n v="205"/>
        <n v="208"/>
        <n v="200"/>
        <n v="191"/>
        <n v="152"/>
        <n v="155"/>
        <n v="165"/>
        <n v="166"/>
        <n v="170"/>
        <n v="265"/>
        <n v="261"/>
        <n v="219"/>
        <n v="209"/>
        <n v="9190"/>
        <n v="9979"/>
        <n v="9893"/>
        <n v="10332"/>
        <n v="11036"/>
        <n v="11706"/>
        <n v="13325"/>
        <n v="13622"/>
        <n v="11710"/>
        <n v="12712"/>
        <n v="13642"/>
        <n v="12547"/>
        <n v="12625"/>
        <n v="12924"/>
        <n v="13164"/>
        <n v="13742"/>
        <n v="12958"/>
        <n v="13610"/>
        <n v="14043"/>
        <n v="13862"/>
        <n v="12044"/>
        <n v="11712"/>
        <n v="13048"/>
        <n v="12231"/>
        <n v="12170"/>
        <n v="12472"/>
        <n v="13828"/>
        <n v="14167"/>
        <n v="14011"/>
        <n v="14017"/>
        <n v="14684"/>
        <n v="14226"/>
        <n v="12668"/>
        <n v="13059"/>
        <n v="12336"/>
        <n v="12507"/>
        <n v="11362"/>
        <n v="14078"/>
        <n v="14047"/>
        <n v="14855"/>
        <n v="14725"/>
        <n v="14469"/>
        <n v="15737"/>
        <n v="14515"/>
        <n v="14589"/>
        <n v="15050"/>
        <n v="14797"/>
        <n v="14951"/>
        <n v="15203"/>
        <n v="15326"/>
        <n v="15575"/>
        <n v="17319"/>
        <n v="17546"/>
        <n v="17395"/>
        <n v="16615"/>
        <n v="16915"/>
        <n v="17864"/>
        <n v="17884"/>
        <n v="16878"/>
        <n v="16907"/>
        <n v="17797"/>
        <n v="17512"/>
        <n v="17542"/>
        <n v="19157"/>
        <n v="17634"/>
        <n v="15182"/>
        <n v="16011"/>
        <n v="16824"/>
        <n v="18676"/>
        <n v="18690"/>
        <n v="9957"/>
        <n v="10147"/>
        <n v="10338"/>
        <n v="9586"/>
        <n v="9524"/>
        <n v="9261"/>
        <n v="9560"/>
        <n v="9198"/>
        <n v="8571"/>
        <n v="8091"/>
        <n v="6974"/>
        <n v="7181"/>
        <n v="7092"/>
        <n v="7179"/>
        <n v="6887"/>
        <n v="6747"/>
        <n v="6598"/>
        <n v="6593"/>
        <n v="6464"/>
        <n v="6711"/>
        <n v="6677"/>
        <n v="6959"/>
        <n v="6784"/>
        <n v="6703"/>
        <n v="7120"/>
        <n v="7208"/>
        <n v="7561"/>
        <n v="7507"/>
        <n v="7166"/>
        <n v="6780"/>
        <n v="6815"/>
        <n v="6618"/>
        <n v="6391"/>
        <n v="6460"/>
        <n v="5808"/>
        <n v="5613"/>
        <n v="5694"/>
        <n v="5885"/>
        <n v="5764"/>
        <n v="5651"/>
        <n v="6152"/>
        <n v="7043"/>
        <n v="7357"/>
        <n v="7830"/>
        <n v="8236"/>
        <n v="8453"/>
        <n v="7114"/>
        <n v="6962"/>
        <n v="6453"/>
        <n v="6512"/>
        <n v="6405"/>
        <n v="6349"/>
        <n v="5984"/>
        <n v="5527"/>
        <n v="5267"/>
        <n v="5713"/>
        <n v="6049"/>
        <n v="6278"/>
        <n v="6129"/>
        <n v="5908"/>
        <n v="5419"/>
        <n v="5649"/>
        <n v="5570"/>
        <n v="5585"/>
        <n v="5445"/>
        <n v="5602"/>
        <n v="6130"/>
        <n v="6185"/>
        <n v="390242"/>
        <n v="376409"/>
        <n v="390241"/>
        <n v="391993"/>
        <n v="374781"/>
        <n v="375103"/>
        <n v="360557"/>
        <n v="363055"/>
        <n v="354029"/>
        <n v="335391"/>
        <n v="332299"/>
        <n v="332490"/>
        <n v="330148"/>
        <n v="328932"/>
        <n v="312484"/>
        <n v="291120"/>
        <n v="305385"/>
        <n v="283023"/>
        <n v="276614"/>
        <n v="271899"/>
        <n v="271008"/>
        <n v="256358"/>
        <n v="236652"/>
        <n v="244669"/>
        <n v="222420"/>
        <n v="215634"/>
        <n v="217340"/>
        <n v="219270"/>
        <n v="207805"/>
        <n v="201957"/>
        <n v="187228"/>
        <n v="173862"/>
        <n v="171148"/>
        <n v="178377"/>
        <n v="180295"/>
        <n v="194736"/>
        <n v="217399"/>
        <n v="206734"/>
        <n v="232740"/>
        <n v="231848"/>
        <n v="236276"/>
        <n v="242544"/>
        <n v="242872"/>
        <n v="246039"/>
        <n v="238700"/>
        <n v="232932"/>
        <n v="223922"/>
        <n v="227289"/>
        <n v="239722"/>
        <n v="241961"/>
        <n v="238054"/>
        <n v="235941"/>
        <n v="226705"/>
        <n v="108776"/>
        <n v="107221"/>
        <n v="114405"/>
        <n v="108685"/>
        <n v="121500"/>
        <n v="111270"/>
        <n v="132375"/>
        <n v="136946"/>
        <n v="135071"/>
        <n v="133290"/>
        <n v="130001"/>
        <n v="144139"/>
        <n v="130501"/>
        <n v="137705"/>
        <n v="156027"/>
        <n v="147623"/>
        <n v="133966"/>
        <n v="115235"/>
        <n v="110178"/>
        <n v="101259"/>
        <n v="107734"/>
        <n v="100575"/>
        <n v="101872"/>
        <n v="110397"/>
        <n v="111371"/>
        <n v="103786"/>
        <n v="105526"/>
        <n v="97037"/>
        <n v="99918"/>
        <n v="102349"/>
        <n v="103783"/>
        <n v="99078"/>
        <n v="104924"/>
        <n v="90850"/>
        <n v="91295"/>
        <n v="91860"/>
        <n v="94101"/>
        <n v="95324"/>
        <n v="94347"/>
        <n v="91384"/>
        <n v="86132"/>
        <n v="87770"/>
        <n v="84641"/>
        <n v="88371"/>
        <n v="88295"/>
        <n v="87616"/>
        <n v="84048"/>
        <n v="79388"/>
        <n v="77539"/>
        <n v="79516"/>
        <n v="77693"/>
        <n v="80142"/>
        <n v="79754"/>
        <n v="85894"/>
        <n v="83886"/>
        <n v="88782"/>
        <n v="87543"/>
        <n v="95379"/>
        <n v="91575"/>
        <n v="92811"/>
        <n v="93795"/>
        <n v="90548"/>
        <n v="84255"/>
        <n v="83361"/>
        <n v="82264"/>
        <n v="83799"/>
        <n v="83552"/>
        <n v="82434"/>
        <n v="80459"/>
        <n v="83332"/>
        <n v="77147"/>
        <n v="77850"/>
        <n v="77630"/>
        <n v="73538"/>
        <n v="74786"/>
        <n v="75363"/>
        <n v="72988"/>
        <n v="74178"/>
        <n v="74675"/>
        <n v="78722"/>
        <n v="78192"/>
        <n v="79363"/>
        <n v="80582"/>
        <n v="77710"/>
        <n v="77285"/>
        <n v="85963"/>
        <n v="83730"/>
        <s v="n.a."/>
        <n v="340388"/>
        <n v="340625"/>
        <n v="343751"/>
        <n v="324122"/>
        <n v="317477"/>
        <n v="327331"/>
        <n v="339883"/>
        <n v="329281"/>
        <n v="339034"/>
        <n v="329697"/>
        <n v="339410"/>
        <n v="343139"/>
        <n v="336739"/>
        <n v="356240"/>
        <n v="350904"/>
        <n v="341180"/>
        <n v="336127"/>
        <n v="336823"/>
        <n v="330024"/>
        <n v="340647"/>
        <n v="341174"/>
        <n v="334600"/>
        <n v="349641"/>
        <n v="304687"/>
        <n v="287896"/>
        <n v="279352"/>
        <n v="281430"/>
        <n v="257115"/>
        <n v="271291"/>
        <n v="234667"/>
        <n v="234411"/>
        <n v="240315"/>
        <n v="240869"/>
        <n v="243046"/>
        <n v="241728"/>
        <n v="241488"/>
        <n v="245122"/>
        <n v="265429"/>
        <n v="275571"/>
        <n v="277547"/>
        <n v="285445"/>
        <n v="288591"/>
        <n v="309446"/>
        <n v="315723"/>
        <n v="314675"/>
        <n v="308464"/>
        <n v="334495"/>
        <n v="324100"/>
        <n v="309568"/>
        <n v="326375"/>
        <n v="319845"/>
        <n v="322724"/>
        <n v="304891"/>
        <n v="307046"/>
        <n v="309786"/>
        <n v="315996"/>
        <n v="313621"/>
        <n v="318148"/>
        <n v="314159"/>
        <n v="316268"/>
        <n v="315705"/>
        <n v="335171"/>
        <n v="330716"/>
        <n v="330180"/>
        <n v="324207"/>
        <n v="301311"/>
        <n v="271602"/>
        <n v="282768"/>
        <n v="271717"/>
        <n v="65485"/>
        <n v="62953"/>
        <n v="63104"/>
        <n v="62757"/>
        <n v="60907"/>
        <n v="60978"/>
        <n v="60974"/>
        <n v="59841"/>
        <n v="58896"/>
        <n v="58860"/>
        <n v="60022"/>
        <n v="59538"/>
        <n v="58327"/>
        <n v="58897"/>
        <n v="56618"/>
        <n v="54962"/>
        <n v="55033"/>
        <n v="53858"/>
        <n v="49523"/>
        <n v="43874"/>
        <n v="45123"/>
        <n v="45542"/>
        <n v="44870"/>
        <n v="44627"/>
        <n v="44257"/>
        <n v="45255"/>
        <n v="45506"/>
        <n v="46199"/>
        <n v="46838"/>
        <n v="49223"/>
        <n v="43198"/>
        <n v="39538"/>
        <n v="40107"/>
        <n v="40230"/>
        <n v="39198"/>
        <n v="38098"/>
        <n v="36791"/>
        <n v="36830"/>
        <n v="37908"/>
        <n v="40249"/>
        <n v="40393"/>
        <n v="41920"/>
        <n v="42599"/>
        <n v="44243"/>
        <n v="45400"/>
        <n v="42141"/>
        <n v="42340"/>
        <n v="44022"/>
        <n v="43559"/>
        <n v="41814"/>
        <n v="41023"/>
        <n v="41839"/>
        <n v="39946"/>
        <n v="38229"/>
        <n v="37668"/>
        <n v="36536"/>
        <n v="36806"/>
        <n v="38326"/>
        <n v="39099"/>
        <n v="41350"/>
        <n v="44173"/>
        <n v="43977"/>
        <n v="43465"/>
        <n v="42640"/>
        <n v="42438"/>
        <n v="41363"/>
        <n v="41463"/>
        <n v="44841"/>
        <n v="46823"/>
        <n v="44635"/>
        <n v="418953"/>
        <n v="421048"/>
        <n v="410986"/>
        <n v="405006"/>
        <n v="404581"/>
        <n v="412617"/>
        <n v="410889"/>
        <n v="412415"/>
        <n v="412403"/>
        <n v="409899"/>
        <n v="423890"/>
        <n v="417799"/>
        <n v="413519"/>
        <n v="407141"/>
        <n v="395730"/>
        <n v="389324"/>
        <n v="374176"/>
        <n v="367276"/>
        <n v="359222"/>
        <n v="366215"/>
        <n v="355773"/>
        <n v="348041"/>
        <n v="339922"/>
        <n v="371248"/>
        <n v="345366"/>
        <n v="373649"/>
        <n v="365785"/>
        <n v="352001"/>
        <n v="330655"/>
        <n v="331453"/>
        <n v="332252"/>
        <n v="328547"/>
        <n v="327166"/>
        <n v="329314"/>
        <n v="311263"/>
        <n v="298408"/>
        <n v="299852"/>
        <n v="308358"/>
        <n v="306547"/>
        <n v="309266"/>
        <n v="296470"/>
        <n v="296181"/>
        <n v="303185"/>
        <n v="316394"/>
        <n v="312988"/>
        <n v="327819"/>
        <n v="333275"/>
        <n v="314331"/>
        <n v="312016"/>
        <n v="294170"/>
        <n v="291655"/>
        <n v="302088"/>
        <n v="287589"/>
        <n v="290399"/>
        <n v="282805"/>
        <n v="282059"/>
        <n v="280887"/>
        <n v="287667"/>
        <n v="267847"/>
        <n v="266187"/>
        <n v="262453"/>
        <n v="268845"/>
        <n v="264701"/>
        <n v="267333"/>
        <n v="262684"/>
        <n v="265525"/>
        <n v="246137"/>
        <n v="260808"/>
        <n v="255212"/>
        <n v="79839"/>
        <n v="78588"/>
        <n v="79809"/>
        <n v="82738"/>
        <n v="81657"/>
        <n v="79471"/>
        <n v="85550"/>
        <n v="90879"/>
        <n v="83143"/>
        <n v="79355"/>
        <n v="78530"/>
        <n v="84326"/>
        <n v="79645"/>
        <n v="85235"/>
        <n v="78236"/>
        <n v="76388"/>
        <n v="71855"/>
        <n v="71957"/>
        <n v="71708"/>
        <n v="68416"/>
        <n v="69682"/>
        <n v="72025"/>
        <n v="73554"/>
        <n v="71045"/>
        <n v="66027"/>
        <n v="68511"/>
        <n v="73158"/>
        <n v="72290"/>
        <n v="74804"/>
        <n v="71175"/>
        <n v="74441"/>
        <n v="75032"/>
        <n v="72644"/>
        <n v="73672"/>
        <n v="67357"/>
        <n v="71862"/>
        <n v="63795"/>
        <n v="66211"/>
        <n v="66278"/>
        <n v="66398"/>
        <n v="64475"/>
        <n v="64419"/>
        <n v="63109"/>
        <n v="64724"/>
        <n v="65467"/>
        <n v="60649"/>
        <n v="69121"/>
        <n v="68269"/>
        <n v="67634"/>
        <n v="67115"/>
        <n v="65328"/>
        <n v="68654"/>
        <n v="72701"/>
        <n v="63673"/>
        <n v="65018"/>
        <n v="65825"/>
        <n v="66147"/>
        <n v="69773"/>
        <n v="69672"/>
        <n v="71729"/>
        <n v="69661"/>
        <n v="69203"/>
        <n v="68537"/>
        <n v="71226"/>
        <n v="69360"/>
        <n v="67863"/>
        <n v="66205"/>
        <n v="69109"/>
        <n v="70895"/>
        <n v="67713"/>
        <n v="193720"/>
        <n v="215925"/>
        <n v="214896"/>
        <n v="207957"/>
        <n v="195124"/>
        <n v="187321"/>
        <n v="195851"/>
        <n v="200099"/>
        <n v="161804"/>
        <n v="173140"/>
        <n v="157604"/>
        <n v="162529"/>
        <n v="167081"/>
        <n v="173496"/>
        <n v="165983"/>
        <n v="160314"/>
        <n v="157074"/>
        <n v="146069"/>
        <n v="142339"/>
        <n v="151867"/>
        <n v="141340"/>
        <n v="150124"/>
        <n v="139260"/>
        <n v="113636"/>
        <n v="121232"/>
        <n v="121583"/>
        <n v="126331"/>
        <n v="127469"/>
        <n v="126405"/>
        <n v="121962"/>
        <n v="122802"/>
        <n v="119132"/>
        <n v="116597"/>
        <n v="104440"/>
        <n v="91958"/>
        <n v="97723"/>
        <n v="95652"/>
        <n v="99607"/>
        <n v="111107"/>
        <n v="112523"/>
        <n v="112919"/>
        <n v="109023"/>
        <n v="115616"/>
        <n v="116749"/>
        <n v="120147"/>
        <n v="115762"/>
        <n v="98330"/>
        <n v="100206"/>
        <n v="105012"/>
        <n v="120845"/>
        <n v="119932"/>
        <n v="119065"/>
        <n v="115840"/>
        <n v="113529"/>
        <n v="109200"/>
        <n v="94272"/>
        <n v="97543"/>
        <n v="91418"/>
        <n v="87538"/>
        <n v="88988"/>
        <n v="82946"/>
        <n v="90523"/>
        <n v="90634"/>
        <n v="89856"/>
        <n v="88720"/>
        <n v="87558"/>
        <n v="93217"/>
        <n v="98020"/>
        <n v="103282"/>
        <n v="97724"/>
        <n v="2019"/>
        <n v="2041"/>
        <n v="2116"/>
        <n v="2171"/>
        <n v="1978"/>
        <n v="2122"/>
        <n v="2108"/>
        <n v="2010"/>
        <n v="1935"/>
        <n v="1897"/>
        <n v="5936"/>
        <n v="6043"/>
        <n v="6382"/>
        <n v="6458"/>
        <n v="6156"/>
        <n v="6171"/>
        <n v="6135"/>
        <n v="5986"/>
        <n v="5996"/>
        <n v="5634"/>
        <n v="5645"/>
        <n v="5639"/>
        <n v="5556"/>
        <n v="5244"/>
        <n v="5143"/>
        <n v="5314"/>
        <n v="5231"/>
        <n v="5262"/>
        <n v="5903"/>
        <n v="5271"/>
        <n v="5095"/>
        <n v="5717"/>
        <n v="5733"/>
        <n v="5633"/>
        <n v="5623"/>
        <n v="5151"/>
        <n v="4996"/>
        <n v="4630"/>
        <n v="4696"/>
        <n v="5184"/>
        <n v="5198"/>
        <n v="5255"/>
        <n v="5241"/>
        <n v="5307"/>
        <n v="5605"/>
        <n v="5393"/>
        <n v="5349"/>
        <n v="5550"/>
        <n v="5212"/>
        <n v="5167"/>
        <n v="5132"/>
        <n v="5308"/>
        <n v="5750"/>
        <n v="4892"/>
        <n v="4674"/>
        <n v="4853"/>
        <n v="5106"/>
        <n v="5209"/>
        <n v="5108"/>
        <n v="5362"/>
        <n v="5286"/>
        <n v="5133"/>
        <n v="5077"/>
        <n v="5343"/>
        <n v="4986"/>
        <n v="5043"/>
        <n v="5683"/>
        <n v="5661"/>
        <n v="81037"/>
        <n v="70698"/>
        <n v="77332"/>
        <n v="78376"/>
        <n v="63320"/>
        <n v="69431"/>
        <n v="69192"/>
        <n v="60958"/>
        <n v="60730"/>
        <n v="59286"/>
        <n v="59370"/>
        <n v="64856"/>
        <n v="65293"/>
        <n v="66133"/>
        <n v="63162"/>
        <n v="64221"/>
        <n v="65434"/>
        <n v="63286"/>
        <n v="62051"/>
        <n v="56906"/>
        <n v="55461"/>
        <n v="54680"/>
        <n v="54087"/>
        <n v="59027"/>
        <n v="54386"/>
        <n v="53408"/>
        <n v="54537"/>
        <n v="52668"/>
        <n v="54478"/>
        <n v="54534"/>
        <n v="54859"/>
        <n v="55565"/>
        <n v="50515"/>
        <n v="40313"/>
        <n v="36906"/>
        <n v="36010"/>
        <n v="31893"/>
        <n v="32982"/>
        <n v="29918"/>
        <n v="28774"/>
        <n v="27046"/>
        <n v="29459"/>
        <n v="26049"/>
        <n v="26967"/>
        <n v="28989"/>
        <n v="27366"/>
        <n v="24858"/>
        <n v="26248"/>
        <n v="23257"/>
        <n v="24866"/>
        <n v="27876"/>
        <n v="25751"/>
        <n v="30370"/>
        <n v="28183"/>
        <n v="28208"/>
        <n v="28693"/>
        <n v="28676"/>
        <n v="30698"/>
        <n v="35292"/>
        <n v="33725"/>
        <n v="35234"/>
        <n v="41258"/>
        <n v="41284"/>
        <n v="41943"/>
        <n v="43954"/>
        <n v="47333"/>
        <n v="44003"/>
        <n v="43783"/>
        <n v="46160"/>
        <n v="43885"/>
        <n v="48682"/>
        <n v="48999"/>
        <n v="48400"/>
        <n v="48575"/>
        <n v="48501"/>
        <n v="48684"/>
        <n v="52481"/>
        <n v="55948"/>
        <n v="51601"/>
        <n v="48405"/>
        <n v="49152"/>
        <n v="50990"/>
        <n v="50382"/>
        <n v="51327"/>
        <n v="49567"/>
        <n v="47963"/>
        <n v="46544"/>
        <n v="46673"/>
        <n v="45384"/>
        <n v="45541"/>
        <n v="44331"/>
        <n v="45469"/>
        <n v="46887"/>
        <n v="46125"/>
        <n v="44892"/>
        <n v="44771"/>
        <n v="43830"/>
        <n v="44051"/>
        <n v="42805"/>
        <n v="39477"/>
        <n v="39550"/>
        <n v="38274"/>
        <n v="38865"/>
        <n v="39451"/>
        <n v="42264"/>
        <n v="48451"/>
        <n v="46258"/>
        <n v="47088"/>
        <n v="48258"/>
        <n v="50306"/>
        <n v="48209"/>
        <n v="48183"/>
        <n v="53132"/>
        <n v="53476"/>
        <n v="55430"/>
        <n v="54514"/>
        <n v="48276"/>
        <n v="40227"/>
        <n v="39978"/>
        <n v="43328"/>
        <n v="43190"/>
        <n v="43747"/>
        <n v="43241"/>
        <n v="42974"/>
        <n v="41330"/>
        <n v="40027"/>
        <n v="40750"/>
        <n v="42186"/>
        <n v="40272"/>
        <n v="37686"/>
        <n v="37749"/>
        <n v="38190"/>
        <n v="38328"/>
        <n v="40006"/>
        <n v="39075"/>
        <n v="37141"/>
        <n v="36547"/>
        <n v="39480"/>
        <n v="45410"/>
        <n v="45022"/>
        <n v="302253"/>
        <n v="302087"/>
        <n v="303014"/>
        <n v="303009"/>
        <n v="300924"/>
        <n v="303719"/>
        <n v="310857"/>
        <n v="311650"/>
        <n v="290767"/>
        <n v="301150"/>
        <n v="298748"/>
        <n v="298706"/>
        <n v="297924"/>
        <n v="305535"/>
        <n v="299339"/>
        <n v="289365"/>
        <n v="287375"/>
        <n v="290484"/>
        <n v="290517"/>
        <n v="286680"/>
        <n v="281123"/>
        <n v="284223"/>
        <n v="276435"/>
        <n v="275739"/>
        <n v="280066"/>
        <n v="283475"/>
        <n v="302180"/>
        <n v="306165"/>
        <n v="304450"/>
        <n v="298306"/>
        <n v="305394"/>
        <n v="290146"/>
        <n v="290470"/>
        <n v="269525"/>
        <n v="266577"/>
        <n v="258360"/>
        <n v="273252"/>
        <n v="290619"/>
        <n v="283128"/>
        <n v="291465"/>
        <n v="287146"/>
        <n v="268041"/>
        <n v="270726"/>
        <n v="278043"/>
        <n v="295388"/>
        <n v="284046"/>
        <n v="288383"/>
        <n v="289939"/>
        <n v="294388"/>
        <n v="292591"/>
        <n v="296203"/>
        <n v="302013"/>
        <n v="264817"/>
        <n v="260931"/>
        <n v="254746"/>
        <n v="257749"/>
        <n v="254007"/>
        <n v="255547"/>
        <n v="253255"/>
        <n v="255491"/>
        <n v="255397"/>
        <n v="253360"/>
        <n v="250352"/>
        <n v="247346"/>
        <n v="243080"/>
        <n v="241300"/>
        <n v="244642"/>
        <n v="243698"/>
        <n v="238065"/>
        <n v="14606"/>
        <n v="13277"/>
        <n v="19421"/>
        <n v="9935"/>
        <n v="7691"/>
        <n v="7137"/>
        <n v="15918"/>
        <n v="20471"/>
        <n v="18210"/>
        <n v="12852"/>
        <n v="12095"/>
        <n v="11965"/>
        <n v="6295"/>
        <n v="6149"/>
        <n v="6092"/>
        <n v="3438"/>
        <n v="3262"/>
        <n v="3115"/>
        <n v="3111"/>
        <n v="3086"/>
        <n v="3096"/>
        <n v="2166"/>
        <n v="2359"/>
        <n v="2346"/>
        <n v="2102"/>
        <n v="2064"/>
        <n v="2352"/>
        <n v="2255"/>
        <n v="2075"/>
        <n v="2126"/>
        <n v="2151"/>
        <n v="1988"/>
        <n v="2154"/>
        <n v="2027"/>
        <n v="1993"/>
        <n v="1834"/>
        <n v="1814"/>
        <n v="1888"/>
        <n v="1803"/>
        <n v="1674"/>
        <n v="1666"/>
        <n v="1603"/>
        <n v="1595"/>
        <n v="1574"/>
        <n v="1510"/>
        <n v="1903"/>
        <n v="1893"/>
        <n v="1761"/>
        <n v="1757"/>
        <n v="1751"/>
        <n v="2025"/>
        <n v="2128"/>
        <n v="2371"/>
        <n v="2445"/>
        <n v="2331"/>
        <n v="2464"/>
        <n v="2280"/>
        <n v="1945"/>
        <n v="2013"/>
        <n v="1868"/>
        <n v="1908"/>
        <n v="1789"/>
        <n v="2266"/>
        <n v="2569"/>
        <n v="2105"/>
        <n v="2030"/>
        <n v="2505"/>
        <n v="2335"/>
        <n v="2794"/>
        <n v="877911"/>
        <n v="864659"/>
        <n v="904302"/>
        <n v="899272"/>
        <n v="857905"/>
        <n v="809390"/>
        <n v="807706"/>
        <n v="779319"/>
        <n v="750320"/>
        <n v="740229"/>
        <n v="722780"/>
        <n v="766885"/>
        <n v="746472"/>
        <n v="769251"/>
        <n v="749219"/>
        <n v="733503"/>
        <n v="746539"/>
        <n v="728565"/>
        <n v="714565"/>
        <n v="736441"/>
        <n v="711535"/>
        <n v="701828"/>
        <n v="688551"/>
        <n v="650764"/>
        <n v="630017"/>
        <n v="604664"/>
        <n v="627538"/>
        <n v="609324"/>
        <n v="624391"/>
        <n v="606608"/>
        <n v="625131"/>
        <n v="633126"/>
        <n v="576452"/>
        <n v="597992"/>
        <n v="573691"/>
        <n v="575127"/>
        <n v="641270"/>
        <n v="664811"/>
        <n v="646537"/>
        <n v="636594"/>
        <n v="617282"/>
        <n v="636470"/>
        <n v="614338"/>
        <n v="636546"/>
        <n v="627037"/>
        <n v="610719"/>
        <n v="649344"/>
        <n v="621783"/>
        <n v="580163"/>
        <n v="566399"/>
        <n v="568922"/>
        <n v="541608"/>
        <n v="533592"/>
        <n v="467623"/>
        <n v="431742"/>
        <n v="443146"/>
        <n v="459427"/>
        <n v="438666"/>
        <n v="440621"/>
        <n v="420452"/>
        <n v="442807"/>
        <n v="428453"/>
        <n v="419350"/>
        <n v="424617"/>
        <n v="445650"/>
        <n v="445779"/>
        <n v="429169"/>
        <n v="469682"/>
        <n v="477149"/>
        <n v="450310"/>
        <n v="30"/>
        <n v="31"/>
        <n v="39"/>
        <n v="38"/>
        <n v="42"/>
        <n v="35"/>
        <n v="36"/>
        <n v="28"/>
        <n v="202"/>
        <n v="220"/>
        <n v="221"/>
        <n v="213"/>
        <n v="212"/>
        <n v="210"/>
        <n v="216"/>
        <n v="73"/>
        <n v="29"/>
        <n v="33"/>
        <n v="77"/>
        <n v="75"/>
        <n v="67"/>
        <n v="629"/>
        <n v="2092"/>
        <n v="2034"/>
        <n v="2015"/>
        <n v="2007"/>
        <n v="2005"/>
        <n v="2004"/>
        <n v="2003"/>
        <n v="3753"/>
        <n v="3910"/>
        <n v="2409"/>
        <n v="3720"/>
        <n v="3918"/>
        <n v="4004"/>
        <n v="4006"/>
        <n v="3805"/>
        <n v="3957"/>
        <n v="3976"/>
        <n v="5756"/>
        <n v="6145"/>
        <n v="6011"/>
        <n v="4968"/>
        <n v="6155"/>
        <n v="5963"/>
        <n v="5858"/>
        <n v="5879"/>
        <n v="5871"/>
        <n v="5394"/>
        <n v="6853"/>
        <n v="3854"/>
        <n v="12586"/>
        <n v="10510"/>
        <n v="8109"/>
        <n v="7567"/>
        <n v="8913"/>
        <n v="8305"/>
        <n v="9358"/>
        <n v="9396"/>
        <n v="7902"/>
        <n v="9072"/>
        <n v="9168"/>
        <n v="6689"/>
        <n v="6230"/>
        <n v="6845"/>
        <n v="7834"/>
        <n v="6402"/>
        <n v="6582"/>
        <n v="7228"/>
        <n v="8994"/>
        <n v="10345"/>
        <n v="11006"/>
        <n v="10498"/>
        <n v="10240"/>
        <n v="10898"/>
        <n v="10636"/>
        <n v="12125"/>
        <n v="14161"/>
        <n v="14720"/>
        <n v="15695"/>
        <n v="15412"/>
        <n v="15271"/>
        <n v="13783"/>
        <n v="14773"/>
        <n v="15638"/>
        <n v="13060"/>
        <n v="13460"/>
        <n v="8962"/>
        <n v="10341"/>
        <n v="11262"/>
        <n v="9685"/>
        <n v="8005"/>
        <n v="8155"/>
        <n v="7917"/>
        <n v="4817"/>
        <n v="4206"/>
        <n v="4774"/>
        <n v="2809"/>
        <n v="3409"/>
        <n v="2285"/>
        <n v="2551"/>
        <n v="2452"/>
        <n v="1513"/>
        <n v="1754"/>
        <n v="1759"/>
        <n v="2259"/>
        <n v="2741"/>
        <n v="3542"/>
        <n v="3320"/>
        <n v="3325"/>
        <n v="3714"/>
        <n v="5012"/>
        <n v="4426"/>
        <n v="2624"/>
        <n v="3575"/>
        <n v="4278"/>
        <n v="5560"/>
        <n v="5790"/>
        <n v="5854"/>
        <n v="5668"/>
        <n v="6767"/>
        <n v="8484"/>
        <n v="3596627"/>
        <n v="3571524"/>
        <n v="3616981"/>
        <n v="3558075"/>
        <n v="3455429"/>
        <n v="3404639"/>
        <n v="3425030"/>
        <n v="3395581"/>
        <n v="3282979"/>
        <n v="3230103"/>
        <n v="3203439"/>
        <n v="3251375"/>
        <n v="3207549"/>
        <n v="3278980"/>
        <n v="3149070"/>
        <n v="3065536"/>
        <n v="3047697"/>
        <n v="2980534"/>
        <n v="2934442"/>
        <n v="2972493"/>
        <n v="2917552"/>
        <n v="2866786"/>
        <n v="2858790"/>
        <n v="2755640"/>
        <n v="2663110"/>
        <n v="2694670"/>
        <n v="2733077"/>
        <n v="2699883"/>
        <n v="2713201"/>
        <n v="2630069"/>
        <n v="2619544"/>
        <n v="2611068"/>
        <n v="2518254"/>
        <n v="2515472"/>
        <n v="2478270"/>
        <n v="2462198"/>
        <n v="2500765"/>
        <n v="2556245"/>
        <n v="2576857"/>
        <n v="2560983"/>
        <n v="2552992"/>
        <n v="2557388"/>
        <n v="2531705"/>
        <n v="2590104"/>
        <n v="2605921"/>
        <n v="2552028"/>
        <n v="2619834"/>
        <n v="2555752"/>
        <n v="2505069"/>
        <n v="2489931"/>
        <n v="2491913"/>
        <n v="2452697"/>
        <n v="2465386"/>
        <n v="2196277"/>
        <n v="2152002"/>
        <n v="2145389"/>
        <n v="2171458"/>
        <n v="2173774"/>
        <n v="2179624"/>
        <n v="2137431"/>
        <n v="2164876"/>
        <n v="2133964"/>
        <n v="2148675"/>
        <n v="2142705"/>
        <n v="2176688"/>
        <n v="2135027"/>
        <n v="2094463"/>
        <n v="2115423"/>
        <n v="2194937"/>
        <n v="2101817"/>
        <n v="1987622"/>
        <n v="1955729"/>
        <n v="1949535"/>
        <n v="1909037"/>
        <n v="1864808"/>
        <n v="1869452"/>
        <n v="1875637"/>
        <n v="1857616"/>
        <n v="1833538"/>
        <n v="1781298"/>
        <n v="1795304"/>
        <n v="1793839"/>
        <n v="1766302"/>
        <n v="1804313"/>
        <n v="1710832"/>
        <n v="1667083"/>
        <n v="1645333"/>
        <n v="1608607"/>
        <n v="1580782"/>
        <n v="1586469"/>
        <n v="1580255"/>
        <n v="1525876"/>
        <n v="1532416"/>
        <n v="1506901"/>
        <n v="1422788"/>
        <n v="1466583"/>
        <n v="1472308"/>
        <n v="1437045"/>
        <n v="1435460"/>
        <n v="1388937"/>
        <n v="1368669"/>
        <n v="1355494"/>
        <n v="1340493"/>
        <n v="1329214"/>
        <n v="1350825"/>
        <n v="1330696"/>
        <n v="1328111"/>
        <n v="1338726"/>
        <n v="1349817"/>
        <n v="1346622"/>
        <n v="1354603"/>
        <n v="1345273"/>
        <n v="1351751"/>
        <n v="1383134"/>
        <n v="1383553"/>
        <n v="1336200"/>
        <n v="1402511"/>
        <n v="1359397"/>
        <n v="1344663"/>
        <n v="1324188"/>
        <n v="1325364"/>
        <n v="1306759"/>
        <n v="1329119"/>
        <n v="1166687"/>
        <n v="1168951"/>
        <n v="1172623"/>
        <n v="1169970"/>
        <n v="1200313"/>
        <n v="1213628"/>
        <n v="1197265"/>
        <n v="1204652"/>
        <n v="1183109"/>
        <n v="1206470"/>
        <n v="1193540"/>
        <n v="1217484"/>
        <n v="1189083"/>
        <n v="1166042"/>
        <n v="1137126"/>
        <n v="1183078"/>
        <n v="1130999"/>
        <n v="2146164"/>
        <n v="2115492"/>
        <n v="2111497"/>
        <n v="2076362"/>
        <n v="2031611"/>
        <n v="2033239"/>
        <n v="2045125"/>
        <n v="2027328"/>
        <n v="1998255"/>
        <n v="1938981"/>
        <n v="1952801"/>
        <n v="1952062"/>
        <n v="1922624"/>
        <n v="1960824"/>
        <n v="1861717"/>
        <n v="1815902"/>
        <n v="1791739"/>
        <n v="1751169"/>
        <n v="1719974"/>
        <n v="1728215"/>
        <n v="1717259"/>
        <n v="1663098"/>
        <n v="1675337"/>
        <n v="1646343"/>
        <n v="1560480"/>
        <n v="1607876"/>
        <n v="1615367"/>
        <n v="1580806"/>
        <n v="1577758"/>
        <n v="1523087"/>
        <n v="1502729"/>
        <n v="1485370"/>
        <n v="1467054"/>
        <n v="1458228"/>
        <n v="1476788"/>
        <n v="1464015"/>
        <n v="1451106"/>
        <n v="1462218"/>
        <n v="1476157"/>
        <n v="1478995"/>
        <n v="1482031"/>
        <n v="1473663"/>
        <n v="1485168"/>
        <n v="1518491"/>
        <n v="1528265"/>
        <n v="1479385"/>
        <n v="1536819"/>
        <n v="1498768"/>
        <n v="1483938"/>
        <n v="1466836"/>
        <n v="1470129"/>
        <n v="1454915"/>
        <n v="1474653"/>
        <n v="1310654"/>
        <n v="1310083"/>
        <n v="1313296"/>
        <n v="1313785"/>
        <n v="1346627"/>
        <n v="1351845"/>
        <n v="1331670"/>
        <n v="1339679"/>
        <n v="1316920"/>
        <n v="1341976"/>
        <n v="1332860"/>
        <n v="1349325"/>
        <n v="1314694"/>
        <n v="1286317"/>
        <n v="1260744"/>
        <n v="1317792"/>
        <n v="1713902"/>
        <n v="419131"/>
        <n v="475759"/>
        <n v="443685"/>
        <n v="381439"/>
        <n v="438231"/>
        <n v="430059"/>
        <n v="368383"/>
        <n v="426182"/>
        <n v="406136"/>
        <n v="350815"/>
        <n v="378756"/>
        <n v="372377"/>
        <n v="363665"/>
        <n v="367910"/>
        <n v="362881"/>
        <n v="375322"/>
        <n v="372539"/>
        <n v="356312"/>
        <n v="341552"/>
        <n v="369357"/>
        <n v="365342"/>
        <n v="351337"/>
        <n v="348460"/>
        <n v="321152"/>
        <n v="281530"/>
        <n v="280536"/>
        <n v="295094"/>
        <n v="293901"/>
        <n v="275555"/>
        <n v="265888"/>
        <n v="247080"/>
        <n v="245299"/>
        <n v="235308"/>
        <n v="254095"/>
        <n v="215054"/>
        <n v="228760"/>
        <n v="218187"/>
        <n v="199922"/>
        <n v="228223"/>
        <n v="227947"/>
        <n v="206186"/>
        <n v="225459"/>
        <n v="234650"/>
        <n v="236549"/>
        <n v="224115"/>
        <n v="217589"/>
        <n v="219677"/>
        <n v="195073"/>
        <n v="200283"/>
        <n v="167110"/>
        <n v="169194"/>
        <n v="167043"/>
        <n v="167790"/>
        <n v="121071"/>
        <n v="116069"/>
        <n v="106010"/>
        <n v="112665"/>
        <n v="126638"/>
        <n v="119907"/>
        <n v="127439"/>
        <n v="131335"/>
        <n v="127984"/>
        <n v="131055"/>
        <n v="133892"/>
        <n v="127612"/>
        <n v="129904"/>
        <n v="136260"/>
        <n v="131519"/>
        <n v="148298"/>
        <n v="157929"/>
        <n v="11232"/>
        <n v="9737"/>
        <n v="10363"/>
        <n v="9923"/>
        <n v="10025"/>
        <n v="9562"/>
        <n v="9489"/>
        <n v="9415"/>
        <n v="9476"/>
        <n v="9390"/>
        <n v="10113"/>
        <n v="10301"/>
        <n v="10587"/>
        <n v="9199"/>
        <n v="8836"/>
        <n v="8802"/>
        <n v="8678"/>
        <n v="8569"/>
        <n v="7679"/>
        <n v="7800"/>
        <n v="7670"/>
        <n v="7468"/>
        <n v="7534"/>
        <n v="9084"/>
        <n v="8792"/>
        <n v="8584"/>
        <n v="8400"/>
        <n v="8230"/>
        <n v="8056"/>
        <n v="7838"/>
        <n v="6854"/>
        <n v="6542"/>
        <n v="6759"/>
        <n v="6208"/>
        <n v="5536"/>
        <n v="5225"/>
        <n v="4381"/>
        <n v="3860"/>
        <n v="3781"/>
        <n v="3455"/>
        <n v="3148"/>
        <n v="3090"/>
        <n v="3053"/>
        <n v="3121"/>
        <n v="3113"/>
        <n v="3074"/>
        <n v="3112"/>
        <n v="3152"/>
        <n v="3172"/>
        <n v="3144"/>
        <n v="3241"/>
        <n v="3349"/>
        <n v="3595"/>
        <n v="3628"/>
        <n v="3931"/>
        <n v="4090"/>
        <n v="4404"/>
        <n v="4690"/>
        <n v="4779"/>
        <n v="5070"/>
        <n v="5236"/>
        <n v="5360"/>
        <n v="5956"/>
        <n v="6446"/>
        <n v="6680"/>
        <n v="167720"/>
        <n v="172669"/>
        <n v="184519"/>
        <n v="201685"/>
        <n v="215329"/>
        <n v="212049"/>
        <n v="212037"/>
        <n v="208399"/>
        <n v="207252"/>
        <n v="199441"/>
        <n v="201637"/>
        <n v="228980"/>
        <n v="228845"/>
        <n v="234555"/>
        <n v="233308"/>
        <n v="229137"/>
        <n v="226999"/>
        <n v="223211"/>
        <n v="223639"/>
        <n v="227121"/>
        <n v="225588"/>
        <n v="226803"/>
        <n v="230291"/>
        <n v="224866"/>
        <n v="219435"/>
        <n v="222998"/>
        <n v="223177"/>
        <n v="224730"/>
        <n v="227470"/>
        <n v="230017"/>
        <n v="229771"/>
        <n v="224437"/>
        <n v="215178"/>
        <n v="213976"/>
        <n v="217414"/>
        <n v="225859"/>
        <n v="220087"/>
        <n v="221766"/>
        <n v="227324"/>
        <n v="232853"/>
        <n v="226114"/>
        <n v="228373"/>
        <n v="229202"/>
        <n v="233279"/>
        <n v="237397"/>
        <n v="236059"/>
        <n v="240551"/>
        <n v="244862"/>
        <n v="247665"/>
        <n v="248959"/>
        <n v="248929"/>
        <n v="248541"/>
        <n v="249051"/>
        <n v="251819"/>
        <n v="255276"/>
        <n v="255462"/>
        <n v="259037"/>
        <n v="260430"/>
        <n v="258347"/>
        <n v="262208"/>
        <n v="262877"/>
        <n v="265114"/>
        <n v="265020"/>
        <n v="265675"/>
        <n v="264064"/>
        <n v="264350"/>
        <n v="259525"/>
        <n v="264384"/>
        <n v="285909"/>
        <n v="283299"/>
        <n v="39587"/>
        <n v="38924"/>
        <n v="39112"/>
        <n v="38986"/>
        <n v="39246"/>
        <n v="38088"/>
        <n v="38240"/>
        <n v="37103"/>
        <n v="35956"/>
        <n v="35086"/>
        <n v="34252"/>
        <n v="34659"/>
        <n v="34940"/>
        <n v="35969"/>
        <n v="35265"/>
        <n v="36014"/>
        <n v="36061"/>
        <n v="37667"/>
        <n v="37944"/>
        <n v="39763"/>
        <n v="39373"/>
        <n v="40657"/>
        <n v="40326"/>
        <n v="40406"/>
        <n v="39288"/>
        <n v="40022"/>
        <n v="41913"/>
        <n v="43264"/>
        <n v="39861"/>
        <n v="38915"/>
        <n v="37375"/>
        <n v="35690"/>
        <n v="34702"/>
        <n v="34177"/>
        <n v="34042"/>
        <n v="34202"/>
        <n v="33784"/>
        <n v="33989"/>
        <n v="36026"/>
        <n v="38094"/>
        <n v="40473"/>
        <n v="39448"/>
        <n v="36490"/>
        <n v="37421"/>
        <n v="37165"/>
        <n v="35275"/>
        <n v="35840"/>
        <n v="36368"/>
        <n v="37843"/>
        <n v="38760"/>
        <n v="38290"/>
        <n v="40883"/>
        <n v="37991"/>
        <n v="39391"/>
        <n v="38003"/>
        <n v="38172"/>
        <n v="30133"/>
        <n v="27348"/>
        <n v="27718"/>
        <n v="29129"/>
        <n v="29355"/>
        <n v="29420"/>
        <n v="30116"/>
        <n v="29760"/>
        <n v="30087"/>
        <n v="29804"/>
        <n v="30140"/>
        <n v="32039"/>
        <n v="32548"/>
        <n v="41686"/>
        <n v="43342"/>
        <n v="44716"/>
        <n v="43302"/>
        <n v="43146"/>
        <n v="45622"/>
        <n v="48158"/>
        <n v="47267"/>
        <n v="46227"/>
        <n v="45510"/>
        <n v="45928"/>
        <n v="46976"/>
        <n v="46915"/>
        <n v="48159"/>
        <n v="47913"/>
        <n v="46916"/>
        <n v="45846"/>
        <n v="44213"/>
        <n v="40685"/>
        <n v="44854"/>
        <n v="43357"/>
        <n v="42781"/>
        <n v="43011"/>
        <n v="39385"/>
        <n v="38046"/>
        <n v="38636"/>
        <n v="38778"/>
        <n v="38411"/>
        <n v="38353"/>
        <n v="36210"/>
        <n v="39708"/>
        <n v="39275"/>
        <n v="38721"/>
        <n v="39635"/>
        <n v="39854"/>
        <n v="35738"/>
        <n v="33819"/>
        <n v="34410"/>
        <n v="33992"/>
        <n v="35125"/>
        <n v="34949"/>
        <n v="34910"/>
        <n v="35417"/>
        <n v="34548"/>
        <n v="33974"/>
        <n v="33314"/>
        <n v="33139"/>
        <n v="33652"/>
        <n v="34155"/>
        <n v="33349"/>
        <n v="33066"/>
        <n v="36168"/>
        <n v="35822"/>
        <n v="35058"/>
        <n v="35162"/>
        <n v="30637"/>
        <n v="32412"/>
        <n v="30972"/>
        <n v="30812"/>
        <n v="31900"/>
        <n v="29751"/>
        <n v="30550"/>
        <n v="29785"/>
        <n v="29398"/>
        <n v="28227"/>
        <n v="26465"/>
        <n v="29342"/>
        <n v="30842"/>
        <n v="29673"/>
        <n v="3766"/>
        <n v="4035"/>
        <n v="3964"/>
        <n v="3984"/>
        <n v="3692"/>
        <n v="3653"/>
        <n v="3553"/>
        <n v="3478"/>
        <n v="3417"/>
        <n v="3583"/>
        <n v="3644"/>
        <n v="3754"/>
        <n v="3846"/>
        <n v="3929"/>
        <n v="3955"/>
        <n v="3994"/>
        <n v="4238"/>
        <n v="4251"/>
        <n v="4754"/>
        <n v="5135"/>
        <n v="4577"/>
        <n v="4299"/>
        <n v="4363"/>
        <n v="4287"/>
        <n v="4142"/>
        <n v="3985"/>
        <n v="3719"/>
        <n v="3109"/>
        <n v="2723"/>
        <n v="2770"/>
        <n v="2351"/>
        <n v="2263"/>
        <n v="2218"/>
        <n v="2232"/>
        <n v="2184"/>
        <n v="2054"/>
        <n v="1975"/>
        <n v="1861"/>
        <n v="1949"/>
        <n v="1795"/>
        <n v="1846"/>
        <n v="1676"/>
        <n v="1585"/>
        <n v="1547"/>
        <n v="1478"/>
        <n v="1454"/>
        <n v="1451"/>
        <n v="1430"/>
        <n v="1489"/>
        <n v="1486"/>
        <n v="1540"/>
        <n v="1477"/>
        <n v="1675"/>
        <n v="1529"/>
        <n v="1473"/>
        <n v="1537"/>
        <n v="1338"/>
        <n v="1400"/>
        <n v="1485"/>
        <n v="1468"/>
        <n v="1550"/>
        <n v="1588"/>
        <n v="1650"/>
        <n v="1882"/>
        <n v="1907"/>
        <n v="1293"/>
        <n v="1249"/>
        <n v="1331"/>
        <n v="1302"/>
        <n v="1311"/>
        <n v="1187"/>
        <n v="1224"/>
        <n v="1169"/>
        <n v="1275"/>
        <n v="1396"/>
        <n v="1561"/>
        <n v="1844"/>
        <n v="1911"/>
        <n v="1850"/>
        <n v="1567"/>
        <n v="1431"/>
        <n v="1220"/>
        <n v="1405"/>
        <n v="1361"/>
        <n v="966"/>
        <n v="830"/>
        <n v="989"/>
        <n v="1097"/>
        <n v="1195"/>
        <n v="1392"/>
        <n v="1373"/>
        <n v="1355"/>
        <n v="1250"/>
        <n v="1037"/>
        <n v="833"/>
        <n v="499"/>
        <n v="595"/>
        <n v="291"/>
        <n v="487"/>
        <n v="474"/>
        <n v="253"/>
        <n v="229"/>
        <n v="187"/>
        <n v="179"/>
        <n v="175"/>
        <n v="157"/>
        <n v="169"/>
        <n v="173"/>
        <n v="185"/>
        <n v="171"/>
        <n v="168"/>
        <n v="180"/>
        <n v="188"/>
        <n v="225"/>
        <n v="242"/>
        <n v="244"/>
        <n v="245"/>
        <n v="250"/>
        <n v="235"/>
        <n v="304"/>
        <n v="326"/>
        <n v="355"/>
        <n v="341"/>
        <n v="357"/>
        <n v="16882"/>
        <n v="15275"/>
        <n v="15947"/>
        <n v="13709"/>
        <n v="13764"/>
        <n v="13560"/>
        <n v="13251"/>
        <n v="12401"/>
        <n v="12350"/>
        <n v="12183"/>
        <n v="12033"/>
        <n v="12627"/>
        <n v="12430"/>
        <n v="12488"/>
        <n v="11646"/>
        <n v="11263"/>
        <n v="11152"/>
        <n v="10671"/>
        <n v="10632"/>
        <n v="10310"/>
        <n v="10722"/>
        <n v="11442"/>
        <n v="11923"/>
        <n v="11597"/>
        <n v="10611"/>
        <n v="9892"/>
        <n v="10396"/>
        <n v="10801"/>
        <n v="10692"/>
        <n v="9341"/>
        <n v="9140"/>
        <n v="9309"/>
        <n v="8924"/>
        <n v="8806"/>
        <n v="8108"/>
        <n v="8377"/>
        <n v="7641"/>
        <n v="7096"/>
        <n v="7393"/>
        <n v="7599"/>
        <n v="6370"/>
        <n v="6040"/>
        <n v="6661"/>
        <n v="6660"/>
        <n v="6472"/>
        <n v="6533"/>
        <n v="6061"/>
        <n v="5579"/>
        <n v="5987"/>
        <n v="5798"/>
        <n v="5795"/>
        <n v="5735"/>
        <n v="5437"/>
        <n v="5708"/>
        <n v="5789"/>
        <n v="6150"/>
        <n v="6466"/>
        <n v="6979"/>
        <n v="7822"/>
        <n v="7774"/>
        <n v="6734"/>
        <n v="6942"/>
        <n v="7307"/>
        <n v="7296"/>
        <n v="7115"/>
        <n v="5880"/>
        <n v="6532"/>
        <n v="7245"/>
        <n v="7226"/>
        <n v="89968"/>
        <n v="88848"/>
        <n v="92028"/>
        <n v="96486"/>
        <n v="94760"/>
        <n v="96324"/>
        <n v="89798"/>
        <n v="91519"/>
        <n v="102662"/>
        <n v="99427"/>
        <n v="102586"/>
        <n v="99418"/>
        <n v="97277"/>
        <n v="93746"/>
        <n v="93562"/>
        <n v="93458"/>
        <n v="93964"/>
        <n v="97578"/>
        <n v="91771"/>
        <n v="87290"/>
        <n v="80845"/>
        <n v="75955"/>
        <n v="76402"/>
        <n v="75567"/>
        <n v="74268"/>
        <n v="73531"/>
        <n v="73333"/>
        <n v="74223"/>
        <n v="70946"/>
        <n v="72535"/>
        <n v="68498"/>
        <n v="65200"/>
        <n v="62430"/>
        <n v="58289"/>
        <n v="58733"/>
        <n v="57257"/>
        <n v="56423"/>
        <n v="53940"/>
        <n v="53288"/>
        <n v="49525"/>
        <n v="48758"/>
        <n v="47993"/>
        <n v="47287"/>
        <n v="47746"/>
        <n v="47090"/>
        <n v="44400"/>
        <n v="46181"/>
        <n v="47392"/>
        <n v="49991"/>
        <n v="48424"/>
        <n v="50724"/>
        <n v="50132"/>
        <n v="49584"/>
        <n v="49094"/>
        <n v="48390"/>
        <n v="48043"/>
        <n v="49351"/>
        <n v="49773"/>
        <n v="49399"/>
        <n v="52702"/>
        <n v="48840"/>
        <n v="49165"/>
        <n v="49502"/>
        <n v="47608"/>
        <n v="47029"/>
        <n v="47424"/>
        <n v="45423"/>
        <n v="40863"/>
        <n v="47489"/>
        <n v="45750"/>
        <n v="8265"/>
        <n v="8317"/>
        <n v="8491"/>
        <n v="8626"/>
        <n v="8680"/>
        <n v="8722"/>
        <n v="9284"/>
        <n v="9403"/>
        <n v="9321"/>
        <n v="9596"/>
        <n v="9441"/>
        <n v="8930"/>
        <n v="8790"/>
        <n v="9149"/>
        <n v="9704"/>
        <n v="9551"/>
        <n v="9474"/>
        <n v="9807"/>
        <n v="10720"/>
        <n v="11344"/>
        <n v="10480"/>
        <n v="10416"/>
        <n v="9777"/>
        <n v="9786"/>
        <n v="9634"/>
        <n v="9592"/>
        <n v="9370"/>
        <n v="9521"/>
        <n v="9219"/>
        <n v="8249"/>
        <n v="8486"/>
        <n v="8019"/>
        <n v="7978"/>
        <n v="6947"/>
        <n v="6352"/>
        <n v="6013"/>
        <n v="5827"/>
        <n v="5145"/>
        <n v="4616"/>
        <n v="4484"/>
        <n v="4124"/>
        <n v="3683"/>
        <n v="3966"/>
        <n v="3551"/>
        <n v="3344"/>
        <n v="3313"/>
        <n v="2753"/>
        <n v="3192"/>
        <n v="3092"/>
        <n v="3261"/>
        <n v="2647"/>
        <n v="2472"/>
        <n v="3244"/>
        <n v="2982"/>
        <n v="3078"/>
        <n v="3151"/>
        <n v="3318"/>
        <n v="3410"/>
        <n v="3646"/>
        <n v="3442"/>
        <n v="3187"/>
        <n v="3205"/>
        <n v="3711"/>
        <n v="3675"/>
        <n v="41547"/>
        <n v="43227"/>
        <n v="40633"/>
        <n v="40060"/>
        <n v="41811"/>
        <n v="40103"/>
        <n v="40708"/>
        <n v="42804"/>
        <n v="41563"/>
        <n v="41666"/>
        <n v="43735"/>
        <n v="41429"/>
        <n v="40632"/>
        <n v="39965"/>
        <n v="37829"/>
        <n v="37003"/>
        <n v="39518"/>
        <n v="38917"/>
        <n v="37660"/>
        <n v="37093"/>
        <n v="34791"/>
        <n v="32394"/>
        <n v="32487"/>
        <n v="31054"/>
        <n v="31858"/>
        <n v="32744"/>
        <n v="32588"/>
        <n v="31859"/>
        <n v="33043"/>
        <n v="32232"/>
        <n v="32180"/>
        <n v="33116"/>
        <n v="32626"/>
        <n v="31811"/>
        <n v="32061"/>
        <n v="31007"/>
        <n v="31116"/>
        <n v="32248"/>
        <n v="32427"/>
        <n v="32029"/>
        <n v="30781"/>
        <n v="29856"/>
        <n v="30323"/>
        <n v="29900"/>
        <n v="29513"/>
        <n v="28961"/>
        <n v="28026"/>
        <n v="27446"/>
        <n v="27473"/>
        <n v="28139"/>
        <n v="27978"/>
        <n v="28792"/>
        <n v="29410"/>
        <n v="29038"/>
        <n v="28707"/>
        <n v="28771"/>
        <n v="28165"/>
        <n v="27763"/>
        <n v="27437"/>
        <n v="26431"/>
        <n v="26537"/>
        <n v="26880"/>
        <n v="24139"/>
        <n v="21579"/>
        <n v="20593"/>
        <n v="19630"/>
        <n v="20512"/>
        <n v="19904"/>
        <n v="19447"/>
        <n v="19787"/>
        <n v="19076"/>
        <n v="18263"/>
        <n v="19348"/>
        <n v="19388"/>
        <n v="20489"/>
        <n v="20490"/>
        <n v="20102"/>
        <n v="19793"/>
        <n v="20166"/>
        <n v="19484"/>
        <n v="19001"/>
        <n v="18302"/>
        <n v="17381"/>
        <n v="18643"/>
        <n v="18527"/>
        <n v="19585"/>
        <n v="18563"/>
        <n v="19710"/>
        <n v="19546"/>
        <n v="19137"/>
        <n v="18501"/>
        <n v="19092"/>
        <n v="20842"/>
        <n v="19352"/>
        <n v="17892"/>
        <n v="17281"/>
        <n v="17305"/>
        <n v="17337"/>
        <n v="16254"/>
        <n v="16276"/>
        <n v="16512"/>
        <n v="16441"/>
        <n v="16241"/>
        <n v="15836"/>
        <n v="17866"/>
        <n v="15922"/>
        <n v="13218"/>
        <n v="12244"/>
        <n v="11665"/>
        <n v="12108"/>
        <n v="12269"/>
        <n v="11897"/>
        <n v="11467"/>
        <n v="10749"/>
        <n v="10212"/>
        <n v="10352"/>
        <n v="12328"/>
        <n v="9773"/>
        <n v="10718"/>
        <n v="9945"/>
        <n v="10412"/>
        <n v="10474"/>
        <n v="10915"/>
        <n v="10785"/>
        <n v="10397"/>
        <n v="10509"/>
        <n v="11018"/>
        <n v="11618"/>
        <n v="12971"/>
        <n v="11268"/>
        <n v="11011"/>
        <n v="11365"/>
        <n v="10543"/>
        <n v="10476"/>
        <n v="9532"/>
        <n v="10750"/>
        <n v="10991"/>
        <n v="10086"/>
        <n v="9409"/>
        <n v="9384"/>
        <n v="698"/>
        <n v="638"/>
        <n v="676"/>
        <n v="645"/>
        <n v="714"/>
        <n v="693"/>
        <n v="687"/>
        <n v="724"/>
        <n v="701"/>
        <n v="717"/>
        <n v="761"/>
        <n v="801"/>
        <n v="836"/>
        <n v="805"/>
        <n v="829"/>
        <n v="814"/>
        <n v="809"/>
        <n v="795"/>
        <n v="734"/>
        <n v="732"/>
        <n v="785"/>
        <n v="725"/>
        <n v="738"/>
        <n v="784"/>
        <n v="740"/>
        <n v="767"/>
        <n v="771"/>
        <n v="672"/>
        <n v="652"/>
        <n v="659"/>
        <n v="592"/>
        <n v="561"/>
        <n v="531"/>
        <n v="432"/>
        <n v="301"/>
        <n v="258"/>
        <n v="132"/>
        <n v="119"/>
        <n v="111"/>
        <n v="81"/>
        <n v="69"/>
        <n v="78"/>
        <n v="79"/>
        <n v="98"/>
        <n v="86"/>
        <n v="126"/>
        <n v="92"/>
        <n v="93"/>
        <n v="95"/>
        <n v="107"/>
        <n v="115"/>
        <n v="105"/>
        <n v="129"/>
        <n v="134"/>
        <n v="153"/>
        <n v="159"/>
        <n v="143"/>
        <n v="151"/>
        <n v="217"/>
        <n v="251"/>
        <n v="294"/>
        <n v="546367"/>
        <n v="546296"/>
        <n v="556852"/>
        <n v="573135"/>
        <n v="595132"/>
        <n v="591744"/>
        <n v="585378"/>
        <n v="581473"/>
        <n v="503683"/>
        <n v="490072"/>
        <n v="496477"/>
        <n v="519433"/>
        <n v="515298"/>
        <n v="521157"/>
        <n v="516228"/>
        <n v="510141"/>
        <n v="508810"/>
        <n v="509001"/>
        <n v="500013"/>
        <n v="505317"/>
        <n v="490858"/>
        <n v="487147"/>
        <n v="492979"/>
        <n v="478551"/>
        <n v="466862"/>
        <n v="472567"/>
        <n v="474635"/>
        <n v="477608"/>
        <n v="473129"/>
        <n v="470973"/>
        <n v="466453"/>
        <n v="455759"/>
        <n v="439352"/>
        <n v="432767"/>
        <n v="436432"/>
        <n v="436523"/>
        <n v="422974"/>
        <n v="421773"/>
        <n v="426943"/>
        <n v="431259"/>
        <n v="422802"/>
        <n v="420277"/>
        <n v="418298"/>
        <n v="421228"/>
        <n v="422224"/>
        <n v="414983"/>
        <n v="422271"/>
        <n v="423618"/>
        <n v="434134"/>
        <n v="433427"/>
        <n v="435158"/>
        <n v="441147"/>
        <n v="437757"/>
        <n v="441432"/>
        <n v="440641"/>
        <n v="442235"/>
        <n v="443128"/>
        <n v="439491"/>
        <n v="434078"/>
        <n v="436739"/>
        <n v="435222"/>
        <n v="435752"/>
        <n v="433598"/>
        <n v="429411"/>
        <n v="424559"/>
        <n v="423923"/>
        <n v="414602"/>
        <n v="418091"/>
        <n v="449988"/>
        <n v="445023"/>
        <n v="2863"/>
        <n v="3037"/>
        <n v="2948"/>
        <n v="3069"/>
        <n v="2778"/>
        <n v="2667"/>
        <n v="2891"/>
        <n v="2644"/>
        <n v="2802"/>
        <n v="3159"/>
        <n v="3293"/>
        <n v="3348"/>
        <n v="3103"/>
        <n v="3460"/>
        <n v="3287"/>
        <n v="2950"/>
        <n v="2779"/>
        <n v="2847"/>
        <n v="3088"/>
        <n v="3029"/>
        <n v="3217"/>
        <n v="3214"/>
        <n v="3071"/>
        <n v="3045"/>
        <n v="3016"/>
        <n v="3005"/>
        <n v="2976"/>
        <n v="2766"/>
        <n v="2613"/>
        <n v="2604"/>
        <n v="2498"/>
        <n v="2303"/>
        <n v="1968"/>
        <n v="1970"/>
        <n v="1801"/>
        <n v="1667"/>
        <n v="1586"/>
        <n v="1584"/>
        <n v="1312"/>
        <n v="1395"/>
        <n v="1318"/>
        <n v="1470"/>
        <n v="1707"/>
        <n v="1546"/>
        <n v="1401"/>
        <n v="1365"/>
        <n v="1403"/>
        <n v="1406"/>
        <n v="1901"/>
        <n v="1730"/>
        <n v="1833"/>
        <n v="2009"/>
        <n v="1940"/>
        <n v="1832"/>
        <n v="1698"/>
        <n v="1602"/>
        <n v="1558"/>
        <n v="1572"/>
        <n v="1691"/>
        <n v="1631"/>
        <n v="1694"/>
        <n v="1705"/>
        <n v="2142"/>
        <n v="2022"/>
        <n v="1733"/>
        <n v="1848"/>
        <n v="1808"/>
        <n v="1779"/>
        <n v="1673"/>
        <n v="1598"/>
        <n v="1462"/>
        <n v="1543"/>
        <n v="1499"/>
        <n v="1532"/>
        <n v="1502"/>
        <n v="1465"/>
        <n v="1215"/>
        <n v="1135"/>
        <n v="1041"/>
        <n v="1152"/>
        <n v="1101"/>
        <n v="1154"/>
        <n v="1155"/>
        <n v="1167"/>
        <n v="915"/>
        <n v="1046"/>
        <n v="1128"/>
        <n v="1049"/>
        <n v="992"/>
        <n v="1146"/>
        <n v="1114"/>
        <n v="956"/>
        <n v="958"/>
        <n v="964"/>
        <n v="924"/>
        <n v="1023"/>
        <n v="1033"/>
        <n v="786"/>
        <n v="705"/>
        <n v="757"/>
        <n v="739"/>
        <n v="706"/>
        <n v="772"/>
        <n v="695"/>
        <n v="674"/>
        <n v="662"/>
        <n v="637"/>
        <n v="665"/>
        <n v="649"/>
        <n v="751"/>
        <n v="768"/>
        <n v="794"/>
        <n v="791"/>
        <n v="780"/>
        <n v="691"/>
        <n v="685"/>
        <n v="694"/>
        <n v="682"/>
        <n v="680"/>
        <n v="721"/>
        <n v="4115"/>
        <n v="4304"/>
        <n v="4148"/>
        <n v="4242"/>
        <n v="4283"/>
        <n v="4352"/>
        <n v="4343"/>
        <n v="4344"/>
        <n v="4370"/>
        <n v="4359"/>
        <n v="4137"/>
        <n v="4309"/>
        <n v="4496"/>
        <n v="4451"/>
        <n v="4235"/>
        <n v="4127"/>
        <n v="3924"/>
        <n v="3817"/>
        <n v="4218"/>
        <n v="4192"/>
        <n v="4008"/>
        <n v="3739"/>
        <n v="3803"/>
        <n v="3863"/>
        <n v="3671"/>
        <n v="3834"/>
        <n v="3871"/>
        <n v="3862"/>
        <n v="3491"/>
        <n v="3591"/>
        <n v="3430"/>
        <n v="3127"/>
        <n v="3165"/>
        <n v="3002"/>
        <n v="2716"/>
        <n v="2634"/>
        <n v="2642"/>
        <n v="2653"/>
        <n v="2631"/>
        <n v="2629"/>
        <n v="2583"/>
        <n v="2448"/>
        <n v="2608"/>
        <n v="2566"/>
        <n v="2532"/>
        <n v="2576"/>
        <n v="2699"/>
        <n v="2684"/>
        <n v="2626"/>
        <n v="2538"/>
        <n v="2985"/>
        <n v="2980"/>
        <n v="2807"/>
        <n v="2761"/>
        <n v="2482"/>
        <n v="2547"/>
        <n v="2549"/>
        <n v="2677"/>
        <n v="2592"/>
        <n v="3013"/>
        <n v="3236"/>
        <n v="3499"/>
        <n v="3388"/>
        <n v="27149"/>
        <n v="26222"/>
        <n v="24689"/>
        <n v="24718"/>
        <n v="25530"/>
        <n v="26509"/>
        <n v="25285"/>
        <n v="25005"/>
        <n v="24623"/>
        <n v="43905"/>
        <n v="43802"/>
        <n v="39306"/>
        <n v="41198"/>
        <n v="38043"/>
        <n v="49851"/>
        <n v="44453"/>
        <n v="47616"/>
        <n v="16119"/>
        <n v="17575"/>
        <n v="18449"/>
        <n v="16967"/>
        <n v="16984"/>
        <n v="16721"/>
        <n v="17336"/>
        <n v="17215"/>
        <n v="17888"/>
        <n v="16900"/>
        <n v="17564"/>
        <n v="18901"/>
        <n v="19449"/>
        <n v="28038"/>
        <n v="39843"/>
        <n v="36845"/>
        <n v="38143"/>
        <n v="45990"/>
        <n v="44053"/>
        <n v="45130"/>
        <n v="41329"/>
        <n v="39990"/>
        <n v="35737"/>
        <n v="30260"/>
        <n v="30031"/>
        <n v="39467"/>
        <n v="36125"/>
        <n v="33503"/>
        <n v="35884"/>
        <n v="34877"/>
        <n v="28285"/>
        <n v="23883"/>
        <n v="18368"/>
        <n v="21554"/>
        <n v="16716"/>
        <n v="13689"/>
        <n v="14528"/>
        <n v="7387"/>
        <n v="7547"/>
        <n v="8556"/>
        <n v="7982"/>
        <n v="6595"/>
        <n v="6637"/>
        <n v="6681"/>
        <n v="6447"/>
        <n v="7756"/>
        <n v="7883"/>
        <n v="8386"/>
        <n v="6984"/>
        <n v="6722"/>
        <n v="7350"/>
        <n v="6347"/>
        <n v="6218"/>
        <n v="106070"/>
        <n v="103654"/>
        <n v="99014"/>
        <n v="97160"/>
        <n v="95900"/>
        <n v="94033"/>
        <n v="97493"/>
        <n v="95593"/>
        <n v="92372"/>
        <n v="88863"/>
        <n v="90123"/>
        <n v="91589"/>
        <n v="90916"/>
        <n v="92307"/>
        <n v="91925"/>
        <n v="90982"/>
        <n v="89040"/>
        <n v="87635"/>
        <n v="86897"/>
        <n v="90346"/>
        <n v="87071"/>
        <n v="86762"/>
        <n v="90616"/>
        <n v="89206"/>
        <n v="89149"/>
        <n v="88671"/>
        <n v="87820"/>
        <n v="86997"/>
        <n v="84542"/>
        <n v="73020"/>
        <n v="75084"/>
        <n v="79129"/>
        <n v="77826"/>
        <n v="77445"/>
        <n v="81556"/>
        <n v="83649"/>
        <n v="83640"/>
        <n v="82602"/>
        <n v="82713"/>
        <n v="82338"/>
        <n v="79517"/>
        <n v="77431"/>
        <n v="75202"/>
        <n v="72952"/>
        <n v="71176"/>
        <n v="69680"/>
        <n v="72254"/>
        <n v="73200"/>
        <n v="70931"/>
        <n v="72278"/>
        <n v="70205"/>
        <n v="68138"/>
        <n v="68004"/>
        <n v="66250"/>
        <n v="67142"/>
        <n v="66280"/>
        <n v="67111"/>
        <n v="68163"/>
        <n v="72594"/>
        <n v="74047"/>
        <n v="73888"/>
        <n v="76139"/>
        <n v="74195"/>
        <n v="71055"/>
        <n v="70867"/>
        <n v="63854"/>
        <n v="65207"/>
        <n v="64223"/>
        <n v="65874"/>
        <n v="64820"/>
        <n v="80762"/>
        <n v="79512"/>
        <n v="76339"/>
        <n v="76083"/>
        <n v="77004"/>
        <n v="75985"/>
        <n v="77436"/>
        <n v="75082"/>
        <n v="153424"/>
        <n v="129807"/>
        <n v="125723"/>
        <n v="120150"/>
        <n v="119566"/>
        <n v="117851"/>
        <n v="110838"/>
        <n v="106925"/>
        <n v="109281"/>
        <n v="59489"/>
        <n v="60918"/>
        <n v="58411"/>
        <n v="58020"/>
        <n v="57674"/>
        <n v="58999"/>
        <n v="59855"/>
        <n v="59245"/>
        <n v="57950"/>
        <n v="57406"/>
        <n v="56775"/>
        <n v="57033"/>
        <n v="55414"/>
        <n v="56746"/>
        <n v="55995"/>
        <n v="49777"/>
        <n v="44857"/>
        <n v="48101"/>
        <n v="50321"/>
        <n v="50495"/>
        <n v="47784"/>
        <n v="44382"/>
        <n v="43629"/>
        <n v="41312"/>
        <n v="38492"/>
        <n v="38770"/>
        <n v="35217"/>
        <n v="36903"/>
        <n v="37489"/>
        <n v="36526"/>
        <n v="36913"/>
        <n v="37420"/>
        <n v="36541"/>
        <n v="36746"/>
        <n v="36827"/>
        <n v="35589"/>
        <n v="34381"/>
        <n v="35215"/>
        <n v="35088"/>
        <n v="34171"/>
        <n v="34621"/>
        <n v="35188"/>
        <n v="36898"/>
        <n v="37159"/>
        <n v="38202"/>
        <n v="37821"/>
        <n v="37838"/>
        <n v="40231"/>
        <n v="38628"/>
        <n v="39968"/>
        <n v="40705"/>
        <n v="39891"/>
        <n v="418540"/>
        <n v="426889"/>
        <n v="412404"/>
        <n v="438608"/>
        <n v="442668"/>
        <n v="443000"/>
        <n v="448278"/>
        <n v="455270"/>
        <n v="417770"/>
        <n v="408574"/>
        <n v="422991"/>
        <n v="405316"/>
        <n v="418255"/>
        <n v="424602"/>
        <n v="424207"/>
        <n v="380148"/>
        <n v="326295"/>
        <n v="342736"/>
        <n v="326028"/>
        <n v="310751"/>
        <n v="309905"/>
        <n v="327928"/>
        <n v="314763"/>
        <n v="328953"/>
        <n v="333223"/>
        <n v="323383"/>
        <n v="318737"/>
        <n v="305653"/>
        <n v="284379"/>
        <n v="273282"/>
        <n v="285104"/>
        <n v="297328"/>
        <n v="292609"/>
        <n v="292292"/>
        <n v="292649"/>
        <n v="293445"/>
        <n v="291709"/>
        <n v="301548"/>
        <n v="308561"/>
        <n v="293364"/>
        <n v="302299"/>
        <n v="295403"/>
        <n v="292500"/>
        <n v="293906"/>
        <n v="275929"/>
        <n v="272119"/>
        <n v="262848"/>
        <n v="262063"/>
        <n v="271856"/>
        <n v="266802"/>
        <n v="263479"/>
        <n v="263832"/>
        <n v="260147"/>
        <n v="229402"/>
        <n v="226389"/>
        <n v="215157"/>
        <n v="216038"/>
        <n v="216789"/>
        <n v="222879"/>
        <n v="222887"/>
        <n v="221540"/>
        <n v="231594"/>
        <n v="228955"/>
        <n v="222295"/>
        <n v="229577"/>
        <n v="216717"/>
        <n v="213110"/>
        <n v="209446"/>
        <n v="228177"/>
        <n v="225101"/>
        <n v="657715"/>
        <n v="661821"/>
        <n v="637829"/>
        <n v="662374"/>
        <n v="666408"/>
        <n v="664688"/>
        <n v="673617"/>
        <n v="676123"/>
        <n v="713115"/>
        <n v="696169"/>
        <n v="707704"/>
        <n v="681353"/>
        <n v="694498"/>
        <n v="698526"/>
        <n v="702183"/>
        <n v="647645"/>
        <n v="596750"/>
        <n v="529163"/>
        <n v="514625"/>
        <n v="502066"/>
        <n v="495807"/>
        <n v="512785"/>
        <n v="504163"/>
        <n v="517419"/>
        <n v="520540"/>
        <n v="509739"/>
        <n v="500721"/>
        <n v="485792"/>
        <n v="463330"/>
        <n v="439096"/>
        <n v="462628"/>
        <n v="489152"/>
        <n v="473186"/>
        <n v="469005"/>
        <n v="485059"/>
        <n v="485932"/>
        <n v="485323"/>
        <n v="486863"/>
        <n v="488353"/>
        <n v="466896"/>
        <n v="465914"/>
        <n v="452746"/>
        <n v="457995"/>
        <n v="449890"/>
        <n v="427802"/>
        <n v="426842"/>
        <n v="419558"/>
        <n v="410953"/>
        <n v="413776"/>
        <n v="403933"/>
        <n v="401740"/>
        <n v="395086"/>
        <n v="390366"/>
        <n v="358019"/>
        <n v="347527"/>
        <n v="336579"/>
        <n v="339305"/>
        <n v="339558"/>
        <n v="349264"/>
        <n v="350398"/>
        <n v="350668"/>
        <n v="361519"/>
        <n v="359432"/>
        <n v="349519"/>
        <n v="357741"/>
        <n v="338907"/>
        <n v="335251"/>
        <n v="333023"/>
        <n v="354388"/>
        <n v="349194"/>
        <n v="688748"/>
        <n v="700541"/>
        <n v="700985"/>
        <n v="696888"/>
        <n v="732684"/>
        <n v="732669"/>
        <n v="743560"/>
        <n v="765359"/>
        <n v="784287"/>
        <n v="760818"/>
        <n v="759016"/>
        <n v="768600"/>
        <n v="760102"/>
        <n v="771968"/>
        <n v="774614"/>
        <n v="776493"/>
        <n v="780196"/>
        <n v="768295"/>
        <n v="770746"/>
        <n v="767413"/>
        <n v="774950"/>
        <n v="797734"/>
        <n v="816305"/>
        <n v="781965"/>
        <n v="769617"/>
        <n v="778139"/>
        <n v="805366"/>
        <n v="821807"/>
        <n v="835775"/>
        <n v="846716"/>
        <n v="868920"/>
        <n v="869298"/>
        <n v="848975"/>
        <n v="859342"/>
        <n v="867088"/>
        <n v="870287"/>
        <n v="877937"/>
        <n v="901722"/>
        <n v="938552"/>
        <n v="939170"/>
        <n v="938847"/>
        <n v="951753"/>
        <n v="976022"/>
        <n v="1013201"/>
        <n v="1028674"/>
        <n v="1033804"/>
        <n v="1040330"/>
        <n v="1052882"/>
        <n v="1065403"/>
        <n v="1047543"/>
        <n v="1047016"/>
        <n v="1068347"/>
        <n v="1061844"/>
        <n v="1078439"/>
        <n v="1096080"/>
        <n v="1100366"/>
        <n v="1104226"/>
        <n v="1095180"/>
        <n v="1072281"/>
        <n v="1062960"/>
        <n v="1054018"/>
        <n v="1061746"/>
        <n v="1067965"/>
        <n v="1073407"/>
        <n v="1074433"/>
        <n v="1083735"/>
        <n v="1072804"/>
        <n v="1081615"/>
        <n v="1092261"/>
        <n v="1078601"/>
        <n v="251235"/>
        <n v="238138"/>
        <n v="252038"/>
        <n v="247876"/>
        <n v="242339"/>
        <n v="252553"/>
        <n v="247116"/>
        <n v="262932"/>
        <n v="273801"/>
        <n v="255996"/>
        <n v="254958"/>
        <n v="265780"/>
        <n v="261758"/>
        <n v="243722"/>
        <n v="243658"/>
        <n v="238645"/>
        <n v="226591"/>
        <n v="224171"/>
        <n v="226550"/>
        <n v="208184"/>
        <n v="216678"/>
        <n v="232745"/>
        <n v="238044"/>
        <n v="211149"/>
        <n v="199080"/>
        <n v="196982"/>
        <n v="202628"/>
        <n v="205872"/>
        <n v="198925"/>
        <n v="216080"/>
        <n v="222183"/>
        <n v="223145"/>
        <n v="212503"/>
        <n v="220983"/>
        <n v="214538"/>
        <n v="201169"/>
        <n v="185042"/>
        <n v="178699"/>
        <n v="189811"/>
        <n v="192786"/>
        <n v="187307"/>
        <n v="185601"/>
        <n v="194961"/>
        <n v="207744"/>
        <n v="205398"/>
        <n v="225616"/>
        <n v="225235"/>
        <n v="234371"/>
        <n v="233369"/>
        <n v="229519"/>
        <n v="219535"/>
        <n v="227149"/>
        <n v="219200"/>
        <n v="224134"/>
        <n v="215904"/>
        <n v="226969"/>
        <n v="224996"/>
        <n v="223907"/>
        <n v="224078"/>
        <n v="223781"/>
        <n v="226626"/>
        <n v="241652"/>
        <n v="246736"/>
        <n v="262711"/>
        <n v="262199"/>
        <n v="269024"/>
        <n v="259365"/>
        <n v="256032"/>
        <n v="268405"/>
        <n v="252956"/>
        <n v="190744"/>
        <n v="202670"/>
        <n v="219376"/>
        <n v="219691"/>
        <n v="227364"/>
        <n v="235329"/>
        <n v="232510"/>
        <n v="239855"/>
        <n v="228000"/>
        <n v="225675"/>
        <n v="219075"/>
        <n v="234010"/>
        <n v="241399"/>
        <n v="247234"/>
        <n v="245943"/>
        <n v="238821"/>
        <n v="241919"/>
        <n v="237758"/>
        <n v="233537"/>
        <n v="240627"/>
        <n v="234719"/>
        <n v="236122"/>
        <n v="233707"/>
        <n v="224899"/>
        <n v="222040"/>
        <n v="229081"/>
        <n v="232493"/>
        <n v="233127"/>
        <n v="235390"/>
        <n v="238338"/>
        <n v="238723"/>
        <n v="237875"/>
        <n v="231164"/>
        <n v="232039"/>
        <n v="224066"/>
        <n v="219012"/>
        <n v="213005"/>
        <n v="212593"/>
        <n v="221235"/>
        <n v="212048"/>
        <n v="208752"/>
        <n v="203739"/>
        <n v="199042"/>
        <n v="199836"/>
        <n v="199757"/>
        <n v="198647"/>
        <n v="198892"/>
        <n v="205213"/>
        <n v="210738"/>
        <n v="218431"/>
        <n v="217023"/>
        <n v="219235"/>
        <n v="220188"/>
        <n v="215764"/>
        <n v="208661"/>
        <n v="199952"/>
        <n v="204374"/>
        <n v="211592"/>
        <n v="216177"/>
        <n v="220193"/>
        <n v="222406"/>
        <n v="213484"/>
        <n v="196502"/>
        <n v="194562"/>
        <n v="182732"/>
        <n v="169915"/>
        <n v="157383"/>
        <n v="156526"/>
        <n v="177493"/>
        <n v="164344"/>
        <n v="28958"/>
        <n v="29773"/>
        <n v="30460"/>
        <n v="28944"/>
        <n v="31394"/>
        <n v="29182"/>
        <n v="28694"/>
        <n v="27368"/>
        <n v="27605"/>
        <n v="29255"/>
        <n v="32034"/>
        <n v="33589"/>
        <n v="33529"/>
        <n v="31891"/>
        <n v="20901"/>
        <n v="20551"/>
        <n v="20843"/>
        <n v="18614"/>
        <n v="19830"/>
        <n v="21895"/>
        <n v="17492"/>
        <n v="16673"/>
        <n v="13203"/>
        <n v="13364"/>
        <n v="14121"/>
        <n v="17266"/>
        <n v="14411"/>
        <n v="11982"/>
        <n v="11139"/>
        <n v="11517"/>
        <n v="11766"/>
        <n v="11593"/>
        <n v="12367"/>
        <n v="12913"/>
        <n v="13940"/>
        <n v="14355"/>
        <n v="15093"/>
        <n v="17735"/>
        <n v="19889"/>
        <n v="19789"/>
        <n v="19778"/>
        <n v="19405"/>
        <n v="19927"/>
        <n v="20834"/>
        <n v="23587"/>
        <n v="24495"/>
        <n v="23683"/>
        <n v="24537"/>
        <n v="24792"/>
        <n v="24723"/>
        <n v="22561"/>
        <n v="22639"/>
        <n v="23773"/>
        <n v="22945"/>
        <n v="23161"/>
        <n v="23294"/>
        <n v="22606"/>
        <n v="21719"/>
        <n v="21286"/>
        <n v="21769"/>
        <n v="25693"/>
        <n v="25995"/>
        <n v="23720"/>
        <n v="22441"/>
        <n v="21892"/>
        <n v="24080"/>
        <n v="23791"/>
        <n v="23267"/>
        <n v="28448"/>
        <n v="27346"/>
        <n v="109996"/>
        <n v="105268"/>
        <n v="99996"/>
        <n v="102413"/>
        <n v="101790"/>
        <n v="100783"/>
        <n v="97372"/>
        <n v="92476"/>
        <n v="90741"/>
        <n v="88408"/>
        <n v="82125"/>
        <n v="87461"/>
        <n v="89372"/>
        <n v="79009"/>
        <n v="73501"/>
        <n v="71189"/>
        <n v="69743"/>
        <n v="64184"/>
        <n v="59797"/>
        <n v="58505"/>
        <n v="57329"/>
        <n v="56937"/>
        <n v="56642"/>
        <n v="61124"/>
        <n v="51792"/>
        <n v="58174"/>
        <n v="56727"/>
        <n v="57982"/>
        <n v="56496"/>
        <n v="49021"/>
        <n v="48342"/>
        <n v="52005"/>
        <n v="45760"/>
        <n v="49321"/>
        <n v="50644"/>
        <n v="54977"/>
        <n v="51079"/>
        <n v="51164"/>
        <n v="51112"/>
        <n v="53042"/>
        <n v="51532"/>
        <n v="50879"/>
        <n v="51958"/>
        <n v="59484"/>
        <n v="66043"/>
        <n v="63776"/>
        <n v="69104"/>
        <n v="64343"/>
        <n v="65778"/>
        <n v="64042"/>
        <n v="63926"/>
        <n v="65519"/>
        <n v="62592"/>
        <n v="58330"/>
        <n v="61389"/>
        <n v="61033"/>
        <n v="58232"/>
        <n v="53708"/>
        <n v="48725"/>
        <n v="56995"/>
        <n v="53267"/>
        <n v="51537"/>
        <n v="47727"/>
        <n v="48427"/>
        <n v="47561"/>
        <n v="46765"/>
        <n v="43244"/>
        <n v="41069"/>
        <n v="45077"/>
        <n v="45564"/>
        <n v="1199992"/>
        <n v="1189281"/>
        <n v="1180418"/>
        <n v="1151796"/>
        <n v="1147976"/>
        <n v="1135027"/>
        <n v="1134454"/>
        <n v="1130802"/>
        <n v="1125873"/>
        <n v="1079292"/>
        <n v="1061507"/>
        <n v="1087119"/>
        <n v="1101549"/>
        <n v="1095498"/>
        <n v="1105986"/>
        <n v="1093501"/>
        <n v="1091418"/>
        <n v="1105953"/>
        <n v="1126094"/>
        <n v="1167015"/>
        <n v="1147573"/>
        <n v="1140569"/>
        <n v="1115270"/>
        <n v="1127491"/>
        <n v="1098222"/>
        <n v="1086443"/>
        <n v="1115507"/>
        <n v="1111755"/>
        <n v="1104085"/>
        <n v="1096119"/>
        <n v="1125808"/>
        <n v="1086642"/>
        <n v="1080683"/>
        <n v="1102923"/>
        <n v="1075054"/>
        <n v="1081808"/>
        <n v="1064414"/>
        <n v="1116371"/>
        <n v="1195969"/>
        <n v="1230657"/>
        <n v="1232671"/>
        <n v="1219866"/>
        <n v="1214959"/>
        <n v="1228990"/>
        <n v="1303030"/>
        <n v="1299891"/>
        <n v="1300789"/>
        <n v="1325508"/>
        <n v="1320382"/>
        <n v="1299571"/>
        <n v="1319731"/>
        <n v="1310201"/>
        <n v="1279678"/>
        <n v="1266177"/>
        <n v="1276756"/>
        <n v="1240489"/>
        <n v="1258024"/>
        <n v="1276896"/>
        <n v="1251313"/>
        <n v="1260839"/>
        <n v="1273127"/>
        <n v="1276184"/>
        <n v="1278361"/>
        <n v="1293023"/>
        <n v="1261600"/>
        <n v="1260363"/>
        <n v="1266479"/>
        <n v="1272645"/>
        <n v="1268570"/>
        <n v="1211845"/>
        <n v="145120"/>
        <n v="142890"/>
        <n v="135983"/>
        <n v="132536"/>
        <n v="126717"/>
        <n v="124186"/>
        <n v="121687"/>
        <n v="125846"/>
        <n v="124582"/>
        <n v="122162"/>
        <n v="124923"/>
        <n v="127527"/>
        <n v="127303"/>
        <n v="127345"/>
        <n v="123293"/>
        <n v="123058"/>
        <n v="117183"/>
        <n v="119776"/>
        <n v="118954"/>
        <n v="114966"/>
        <n v="118165"/>
        <n v="116930"/>
        <n v="117175"/>
        <n v="116045"/>
        <n v="112856"/>
        <n v="112908"/>
        <n v="117788"/>
        <n v="115790"/>
        <n v="115068"/>
        <n v="115427"/>
        <n v="111549"/>
        <n v="113933"/>
        <n v="110829"/>
        <n v="105770"/>
        <n v="102572"/>
        <n v="100370"/>
        <n v="98662"/>
        <n v="104889"/>
        <n v="117520"/>
        <n v="111905"/>
        <n v="111887"/>
        <n v="115250"/>
        <n v="117328"/>
        <n v="118928"/>
        <n v="121863"/>
        <n v="123801"/>
        <n v="130662"/>
        <n v="132163"/>
        <n v="125402"/>
        <n v="130106"/>
        <n v="129042"/>
        <n v="126137"/>
        <n v="130921"/>
        <n v="123155"/>
        <n v="120258"/>
        <n v="122868"/>
        <n v="125742"/>
        <n v="125249"/>
        <n v="130910"/>
        <n v="122848"/>
        <n v="119054"/>
        <n v="123173"/>
        <n v="122744"/>
        <n v="123139"/>
        <n v="122674"/>
        <n v="117279"/>
        <n v="119961"/>
        <n v="110833"/>
        <n v="116141"/>
        <n v="121126"/>
        <n v="60669"/>
        <n v="59427"/>
        <n v="59243"/>
        <n v="58124"/>
        <n v="58047"/>
        <n v="57019"/>
        <n v="54218"/>
        <n v="52700"/>
        <n v="50045"/>
        <n v="49232"/>
        <n v="50340"/>
        <n v="51201"/>
        <n v="51424"/>
        <n v="48290"/>
        <n v="47402"/>
        <n v="47558"/>
        <n v="46448"/>
        <n v="46202"/>
        <n v="44918"/>
        <n v="46306"/>
        <n v="46717"/>
        <n v="45975"/>
        <n v="46353"/>
        <n v="43064"/>
        <n v="39619"/>
        <n v="40785"/>
        <n v="41945"/>
        <n v="42482"/>
        <n v="43656"/>
        <n v="41439"/>
        <n v="41398"/>
        <n v="39296"/>
        <n v="39140"/>
        <n v="43282"/>
        <n v="48523"/>
        <n v="50838"/>
        <n v="50282"/>
        <n v="50240"/>
        <n v="51122"/>
        <n v="49478"/>
        <n v="45963"/>
        <n v="46326"/>
        <n v="46134"/>
        <n v="46815"/>
        <n v="50571"/>
        <n v="50578"/>
        <n v="46384"/>
        <n v="46277"/>
        <n v="45970"/>
        <n v="46302"/>
        <n v="46826"/>
        <n v="46489"/>
        <n v="47186"/>
        <n v="45949"/>
        <n v="45783"/>
        <n v="45700"/>
        <n v="44795"/>
        <n v="45324"/>
        <n v="46588"/>
        <n v="46070"/>
        <n v="47125"/>
        <n v="46552"/>
        <n v="46385"/>
        <n v="47865"/>
        <n v="44724"/>
        <n v="43638"/>
        <n v="44510"/>
        <n v="40099"/>
        <n v="41940"/>
        <n v="19461"/>
        <n v="18571"/>
        <n v="17465"/>
        <n v="16510"/>
        <n v="15329"/>
        <n v="15170"/>
        <n v="14234"/>
        <n v="12920"/>
        <n v="12977"/>
        <n v="12989"/>
        <n v="12494"/>
        <n v="14295"/>
        <n v="14821"/>
        <n v="14417"/>
        <n v="13928"/>
        <n v="13612"/>
        <n v="13216"/>
        <n v="13123"/>
        <n v="12664"/>
        <n v="12718"/>
        <n v="13034"/>
        <n v="12589"/>
        <n v="12581"/>
        <n v="12982"/>
        <n v="12492"/>
        <n v="12400"/>
        <n v="12715"/>
        <n v="12256"/>
        <n v="12123"/>
        <n v="11961"/>
        <n v="11514"/>
        <n v="11915"/>
        <n v="11197"/>
        <n v="8762"/>
        <n v="7741"/>
        <n v="7511"/>
        <n v="7384"/>
        <n v="7624"/>
        <n v="8192"/>
        <n v="8147"/>
        <n v="8141"/>
        <n v="8050"/>
        <n v="7964"/>
        <n v="8269"/>
        <n v="9085"/>
        <n v="9130"/>
        <n v="9167"/>
        <n v="9291"/>
        <n v="9375"/>
        <n v="9417"/>
        <n v="9856"/>
        <n v="10434"/>
        <n v="11800"/>
        <n v="11813"/>
        <n v="12165"/>
        <n v="12158"/>
        <n v="12357"/>
        <n v="12867"/>
        <n v="13043"/>
        <n v="12895"/>
        <n v="12678"/>
        <n v="12908"/>
        <n v="12896"/>
        <n v="12829"/>
        <n v="13169"/>
        <n v="14120"/>
        <n v="14046"/>
        <n v="62395"/>
        <n v="60602"/>
        <n v="60185"/>
        <n v="56919"/>
        <n v="57037"/>
        <n v="57699"/>
        <n v="58509"/>
        <n v="59255"/>
        <n v="58044"/>
        <n v="57210"/>
        <n v="62840"/>
        <n v="64415"/>
        <n v="63992"/>
        <n v="64659"/>
        <n v="63135"/>
        <n v="62134"/>
        <n v="59970"/>
        <n v="58752"/>
        <n v="57689"/>
        <n v="60056"/>
        <n v="57922"/>
        <n v="57519"/>
        <n v="57672"/>
        <n v="54550"/>
        <n v="50591"/>
        <n v="48444"/>
        <n v="48645"/>
        <n v="49613"/>
        <n v="49712"/>
        <n v="49285"/>
        <n v="49951"/>
        <n v="51495"/>
        <n v="50959"/>
        <n v="48752"/>
        <n v="48227"/>
        <n v="47855"/>
        <n v="46985"/>
        <n v="51246"/>
        <n v="50889"/>
        <n v="51234"/>
        <n v="49653"/>
        <n v="50561"/>
        <n v="50924"/>
        <n v="52483"/>
        <n v="53942"/>
        <n v="52528"/>
        <n v="48609"/>
        <n v="50347"/>
        <n v="49828"/>
        <n v="50542"/>
        <n v="49782"/>
        <n v="50538"/>
        <n v="50439"/>
        <n v="50213"/>
        <n v="50681"/>
        <n v="50880"/>
        <n v="50767"/>
        <n v="47975"/>
        <n v="43315"/>
        <n v="48630"/>
        <n v="47322"/>
        <n v="46700"/>
        <n v="47638"/>
        <n v="43781"/>
        <n v="44181"/>
        <n v="42668"/>
        <n v="42716"/>
        <n v="43134"/>
        <n v="41757"/>
        <n v="40440"/>
        <n v="134386"/>
        <n v="134264"/>
        <n v="133072"/>
        <n v="131726"/>
        <n v="130556"/>
        <n v="127716"/>
        <n v="133799"/>
        <n v="131613"/>
        <n v="126428"/>
        <n v="126909"/>
        <n v="137508"/>
        <n v="135556"/>
        <n v="139212"/>
        <n v="143887"/>
        <n v="142784"/>
        <n v="142695"/>
        <n v="140196"/>
        <n v="136332"/>
        <n v="135432"/>
        <n v="135884"/>
        <n v="131141"/>
        <n v="133526"/>
        <n v="132001"/>
        <n v="128054"/>
        <n v="117530"/>
        <n v="117131"/>
        <n v="111989"/>
        <n v="109228"/>
        <n v="110664"/>
        <n v="111316"/>
        <n v="113344"/>
        <n v="116200"/>
        <n v="111725"/>
        <n v="111016"/>
        <n v="119697"/>
        <n v="121454"/>
        <n v="120673"/>
        <n v="121009"/>
        <n v="122103"/>
        <n v="121620"/>
        <n v="119155"/>
        <n v="114651"/>
        <n v="115743"/>
        <n v="115461"/>
        <n v="116722"/>
        <n v="119402"/>
        <n v="118988"/>
        <n v="116516"/>
        <n v="116484"/>
        <n v="123793"/>
        <n v="124100"/>
        <n v="128109"/>
        <n v="127648"/>
        <n v="127304"/>
        <n v="130256"/>
        <n v="130817"/>
        <n v="132899"/>
        <n v="135122"/>
        <n v="136382"/>
        <n v="137596"/>
        <n v="134193"/>
        <n v="131161"/>
        <n v="129992"/>
        <n v="124570"/>
        <n v="124931"/>
        <n v="123528"/>
        <n v="125257"/>
        <n v="159108"/>
        <n v="184434"/>
        <n v="182850"/>
        <n v="273684"/>
        <n v="259852"/>
        <n v="261922"/>
        <n v="253305"/>
        <n v="254401"/>
        <n v="249323"/>
        <n v="247682"/>
        <n v="262724"/>
        <n v="259969"/>
        <n v="247593"/>
        <n v="248976"/>
        <n v="252243"/>
        <n v="244698"/>
        <n v="243809"/>
        <n v="234762"/>
        <n v="229780"/>
        <n v="214995"/>
        <n v="209847"/>
        <n v="203295"/>
        <n v="202382"/>
        <n v="199328"/>
        <n v="199102"/>
        <n v="195977"/>
        <n v="196169"/>
        <n v="190514"/>
        <n v="187348"/>
        <n v="184210"/>
        <n v="186618"/>
        <n v="187254"/>
        <n v="203161"/>
        <n v="201067"/>
        <n v="194906"/>
        <n v="189860"/>
        <n v="187641"/>
        <n v="182857"/>
        <n v="186307"/>
        <n v="175762"/>
        <n v="176364"/>
        <n v="188321"/>
        <n v="187206"/>
        <n v="180876"/>
        <n v="177084"/>
        <n v="182080"/>
        <n v="190896"/>
        <n v="191951"/>
        <n v="191607"/>
        <n v="193614"/>
        <n v="189375"/>
        <n v="188521"/>
        <n v="189312"/>
        <n v="191455"/>
        <n v="192644"/>
        <n v="187965"/>
        <n v="176298"/>
        <n v="171136"/>
        <n v="170198"/>
        <n v="161365"/>
        <n v="164272"/>
        <n v="168070"/>
        <n v="163819"/>
        <n v="161983"/>
        <n v="158990"/>
        <n v="160271"/>
        <n v="158635"/>
        <n v="150522"/>
        <n v="142103"/>
        <n v="146100"/>
        <n v="151457"/>
        <n v="165389"/>
        <n v="160730"/>
        <n v="309543"/>
        <n v="312647"/>
        <n v="313490"/>
        <n v="308907"/>
        <n v="307267"/>
        <n v="304840"/>
        <n v="311504"/>
        <n v="308183"/>
        <n v="306215"/>
        <n v="298638"/>
        <n v="292303"/>
        <n v="285953"/>
        <n v="287905"/>
        <n v="291087"/>
        <n v="287091"/>
        <n v="277334"/>
        <n v="267891"/>
        <n v="265377"/>
        <n v="259311"/>
        <n v="260990"/>
        <n v="257508"/>
        <n v="257648"/>
        <n v="253961"/>
        <n v="238040"/>
        <n v="231380"/>
        <n v="236333"/>
        <n v="240965"/>
        <n v="242981"/>
        <n v="241260"/>
        <n v="239809"/>
        <n v="244474"/>
        <n v="239461"/>
        <n v="231613"/>
        <n v="234644"/>
        <n v="225412"/>
        <n v="224051"/>
        <n v="214625"/>
        <n v="215260"/>
        <n v="231463"/>
        <n v="238236"/>
        <n v="232338"/>
        <n v="229058"/>
        <n v="226891"/>
        <n v="236866"/>
        <n v="247037"/>
        <n v="247147"/>
        <n v="249491"/>
        <n v="247191"/>
        <n v="242357"/>
        <n v="239405"/>
        <n v="237194"/>
        <n v="242218"/>
        <n v="239338"/>
        <n v="236292"/>
        <n v="233984"/>
        <n v="231515"/>
        <n v="234470"/>
        <n v="239645"/>
        <n v="235421"/>
        <n v="222321"/>
        <n v="218160"/>
        <n v="213503"/>
        <n v="211979"/>
        <n v="209718"/>
        <n v="204587"/>
        <n v="199241"/>
        <n v="201667"/>
        <n v="204987"/>
        <n v="201875"/>
        <n v="199229"/>
        <n v="85652"/>
        <n v="90385"/>
        <n v="88177"/>
        <n v="87803"/>
        <n v="83353"/>
        <n v="76380"/>
        <n v="78287"/>
        <n v="77854"/>
        <n v="79579"/>
        <n v="76164"/>
        <n v="69992"/>
        <n v="71750"/>
        <n v="71239"/>
        <n v="76443"/>
        <n v="75223"/>
        <n v="72685"/>
        <n v="75805"/>
        <n v="71574"/>
        <n v="66968"/>
        <n v="64924"/>
        <n v="62814"/>
        <n v="61829"/>
        <n v="62307"/>
        <n v="62232"/>
        <n v="59626"/>
        <n v="59936"/>
        <n v="59392"/>
        <n v="61473"/>
        <n v="62813"/>
        <n v="63982"/>
        <n v="65117"/>
        <n v="64442"/>
        <n v="57149"/>
        <n v="52766"/>
        <n v="45969"/>
        <n v="41448"/>
        <n v="43037"/>
        <n v="43341"/>
        <n v="47465"/>
        <n v="48026"/>
        <n v="48973"/>
        <n v="49367"/>
        <n v="57199"/>
        <n v="63726"/>
        <n v="61586"/>
        <n v="62112"/>
        <n v="61709"/>
        <n v="62373"/>
        <n v="59230"/>
        <n v="60953"/>
        <n v="57259"/>
        <n v="57338"/>
        <n v="56027"/>
        <n v="56970"/>
        <n v="59794"/>
        <n v="66850"/>
        <n v="80571"/>
        <n v="82188"/>
        <n v="80032"/>
        <n v="82019"/>
        <n v="81998"/>
        <n v="83228"/>
        <n v="85738"/>
        <n v="87876"/>
        <n v="85516"/>
        <n v="85785"/>
        <n v="80532"/>
        <n v="81775"/>
        <n v="91259"/>
        <n v="95999"/>
        <n v="110684"/>
        <n v="103322"/>
        <n v="108701"/>
        <n v="107755"/>
        <n v="96480"/>
        <n v="103620"/>
        <n v="112932"/>
        <n v="104347"/>
        <n v="119927"/>
        <n v="92627"/>
        <n v="77096"/>
        <n v="73138"/>
        <n v="68266"/>
        <n v="71909"/>
        <n v="79154"/>
        <n v="68946"/>
        <n v="70098"/>
        <n v="70816"/>
        <n v="69866"/>
        <n v="70939"/>
        <n v="68890"/>
        <n v="60119"/>
        <n v="63998"/>
        <n v="62848"/>
        <n v="63976"/>
        <n v="68257"/>
        <n v="64883"/>
        <n v="65621"/>
        <n v="68983"/>
        <n v="70217"/>
        <n v="61510"/>
        <n v="65243"/>
        <n v="64881"/>
        <n v="58507"/>
        <n v="59511"/>
        <n v="53936"/>
        <n v="47901"/>
        <n v="48151"/>
        <n v="41609"/>
        <n v="40100"/>
        <n v="38424"/>
        <n v="41906"/>
        <n v="45813"/>
        <n v="46471"/>
        <n v="44949"/>
        <n v="44925"/>
        <n v="48572"/>
        <n v="53047"/>
        <n v="58117"/>
        <n v="58742"/>
        <n v="58018"/>
        <n v="60772"/>
        <n v="57297"/>
        <n v="43698"/>
        <n v="45642"/>
        <n v="50636"/>
        <n v="33804"/>
        <n v="32182"/>
        <n v="36805"/>
        <n v="29065"/>
        <n v="36576"/>
        <n v="29529"/>
        <n v="26112"/>
        <n v="27942"/>
        <n v="26280"/>
        <n v="28028"/>
        <n v="37276"/>
        <n v="39795"/>
        <n v="3789054"/>
        <n v="3762158"/>
        <n v="3778210"/>
        <n v="3718480"/>
        <n v="3728733"/>
        <n v="3718909"/>
        <n v="3726870"/>
        <n v="3761160"/>
        <n v="3780410"/>
        <n v="3634499"/>
        <n v="3595089"/>
        <n v="3663778"/>
        <n v="3669057"/>
        <n v="3666741"/>
        <n v="3646162"/>
        <n v="3594422"/>
        <n v="3554370"/>
        <n v="3530867"/>
        <n v="3526990"/>
        <n v="3543377"/>
        <n v="3513383"/>
        <n v="3534030"/>
        <n v="3528909"/>
        <n v="3449349"/>
        <n v="3349209"/>
        <n v="3363511"/>
        <n v="3433439"/>
        <n v="3451844"/>
        <n v="3454621"/>
        <n v="3488265"/>
        <n v="3549380"/>
        <n v="3502236"/>
        <n v="3428623"/>
        <n v="3465999"/>
        <n v="3413597"/>
        <n v="3405868"/>
        <n v="3339422"/>
        <n v="3419325"/>
        <n v="3605727"/>
        <n v="3628391"/>
        <n v="3595848"/>
        <n v="3581689"/>
        <n v="3620016"/>
        <n v="3728617"/>
        <n v="3842386"/>
        <n v="3863708"/>
        <n v="3876771"/>
        <n v="3920434"/>
        <n v="3923154"/>
        <n v="3902357"/>
        <n v="3906678"/>
        <n v="3935835"/>
        <n v="3884116"/>
        <n v="3857328"/>
        <n v="3855420"/>
        <n v="3833138"/>
        <n v="3869134"/>
        <n v="3871871"/>
        <n v="3823177"/>
        <n v="3824318"/>
        <n v="3814467"/>
        <n v="3831368"/>
        <n v="3829281"/>
        <n v="3848435"/>
        <n v="3784627"/>
        <n v="3769204"/>
        <n v="3738350"/>
        <n v="3771264"/>
        <n v="3885455"/>
        <n v="3786788"/>
        <n v="519"/>
        <n v="495"/>
        <n v="492"/>
        <n v="491"/>
        <n v="481"/>
        <n v="582"/>
        <n v="537"/>
        <n v="522"/>
        <n v="500"/>
        <n v="465"/>
        <n v="435"/>
        <n v="434"/>
        <n v="471"/>
        <n v="452"/>
        <n v="352"/>
        <n v="369"/>
        <n v="356"/>
        <n v="359"/>
        <n v="348"/>
        <n v="331"/>
        <n v="234"/>
        <n v="237"/>
        <n v="290"/>
        <n v="87"/>
        <n v="72"/>
        <n v="40"/>
        <n v="37"/>
        <n v="32"/>
        <n v="34"/>
        <n v="26"/>
        <n v="23"/>
        <n v="27"/>
        <n v="128"/>
        <n v="127"/>
        <n v="90"/>
        <n v="68"/>
        <n v="82"/>
        <n v="83"/>
        <n v="89"/>
        <n v="61"/>
        <n v="49"/>
        <n v="3662"/>
        <n v="3746"/>
        <n v="3703"/>
        <n v="3544"/>
        <n v="3623"/>
        <n v="3406"/>
        <n v="3328"/>
        <n v="3171"/>
        <n v="3100"/>
        <n v="3199"/>
        <n v="3137"/>
        <n v="3299"/>
        <n v="2977"/>
        <n v="2984"/>
        <n v="2968"/>
        <n v="2954"/>
        <n v="2899"/>
        <n v="2776"/>
        <n v="2946"/>
        <n v="3350"/>
        <n v="3549"/>
        <n v="3667"/>
        <n v="3696"/>
        <n v="3765"/>
        <n v="3830"/>
        <n v="3864"/>
        <n v="3861"/>
        <n v="3895"/>
        <n v="3890"/>
        <n v="3839"/>
        <n v="3761"/>
        <n v="3708"/>
        <n v="3783"/>
        <n v="3892"/>
        <n v="3699"/>
        <n v="3697"/>
        <n v="3672"/>
        <n v="3733"/>
        <n v="3763"/>
        <n v="3769"/>
        <n v="3768"/>
        <n v="4083"/>
        <n v="4091"/>
        <n v="4080"/>
        <n v="4084"/>
        <n v="4079"/>
        <n v="4085"/>
        <n v="4168"/>
        <n v="3969"/>
        <n v="3967"/>
        <n v="4021"/>
        <n v="4066"/>
        <n v="4116"/>
        <n v="4205"/>
        <n v="4141"/>
        <n v="4130"/>
        <n v="4275"/>
        <n v="4571"/>
        <n v="4731"/>
        <n v="13233"/>
        <n v="14146"/>
        <n v="18671"/>
        <n v="15876"/>
        <n v="15138"/>
        <n v="15137"/>
        <n v="18020"/>
        <n v="17885"/>
        <n v="17819"/>
        <n v="15952"/>
        <n v="16325"/>
        <n v="18112"/>
        <n v="16931"/>
        <n v="16660"/>
        <n v="17604"/>
        <n v="16560"/>
        <n v="16010"/>
        <n v="15453"/>
        <n v="16522"/>
        <n v="18541"/>
        <n v="15991"/>
        <n v="16020"/>
        <n v="15971"/>
        <n v="16483"/>
        <n v="16908"/>
        <n v="16321"/>
        <n v="16823"/>
        <n v="17065"/>
        <n v="15365"/>
        <n v="14306"/>
        <n v="15309"/>
        <n v="14067"/>
        <n v="15127"/>
        <n v="14964"/>
        <n v="15255"/>
        <n v="16235"/>
        <n v="17815"/>
        <n v="16204"/>
        <n v="16089"/>
        <n v="15602"/>
        <n v="14789"/>
        <n v="16401"/>
        <n v="16909"/>
        <n v="15987"/>
        <n v="9182"/>
        <n v="16324"/>
        <n v="16943"/>
        <n v="16895"/>
        <n v="18282"/>
        <n v="18980"/>
        <n v="18422"/>
        <n v="16106"/>
        <n v="17222"/>
        <n v="18002"/>
        <n v="18800"/>
        <n v="17039"/>
        <n v="18148"/>
        <n v="18918"/>
        <n v="15472"/>
        <n v="14665"/>
        <n v="14500"/>
        <n v="12843"/>
        <n v="12877"/>
        <n v="12390"/>
        <n v="11300"/>
        <n v="11005"/>
        <n v="16495"/>
        <n v="14196"/>
        <n v="13472"/>
        <n v="49747"/>
        <n v="47261"/>
        <n v="54533"/>
        <n v="50116"/>
        <n v="48800"/>
        <n v="47275"/>
        <n v="49547"/>
        <n v="48617"/>
        <n v="48352"/>
        <n v="48804"/>
        <n v="46189"/>
        <n v="47321"/>
        <n v="48561"/>
        <n v="47762"/>
        <n v="46541"/>
        <n v="46831"/>
        <n v="44843"/>
        <n v="43960"/>
        <n v="43053"/>
        <n v="44379"/>
        <n v="46441"/>
        <n v="43316"/>
        <n v="45254"/>
        <n v="45615"/>
        <n v="46644"/>
        <n v="46538"/>
        <n v="45765"/>
        <n v="47206"/>
        <n v="46218"/>
        <n v="44070"/>
        <n v="44609"/>
        <n v="46319"/>
        <n v="44550"/>
        <n v="47940"/>
        <n v="46380"/>
        <n v="47674"/>
        <n v="49552"/>
        <n v="50876"/>
        <n v="49541"/>
        <n v="49855"/>
        <n v="48703"/>
        <n v="47429"/>
        <n v="49319"/>
        <n v="49562"/>
        <n v="56673"/>
        <n v="54041"/>
        <n v="58443"/>
        <n v="58703"/>
        <n v="60348"/>
        <n v="62077"/>
        <n v="62818"/>
        <n v="64485"/>
        <n v="62932"/>
        <n v="63083"/>
        <n v="63592"/>
        <n v="64296"/>
        <n v="63151"/>
        <n v="64371"/>
        <n v="64338"/>
        <n v="61902"/>
        <n v="61806"/>
        <n v="61866"/>
        <n v="60628"/>
        <n v="61386"/>
        <n v="59573"/>
        <n v="57805"/>
        <n v="58009"/>
        <n v="68845"/>
        <n v="67967"/>
        <n v="64886"/>
        <n v="74191"/>
        <n v="72116"/>
        <n v="67447"/>
        <n v="71087"/>
        <n v="61653"/>
        <n v="62437"/>
        <n v="68249"/>
        <n v="67506"/>
        <n v="69784"/>
        <n v="66429"/>
        <n v="67314"/>
        <n v="67913"/>
        <n v="71375"/>
        <n v="73103"/>
        <n v="73359"/>
        <n v="64545"/>
        <n v="65124"/>
        <n v="67794"/>
        <n v="66668"/>
        <n v="68194"/>
        <n v="67253"/>
        <n v="59723"/>
        <n v="56657"/>
        <n v="56164"/>
        <n v="55810"/>
        <n v="55784"/>
        <n v="53908"/>
        <n v="56458"/>
        <n v="52845"/>
        <n v="59003"/>
        <n v="59160"/>
        <n v="57553"/>
        <n v="60970"/>
        <n v="56444"/>
        <n v="58309"/>
        <n v="58544"/>
        <n v="56253"/>
        <n v="56237"/>
        <n v="56290"/>
        <n v="54297"/>
        <n v="57191"/>
        <n v="60155"/>
        <n v="59189"/>
        <n v="60611"/>
        <n v="59704"/>
        <n v="56271"/>
        <n v="54585"/>
        <n v="53778"/>
        <n v="47792"/>
        <n v="47077"/>
        <n v="46297"/>
        <n v="45118"/>
        <n v="45380"/>
        <n v="42877"/>
        <n v="41253"/>
        <n v="40478"/>
        <n v="41035"/>
        <n v="39788"/>
        <n v="40637"/>
        <n v="39492"/>
        <n v="39327"/>
        <n v="42885"/>
        <n v="42992"/>
        <n v="43481"/>
        <n v="46283"/>
        <n v="43709"/>
        <n v="45109"/>
        <n v="16080"/>
        <n v="15421"/>
        <n v="14788"/>
        <n v="15744"/>
        <n v="16174"/>
        <n v="15684"/>
        <n v="14445"/>
        <n v="11794"/>
        <n v="11193"/>
        <n v="9760"/>
        <n v="10026"/>
        <n v="10971"/>
        <n v="10368"/>
        <n v="10591"/>
        <n v="10944"/>
        <n v="10730"/>
        <n v="10329"/>
        <n v="10494"/>
        <n v="10032"/>
        <n v="7675"/>
        <n v="6200"/>
        <n v="6167"/>
        <n v="6091"/>
        <n v="6001"/>
        <n v="4972"/>
        <n v="4905"/>
        <n v="5752"/>
        <n v="4937"/>
        <n v="4645"/>
        <n v="4587"/>
        <n v="4529"/>
        <n v="4476"/>
        <n v="4184"/>
        <n v="4942"/>
        <n v="4833"/>
        <n v="4899"/>
        <n v="4881"/>
        <n v="5180"/>
        <n v="5355"/>
        <n v="5538"/>
        <n v="5338"/>
        <n v="5455"/>
        <n v="5762"/>
        <n v="5788"/>
        <n v="5720"/>
        <n v="6188"/>
        <n v="6420"/>
        <n v="6850"/>
        <n v="6752"/>
        <n v="7445"/>
        <n v="8580"/>
        <n v="8323"/>
        <n v="7509"/>
        <n v="7998"/>
        <n v="7537"/>
        <n v="6924"/>
        <n v="7760"/>
        <n v="7438"/>
        <n v="8407"/>
        <n v="7606"/>
        <n v="7844"/>
        <n v="7638"/>
        <n v="7915"/>
        <n v="7283"/>
        <n v="91896"/>
        <n v="89109"/>
        <n v="84131"/>
        <n v="88729"/>
        <n v="79508"/>
        <n v="79855"/>
        <n v="84436"/>
        <n v="81074"/>
        <n v="82751"/>
        <n v="77838"/>
        <n v="78765"/>
        <n v="79833"/>
        <n v="84169"/>
        <n v="85366"/>
        <n v="85910"/>
        <n v="86054"/>
        <n v="77026"/>
        <n v="77249"/>
        <n v="79985"/>
        <n v="78382"/>
        <n v="79906"/>
        <n v="76987"/>
        <n v="67928"/>
        <n v="64635"/>
        <n v="64037"/>
        <n v="63697"/>
        <n v="63019"/>
        <n v="60633"/>
        <n v="62974"/>
        <n v="60134"/>
        <n v="65447"/>
        <n v="65110"/>
        <n v="63434"/>
        <n v="66842"/>
        <n v="62335"/>
        <n v="64353"/>
        <n v="64277"/>
        <n v="62516"/>
        <n v="63016"/>
        <n v="62291"/>
        <n v="60227"/>
        <n v="63483"/>
        <n v="66312"/>
        <n v="65433"/>
        <n v="66514"/>
        <n v="65513"/>
        <n v="62153"/>
        <n v="60773"/>
        <n v="59923"/>
        <n v="53904"/>
        <n v="53668"/>
        <n v="53077"/>
        <n v="52442"/>
        <n v="52563"/>
        <n v="50840"/>
        <n v="49512"/>
        <n v="49518"/>
        <n v="49801"/>
        <n v="47673"/>
        <n v="48994"/>
        <n v="47413"/>
        <n v="46625"/>
        <n v="50902"/>
        <n v="51517"/>
        <n v="51728"/>
        <n v="51267"/>
        <n v="52925"/>
        <n v="54207"/>
        <n v="52058"/>
        <n v="52791"/>
        <n v="9150537"/>
        <n v="9153928"/>
        <n v="9172221"/>
        <n v="9032348"/>
        <n v="9012241"/>
        <n v="8937169"/>
        <n v="8913261"/>
        <n v="8970210"/>
        <n v="8817426"/>
        <n v="8528300"/>
        <n v="8506419"/>
        <n v="8615470"/>
        <n v="8582797"/>
        <n v="8666442"/>
        <n v="8508975"/>
        <n v="8325951"/>
        <n v="8202035"/>
        <n v="8027086"/>
        <n v="7940660"/>
        <n v="8015371"/>
        <n v="7909289"/>
        <n v="7872388"/>
        <n v="7846483"/>
        <n v="7632361"/>
        <n v="7391932"/>
        <n v="7431258"/>
        <n v="7545750"/>
        <n v="7516867"/>
        <n v="7489028"/>
        <n v="7398495"/>
        <n v="7455141"/>
        <n v="7414943"/>
        <n v="7202707"/>
        <n v="7252120"/>
        <n v="7137127"/>
        <n v="7131308"/>
        <n v="7080500"/>
        <n v="7197520"/>
        <n v="7438660"/>
        <n v="7427622"/>
        <n v="7352672"/>
        <n v="7348471"/>
        <n v="7378295"/>
        <n v="7541383"/>
        <n v="7645635"/>
        <n v="7594704"/>
        <n v="7678707"/>
        <n v="7625306"/>
        <n v="7596687"/>
        <n v="7512739"/>
        <n v="7521169"/>
        <n v="7509370"/>
        <n v="7460789"/>
        <n v="7089773"/>
        <n v="7026091"/>
        <n v="6977159"/>
        <n v="7048359"/>
        <n v="7065504"/>
        <n v="7018061"/>
        <n v="6987221"/>
        <n v="7005787"/>
        <n v="6999078"/>
        <n v="7013571"/>
        <n v="7016865"/>
        <n v="6982528"/>
        <n v="6906037"/>
        <n v="6829860"/>
        <n v="6892372"/>
        <n v="7153091"/>
        <n v="6958428"/>
        <n v="62482"/>
        <n v="64192"/>
        <n v="62138"/>
        <n v="64617"/>
        <n v="62850"/>
        <n v="62560"/>
        <n v="65280"/>
        <n v="60902"/>
        <n v="60226"/>
        <n v="67299"/>
        <n v="84178"/>
        <n v="83608"/>
        <n v="87523"/>
        <n v="74762"/>
        <n v="80577"/>
        <n v="80994"/>
        <n v="77345"/>
        <n v="84803"/>
        <n v="76959"/>
        <n v="74058"/>
        <n v="70971"/>
        <n v="62483"/>
        <n v="74571"/>
        <n v="66661"/>
        <n v="67510"/>
        <n v="60442"/>
        <n v="57461"/>
        <n v="61981"/>
        <n v="56910"/>
        <n v="45294"/>
        <n v="35003"/>
        <n v="37158"/>
        <n v="35551"/>
        <n v="37890"/>
        <n v="41278"/>
        <n v="39488"/>
        <n v="38942"/>
        <n v="40559"/>
        <n v="40854"/>
        <n v="44505"/>
        <n v="47814"/>
        <n v="50100"/>
        <n v="48873"/>
        <n v="44422"/>
        <n v="45111"/>
        <n v="45138"/>
        <n v="44701"/>
        <n v="42210"/>
        <n v="42171"/>
        <n v="42497"/>
        <n v="41846"/>
        <n v="39203"/>
        <n v="38949"/>
        <n v="45359"/>
        <n v="42516"/>
        <n v="44901"/>
        <n v="35109"/>
        <n v="45652"/>
        <n v="45094"/>
        <n v="49756"/>
        <n v="49333"/>
        <n v="59382"/>
        <n v="49607"/>
        <n v="52353"/>
        <n v="53546"/>
        <n v="39846"/>
        <n v="50706"/>
        <n v="29607"/>
        <n v="30322"/>
        <n v="27474"/>
        <n v="25537"/>
        <n v="29462"/>
        <n v="25503"/>
        <n v="24229"/>
        <n v="24766"/>
        <n v="24029"/>
        <n v="23824"/>
        <n v="28705"/>
        <n v="24185"/>
        <n v="23223"/>
        <n v="25048"/>
        <n v="21808"/>
        <n v="21277"/>
        <n v="19885"/>
        <n v="18845"/>
        <n v="18575"/>
        <n v="18442"/>
        <n v="19012"/>
        <n v="18916"/>
        <n v="18954"/>
        <n v="17298"/>
        <n v="17300"/>
        <n v="17415"/>
        <n v="17321"/>
        <n v="16252"/>
        <n v="17277"/>
        <n v="14764"/>
        <n v="15839"/>
        <n v="16541"/>
        <n v="16642"/>
        <n v="15073"/>
        <n v="16279"/>
        <n v="13866"/>
        <n v="13429"/>
        <n v="13180"/>
        <n v="13395"/>
        <n v="15847"/>
        <n v="14476"/>
        <n v="13959"/>
        <n v="13397"/>
        <n v="15851"/>
        <n v="16745"/>
        <n v="17417"/>
        <n v="19284"/>
        <n v="16245"/>
        <n v="15680"/>
        <n v="13572"/>
        <n v="15769"/>
        <n v="17913"/>
        <n v="17617"/>
        <n v="17567"/>
        <n v="18310"/>
        <n v="20370"/>
        <n v="19113"/>
        <n v="19973"/>
        <n v="19990"/>
        <n v="19661"/>
        <n v="19681"/>
        <n v="18738"/>
        <n v="18182"/>
        <n v="92089"/>
        <n v="94514"/>
        <n v="89612"/>
        <n v="90154"/>
        <n v="92312"/>
        <n v="88063"/>
        <n v="89509"/>
        <n v="85668"/>
        <n v="91123"/>
        <n v="112883"/>
        <n v="107793"/>
        <n v="110746"/>
        <n v="99810"/>
        <n v="102385"/>
        <n v="102271"/>
        <n v="97230"/>
        <n v="103648"/>
        <n v="95534"/>
        <n v="92500"/>
        <n v="89983"/>
        <n v="81399"/>
        <n v="93525"/>
        <n v="83959"/>
        <n v="84810"/>
        <n v="77857"/>
        <n v="74782"/>
        <n v="78233"/>
        <n v="74187"/>
        <n v="60058"/>
        <n v="50842"/>
        <n v="53699"/>
        <n v="52193"/>
        <n v="52963"/>
        <n v="57557"/>
        <n v="53354"/>
        <n v="52651"/>
        <n v="53988"/>
        <n v="54034"/>
        <n v="57900"/>
        <n v="64271"/>
        <n v="62290"/>
        <n v="64825"/>
        <n v="62832"/>
        <n v="57819"/>
        <n v="60962"/>
        <n v="61663"/>
        <n v="62555"/>
        <n v="63985"/>
        <n v="58157"/>
        <n v="57643"/>
        <n v="58091"/>
        <n v="54883"/>
        <n v="52521"/>
        <n v="61128"/>
        <n v="60429"/>
        <n v="62518"/>
        <n v="52676"/>
        <n v="63962"/>
        <n v="64640"/>
        <n v="70126"/>
        <n v="68446"/>
        <n v="69597"/>
        <n v="72014"/>
        <n v="73227"/>
        <n v="57112"/>
        <n v="72956"/>
        <n v="68888"/>
        <n v="7305083"/>
        <n v="7254900"/>
        <n v="7468642"/>
        <n v="7505983"/>
        <n v="7458553"/>
        <n v="7563215"/>
        <n v="7595100"/>
        <n v="7620532"/>
        <n v="7509115"/>
        <n v="7476742"/>
        <n v="7716320"/>
        <n v="7940008"/>
        <n v="7953787"/>
        <n v="7999272"/>
        <n v="8107871"/>
        <n v="8036194"/>
        <n v="8130734"/>
        <n v="8299265"/>
        <n v="8428222"/>
        <n v="8611360"/>
        <n v="8766252"/>
        <n v="8693543"/>
        <n v="8723263"/>
        <n v="8619302"/>
        <n v="8619423"/>
        <n v="8901681"/>
        <n v="9055878"/>
        <n v="9002770"/>
        <n v="9025232"/>
        <n v="9104553"/>
        <n v="9122502"/>
        <n v="9261833"/>
        <n v="9248442"/>
        <n v="9242626"/>
        <n v="7194684"/>
        <n v="7184662"/>
        <n v="7133151"/>
        <n v="7251508"/>
        <n v="7492694"/>
        <n v="7485522"/>
        <n v="7416943"/>
        <n v="7410761"/>
        <n v="7443120"/>
        <n v="7604215"/>
        <n v="7703454"/>
        <n v="7655666"/>
        <n v="7740370"/>
        <n v="7687861"/>
        <n v="7660672"/>
        <n v="7570896"/>
        <n v="7578812"/>
        <n v="7567320"/>
        <n v="7518880"/>
        <n v="7144656"/>
        <n v="7078612"/>
        <n v="7038287"/>
        <n v="7108788"/>
        <n v="7128022"/>
        <n v="7070737"/>
        <n v="7051183"/>
        <n v="7070427"/>
        <n v="7069204"/>
        <n v="7082017"/>
        <n v="7096220"/>
        <n v="7052125"/>
        <n v="6978051"/>
        <n v="6903087"/>
        <n v="6949484"/>
        <n v="7226047"/>
        <n v="7027316"/>
        <n v="3879890"/>
        <n v="3886776"/>
        <n v="3933109"/>
        <n v="3898931"/>
        <n v="3905936"/>
        <n v="3886080"/>
        <n v="3919891"/>
        <n v="3935576"/>
        <n v="3910097"/>
        <n v="3818745"/>
        <n v="3792493"/>
        <n v="3861856"/>
        <n v="3856251"/>
        <n v="3914130"/>
        <n v="3876375"/>
        <n v="3846436"/>
        <n v="3831011"/>
        <n v="3797680"/>
        <n v="3787246"/>
        <n v="3816873"/>
        <n v="3767587"/>
        <n v="3799148"/>
        <n v="3796439"/>
        <n v="3684071"/>
        <n v="3640409"/>
        <n v="3690999"/>
        <n v="3738159"/>
        <n v="3758780"/>
        <n v="3769207"/>
        <n v="3782698"/>
        <n v="3789724"/>
        <n v="3769907"/>
        <n v="3692667"/>
        <n v="3703848"/>
        <n v="3667449"/>
        <n v="3661970"/>
        <n v="3614042"/>
        <n v="3713699"/>
        <n v="3876879"/>
        <n v="3894989"/>
        <n v="3855274"/>
        <n v="3866292"/>
        <n v="3907479"/>
        <n v="4025302"/>
        <n v="4124382"/>
        <n v="4129999"/>
        <n v="4117652"/>
        <n v="4161033"/>
        <n v="4179437"/>
        <n v="4207931"/>
        <n v="4216265"/>
        <n v="4254057"/>
        <n v="4215874"/>
        <n v="4225981"/>
        <n v="4201533"/>
        <n v="4202077"/>
        <n v="4235327"/>
        <n v="4224513"/>
        <n v="4186538"/>
        <n v="4176189"/>
        <n v="4166760"/>
        <n v="4198868"/>
        <n v="4199285"/>
        <n v="4191213"/>
        <n v="4147116"/>
        <n v="4105945"/>
        <n v="4047365"/>
        <n v="4117857"/>
        <n v="4264909"/>
        <n v="4169878"/>
        <n v="5362736"/>
        <n v="5361666"/>
        <n v="5328724"/>
        <n v="5223571"/>
        <n v="5198617"/>
        <n v="5139152"/>
        <n v="5082879"/>
        <n v="5120302"/>
        <n v="4991584"/>
        <n v="4800678"/>
        <n v="4826809"/>
        <n v="4861407"/>
        <n v="4837292"/>
        <n v="4852122"/>
        <n v="4734985"/>
        <n v="4581786"/>
        <n v="4468254"/>
        <n v="4333054"/>
        <n v="4248948"/>
        <n v="4290998"/>
        <n v="4231685"/>
        <n v="4154639"/>
        <n v="4143569"/>
        <n v="4032249"/>
        <n v="3836333"/>
        <n v="3818116"/>
        <n v="3882373"/>
        <n v="3836320"/>
        <n v="3794008"/>
        <n v="3675855"/>
        <n v="3716259"/>
        <n v="3698735"/>
        <n v="3562233"/>
        <n v="3601235"/>
        <n v="3527235"/>
        <n v="3522692"/>
        <n v="3519109"/>
        <n v="3537809"/>
        <n v="3615815"/>
        <n v="3590533"/>
        <n v="3561669"/>
        <n v="3544469"/>
        <n v="3535641"/>
        <n v="3578913"/>
        <n v="3579072"/>
        <n v="3525667"/>
        <n v="3622718"/>
        <n v="3526828"/>
        <n v="3481235"/>
        <n v="3362965"/>
        <n v="3362547"/>
        <n v="3313263"/>
        <n v="3303006"/>
        <n v="2918675"/>
        <n v="2877079"/>
        <n v="2836210"/>
        <n v="2873461"/>
        <n v="2903509"/>
        <n v="2884199"/>
        <n v="2874994"/>
        <n v="2903667"/>
        <n v="2870336"/>
        <n v="2882732"/>
        <n v="2905007"/>
        <n v="2905009"/>
        <n v="2872106"/>
        <n v="2855722"/>
        <n v="2831627"/>
        <n v="2961138"/>
        <n v="2857438"/>
      </sharedItems>
    </cacheField>
    <cacheField name="Net Sales of Treasuries" numFmtId="165">
      <sharedItems containsMixedTypes="1" containsNumber="1" containsInteger="1" minValue="-78227" maxValue="171443" count="2088">
        <n v="-771"/>
        <n v="376"/>
        <n v="205"/>
        <n v="-507"/>
        <n v="873"/>
        <n v="66"/>
        <n v="-718"/>
        <n v="252"/>
        <n v="913"/>
        <n v="-1537"/>
        <n v="207"/>
        <n v="448"/>
        <n v="-435"/>
        <n v="1154"/>
        <n v="-78"/>
        <n v="-75"/>
        <n v="513"/>
        <n v="138"/>
        <n v="197"/>
        <n v="1043"/>
        <n v="-423"/>
        <n v="-1023"/>
        <n v="572"/>
        <n v="357"/>
        <n v="-92"/>
        <n v="226"/>
        <n v="329"/>
        <n v="53"/>
        <n v="1254"/>
        <n v="-234"/>
        <n v="-733"/>
        <n v="215"/>
        <n v="-295"/>
        <s v="n.a."/>
        <n v="-24868"/>
        <n v="18198"/>
        <n v="670"/>
        <n v="-12165"/>
        <n v="14863"/>
        <n v="3784"/>
        <n v="-17501"/>
        <n v="2784"/>
        <n v="-821"/>
        <n v="-13820"/>
        <n v="15399"/>
        <n v="4287"/>
        <n v="-15015"/>
        <n v="32396"/>
        <n v="7045"/>
        <n v="-10705"/>
        <n v="-1458"/>
        <n v="354"/>
        <n v="-2068"/>
        <n v="-13580"/>
        <n v="-1204"/>
        <n v="-16591"/>
        <n v="-3286"/>
        <n v="1560"/>
        <n v="-22109"/>
        <n v="8515"/>
        <n v="-2463"/>
        <n v="-14433"/>
        <n v="8945"/>
        <n v="-9813"/>
        <n v="8317"/>
        <n v="426"/>
        <n v="6216"/>
        <n v="293"/>
        <n v="-86"/>
        <n v="372"/>
        <n v="-8"/>
        <n v="25"/>
        <n v="116"/>
        <n v="-97"/>
        <n v="104"/>
        <n v="-10"/>
        <n v="-72"/>
        <n v="22"/>
        <n v="-27"/>
        <n v="-94"/>
        <n v="100"/>
        <n v="19"/>
        <n v="37"/>
        <n v="108"/>
        <n v="8"/>
        <n v="74"/>
        <n v="-13"/>
        <n v="146"/>
        <n v="-83"/>
        <n v="72"/>
        <n v="29"/>
        <n v="11"/>
        <n v="-3"/>
        <n v="13"/>
        <n v="4"/>
        <n v="36"/>
        <n v="17"/>
        <n v="3"/>
        <n v="15"/>
        <n v="5"/>
        <n v="-433"/>
        <n v="437"/>
        <n v="-518"/>
        <n v="-488"/>
        <n v="-673"/>
        <n v="-1541"/>
        <n v="-444"/>
        <n v="1702"/>
        <n v="-969"/>
        <n v="-687"/>
        <n v="1241"/>
        <n v="124"/>
        <n v="-115"/>
        <n v="-200"/>
        <n v="-644"/>
        <n v="334"/>
        <n v="-753"/>
        <n v="-138"/>
        <n v="343"/>
        <n v="1983"/>
        <n v="611"/>
        <n v="-851"/>
        <n v="908"/>
        <n v="-270"/>
        <n v="625"/>
        <n v="-974"/>
        <n v="-451"/>
        <n v="-220"/>
        <n v="264"/>
        <n v="-215"/>
        <n v="350"/>
        <n v="1363"/>
        <n v="-272"/>
        <n v="-235"/>
        <n v="690"/>
        <n v="132"/>
        <n v="-168"/>
        <n v="289"/>
        <n v="519"/>
        <n v="391"/>
        <n v="1158"/>
        <n v="-67"/>
        <n v="213"/>
        <n v="86"/>
        <n v="165"/>
        <n v="65"/>
        <n v="50"/>
        <n v="-34"/>
        <n v="44"/>
        <n v="-147"/>
        <n v="-189"/>
        <n v="-84"/>
        <n v="182"/>
        <n v="45"/>
        <n v="-556"/>
        <n v="-74"/>
        <n v="-289"/>
        <n v="106"/>
        <n v="396"/>
        <n v="425"/>
        <n v="107"/>
        <n v="180"/>
        <n v="34"/>
        <n v="174"/>
        <n v="17408"/>
        <n v="-11828"/>
        <n v="3665"/>
        <n v="18642"/>
        <n v="6947"/>
        <n v="9621"/>
        <n v="3679"/>
        <n v="11346"/>
        <n v="6908"/>
        <n v="-8643"/>
        <n v="3624"/>
        <n v="9956"/>
        <n v="7781"/>
        <n v="9532"/>
        <n v="12627"/>
        <n v="-6890"/>
        <n v="12941"/>
        <n v="3229"/>
        <n v="7669"/>
        <n v="-5115"/>
        <n v="15394"/>
        <n v="15157"/>
        <n v="-6132"/>
        <n v="42905"/>
        <n v="6475"/>
        <n v="4373"/>
        <n v="-7667"/>
        <n v="6924"/>
        <n v="24788"/>
        <n v="6418"/>
        <n v="26910"/>
        <n v="6486"/>
        <n v="-7861"/>
        <n v="4248"/>
        <n v="10403"/>
        <n v="-7789"/>
        <n v="8281"/>
        <n v="-1991"/>
        <n v="-7336"/>
        <n v="-1223"/>
        <n v="6615"/>
        <n v="-2070"/>
        <n v="5123"/>
        <n v="491"/>
        <n v="-1081"/>
        <n v="1006"/>
        <n v="3938"/>
        <n v="15703"/>
        <n v="-330"/>
        <n v="-1346"/>
        <n v="57"/>
        <n v="-439"/>
        <n v="2964"/>
        <n v="3055"/>
        <n v="652"/>
        <n v="-2205"/>
        <n v="4993"/>
        <n v="-1485"/>
        <n v="1008"/>
        <n v="2256"/>
        <n v="2291"/>
        <n v="3922"/>
        <n v="1659"/>
        <n v="969"/>
        <n v="2544"/>
        <n v="-1734"/>
        <n v="-4054"/>
        <n v="15269"/>
        <n v="7157"/>
        <n v="-7949"/>
        <n v="230"/>
        <n v="-823"/>
        <n v="-10515"/>
        <n v="3176"/>
        <n v="-5079"/>
        <n v="-4202"/>
        <n v="3488"/>
        <n v="-13524"/>
        <n v="1942"/>
        <n v="8993"/>
        <n v="2076"/>
        <n v="-2090"/>
        <n v="6409"/>
        <n v="-8067"/>
        <n v="-2627"/>
        <n v="11348"/>
        <n v="-11933"/>
        <n v="9942"/>
        <n v="12960"/>
        <n v="8837"/>
        <n v="1804"/>
        <n v="25457"/>
        <n v="-13057"/>
        <n v="34184"/>
        <n v="3535"/>
        <n v="-5484"/>
        <n v="-7721"/>
        <n v="1683"/>
        <n v="1768"/>
        <n v="571"/>
        <n v="253"/>
        <n v="2396"/>
        <n v="-261"/>
        <n v="702"/>
        <n v="863"/>
        <n v="569"/>
        <n v="-209"/>
        <n v="-1651"/>
        <n v="1516"/>
        <n v="1405"/>
        <n v="413"/>
        <n v="249"/>
        <n v="1455"/>
        <n v="102"/>
        <n v="988"/>
        <n v="3952"/>
        <n v="6399"/>
        <n v="-1536"/>
        <n v="63"/>
        <n v="668"/>
        <n v="432"/>
        <n v="-520"/>
        <n v="-323"/>
        <n v="236"/>
        <n v="-302"/>
        <n v="-1744"/>
        <n v="-1887"/>
        <n v="5745"/>
        <n v="2989"/>
        <n v="-1399"/>
        <n v="-635"/>
        <n v="-4149"/>
        <n v="10821"/>
        <n v="19800"/>
        <n v="1715"/>
        <n v="-9584"/>
        <n v="5138"/>
        <n v="-4379"/>
        <n v="-2401"/>
        <n v="-1176"/>
        <n v="-13824"/>
        <n v="4780"/>
        <n v="2383"/>
        <n v="6233"/>
        <n v="58"/>
        <n v="-191"/>
        <n v="1953"/>
        <n v="1117"/>
        <n v="2333"/>
        <n v="-5693"/>
        <n v="7166"/>
        <n v="6772"/>
        <n v="8962"/>
        <n v="943"/>
        <n v="22954"/>
        <n v="-24740"/>
        <n v="13766"/>
        <n v="18525"/>
        <n v="18846"/>
        <n v="-766"/>
        <n v="3746"/>
        <n v="4042"/>
        <n v="-5752"/>
        <n v="13439"/>
        <n v="793"/>
        <n v="-131"/>
        <n v="-3741"/>
        <n v="3297"/>
        <n v="2148"/>
        <n v="-4359"/>
        <n v="-5317"/>
        <n v="7490"/>
        <n v="1642"/>
        <n v="1747"/>
        <n v="-3937"/>
        <n v="3540"/>
        <n v="-2579"/>
        <n v="6461"/>
        <n v="1377"/>
        <n v="3236"/>
        <n v="-470"/>
        <n v="-245"/>
        <n v="4827"/>
        <n v="-1797"/>
        <n v="141"/>
        <n v="-425"/>
        <n v="115"/>
        <n v="1871"/>
        <n v="237"/>
        <n v="-1786"/>
        <n v="4132"/>
        <n v="-1244"/>
        <n v="756"/>
        <n v="-230"/>
        <n v="-1633"/>
        <n v="1708"/>
        <n v="3474"/>
        <n v="-24704"/>
        <n v="373"/>
        <n v="7642"/>
        <n v="16277"/>
        <n v="-7941"/>
        <n v="-5302"/>
        <n v="38078"/>
        <n v="-12673"/>
        <n v="15612"/>
        <n v="-3084"/>
        <n v="-6102"/>
        <n v="-4217"/>
        <n v="6660"/>
        <n v="3732"/>
        <n v="985"/>
        <n v="9334"/>
        <n v="2973"/>
        <n v="-7833"/>
        <n v="10827"/>
        <n v="-5033"/>
        <n v="7246"/>
        <n v="6778"/>
        <n v="-9677"/>
        <n v="763"/>
        <n v="-3033"/>
        <n v="-705"/>
        <n v="1371"/>
        <n v="4961"/>
        <n v="-283"/>
        <n v="3045"/>
        <n v="1829"/>
        <n v="13205"/>
        <n v="7"/>
        <n v="-69"/>
        <n v="-64"/>
        <n v="201"/>
        <n v="-155"/>
        <n v="43"/>
        <n v="89"/>
        <n v="61"/>
        <n v="32"/>
        <n v="-24"/>
        <n v="-12"/>
        <n v="-368"/>
        <n v="257"/>
        <n v="-95"/>
        <n v="-45"/>
        <n v="93"/>
        <n v="-59"/>
        <n v="522"/>
        <n v="-49"/>
        <n v="80"/>
        <n v="167"/>
        <n v="-25"/>
        <n v="169"/>
        <n v="24"/>
        <n v="163"/>
        <n v="238"/>
        <n v="-654"/>
        <n v="-136"/>
        <n v="203"/>
        <n v="10399"/>
        <n v="-6627"/>
        <n v="-2635"/>
        <n v="15288"/>
        <n v="-7084"/>
        <n v="2084"/>
        <n v="8216"/>
        <n v="-416"/>
        <n v="-167"/>
        <n v="-337"/>
        <n v="-2768"/>
        <n v="-47"/>
        <n v="3010"/>
        <n v="1565"/>
        <n v="-1737"/>
        <n v="-554"/>
        <n v="1001"/>
        <n v="6561"/>
        <n v="3054"/>
        <n v="1951"/>
        <n v="-7087"/>
        <n v="2835"/>
        <n v="1443"/>
        <n v="747"/>
        <n v="1181"/>
        <n v="-1949"/>
        <n v="2889"/>
        <n v="1191"/>
        <n v="-1111"/>
        <n v="5544"/>
        <n v="5079"/>
        <n v="-119"/>
        <n v="490"/>
        <n v="-560"/>
        <n v="721"/>
        <n v="-315"/>
        <n v="-3415"/>
        <n v="-2582"/>
        <n v="3417"/>
        <n v="1414"/>
        <n v="-762"/>
        <n v="-954"/>
        <n v="1952"/>
        <n v="-393"/>
        <n v="1161"/>
        <n v="965"/>
        <n v="549"/>
        <n v="-16"/>
        <n v="1493"/>
        <n v="902"/>
        <n v="-601"/>
        <n v="-1090"/>
        <n v="475"/>
        <n v="120"/>
        <n v="531"/>
        <n v="1336"/>
        <n v="409"/>
        <n v="550"/>
        <n v="3085"/>
        <n v="481"/>
        <n v="1234"/>
        <n v="1315"/>
        <n v="-87"/>
        <n v="-2746"/>
        <n v="3886"/>
        <n v="-4960"/>
        <n v="-4712"/>
        <n v="-1869"/>
        <n v="26660"/>
        <n v="-9702"/>
        <n v="1174"/>
        <n v="4105"/>
        <n v="-616"/>
        <n v="-1542"/>
        <n v="5675"/>
        <n v="8816"/>
        <n v="557"/>
        <n v="-4066"/>
        <n v="8015"/>
        <n v="7036"/>
        <n v="4276"/>
        <n v="1236"/>
        <n v="-1756"/>
        <n v="5983"/>
        <n v="-589"/>
        <n v="-287"/>
        <n v="-1631"/>
        <n v="-27513"/>
        <n v="-2480"/>
        <n v="4500"/>
        <n v="19151"/>
        <n v="-13454"/>
        <n v="11419"/>
        <n v="2864"/>
        <n v="1335"/>
        <n v="-6144"/>
        <n v="9467"/>
        <n v="2267"/>
        <n v="680"/>
        <n v="-71"/>
        <n v="-8873"/>
        <n v="-4570"/>
        <n v="2214"/>
        <n v="5376"/>
        <n v="818"/>
        <n v="127"/>
        <n v="5746"/>
        <n v="2628"/>
        <n v="139"/>
        <n v="1"/>
        <n v="938"/>
        <n v="6"/>
        <n v="246"/>
        <n v="-288"/>
        <n v="185"/>
        <n v="-43"/>
        <n v="-26"/>
        <n v="150"/>
        <n v="-163"/>
        <n v="20805"/>
        <n v="-21588"/>
        <n v="3230"/>
        <n v="35082"/>
        <n v="17554"/>
        <n v="33176"/>
        <n v="30994"/>
        <n v="29096"/>
        <n v="14193"/>
        <n v="40922"/>
        <n v="-39769"/>
        <n v="38"/>
        <n v="7371"/>
        <n v="-10668"/>
        <n v="14246"/>
        <n v="-2610"/>
        <n v="-10772"/>
        <n v="9525"/>
        <n v="-10791"/>
        <n v="26943"/>
        <n v="16350"/>
        <n v="7034"/>
        <n v="10320"/>
        <n v="-2295"/>
        <n v="3177"/>
        <n v="8784"/>
        <n v="13826"/>
        <n v="-6253"/>
        <n v="4375"/>
        <n v="-6218"/>
        <n v="10710"/>
        <n v="59015"/>
        <n v="-2399"/>
        <n v="-6"/>
        <n v="2"/>
        <n v="0"/>
        <n v="10"/>
        <n v="-2"/>
        <n v="9"/>
        <n v="-20"/>
        <n v="546"/>
        <n v="-1342"/>
        <n v="419"/>
        <n v="-1028"/>
        <n v="1712"/>
        <n v="-953"/>
        <n v="26"/>
        <n v="2655"/>
        <n v="644"/>
        <n v="-1283"/>
        <n v="-985"/>
        <n v="1393"/>
        <n v="126"/>
        <n v="-196"/>
        <n v="-661"/>
        <n v="-1531"/>
        <n v="-1334"/>
        <n v="-625"/>
        <n v="532"/>
        <n v="-651"/>
        <n v="250"/>
        <n v="-1210"/>
        <n v="-2006"/>
        <n v="-970"/>
        <n v="317"/>
        <n v="137"/>
        <n v="1496"/>
        <n v="-617"/>
        <n v="-944"/>
        <n v="2593"/>
        <n v="4216"/>
        <n v="-13856"/>
        <n v="38924"/>
        <n v="104184"/>
        <n v="21061"/>
        <n v="32007"/>
        <n v="-2289"/>
        <n v="111752"/>
        <n v="11356"/>
        <n v="27112"/>
        <n v="-21826"/>
        <n v="17426"/>
        <n v="-3541"/>
        <n v="62117"/>
        <n v="57272"/>
        <n v="6449"/>
        <n v="10514"/>
        <n v="36481"/>
        <n v="-1760"/>
        <n v="31225"/>
        <n v="51886"/>
        <n v="6518"/>
        <n v="19765"/>
        <n v="67690"/>
        <n v="-27767"/>
        <n v="30916"/>
        <n v="27378"/>
        <n v="-9820"/>
        <n v="102249"/>
        <n v="33811"/>
        <n v="40798"/>
        <n v="73929"/>
        <n v="42312"/>
        <n v="3673"/>
        <n v="17277"/>
        <n v="26546"/>
        <n v="44619"/>
        <n v="-2124"/>
        <n v="9982"/>
        <n v="-17279"/>
        <n v="16378"/>
        <n v="8682"/>
        <n v="-36977"/>
        <n v="14973"/>
        <n v="23836"/>
        <n v="-13030"/>
        <n v="57785"/>
        <n v="22243"/>
        <n v="5269"/>
        <n v="12106"/>
        <n v="14044"/>
        <n v="10193"/>
        <n v="-17538"/>
        <n v="38462"/>
        <n v="-428"/>
        <n v="-3918"/>
        <n v="81748"/>
        <n v="-25275"/>
        <n v="26203"/>
        <n v="39987"/>
        <n v="-4165"/>
        <n v="74982"/>
        <n v="15251"/>
        <n v="33707"/>
        <n v="296"/>
        <n v="24823"/>
        <n v="2768"/>
        <n v="15225"/>
        <n v="19806"/>
        <n v="46414"/>
        <n v="-57"/>
        <n v="5525"/>
        <n v="-17383"/>
        <n v="20020"/>
        <n v="12699"/>
        <n v="-36947"/>
        <n v="16208"/>
        <n v="26545"/>
        <n v="-10903"/>
        <n v="62216"/>
        <n v="22786"/>
        <n v="4581"/>
        <n v="15387"/>
        <n v="17178"/>
        <n v="10223"/>
        <n v="-13485"/>
        <n v="40278"/>
        <n v="-5285"/>
        <n v="-2305"/>
        <n v="80455"/>
        <n v="-26976"/>
        <n v="25961"/>
        <n v="40187"/>
        <n v="-3602"/>
        <n v="83889"/>
        <n v="17063"/>
        <n v="37477"/>
        <n v="2416"/>
        <n v="24469"/>
        <n v="-57825"/>
        <n v="30049"/>
        <n v="58650"/>
        <n v="-52876"/>
        <n v="848"/>
        <n v="63972"/>
        <n v="-58829"/>
        <n v="19235"/>
        <n v="47959"/>
        <n v="-30126"/>
        <n v="15068"/>
        <n v="-2048"/>
        <n v="5463"/>
        <n v="370"/>
        <n v="-13699"/>
        <n v="5190"/>
        <n v="16328"/>
        <n v="10013"/>
        <n v="-21347"/>
        <n v="1819"/>
        <n v="17624"/>
        <n v="9936"/>
        <n v="-955"/>
        <n v="45022"/>
        <n v="-8384"/>
        <n v="-13931"/>
        <n v="-814"/>
        <n v="7678"/>
        <n v="6490"/>
        <n v="33278"/>
        <n v="1166"/>
        <n v="3504"/>
        <n v="-4076"/>
        <n v="1597"/>
        <n v="-460"/>
        <n v="528"/>
        <n v="451"/>
        <n v="233"/>
        <n v="524"/>
        <n v="255"/>
        <n v="-173"/>
        <n v="-187"/>
        <n v="838"/>
        <n v="416"/>
        <n v="85"/>
        <n v="283"/>
        <n v="1217"/>
        <n v="1030"/>
        <n v="232"/>
        <n v="204"/>
        <n v="67"/>
        <n v="-1377"/>
        <n v="363"/>
        <n v="234"/>
        <n v="211"/>
        <n v="235"/>
        <n v="305"/>
        <n v="867"/>
        <n v="381"/>
        <n v="-5299"/>
        <n v="-12045"/>
        <n v="-18481"/>
        <n v="-12715"/>
        <n v="1806"/>
        <n v="1423"/>
        <n v="2320"/>
        <n v="872"/>
        <n v="5557"/>
        <n v="-2871"/>
        <n v="-26626"/>
        <n v="-963"/>
        <n v="-1990"/>
        <n v="-239"/>
        <n v="2483"/>
        <n v="-863"/>
        <n v="2577"/>
        <n v="-2297"/>
        <n v="-477"/>
        <n v="809"/>
        <n v="1163"/>
        <n v="-2997"/>
        <n v="2226"/>
        <n v="1456"/>
        <n v="-2787"/>
        <n v="2680"/>
        <n v="-2869"/>
        <n v="-798"/>
        <n v="2208"/>
        <n v="5055"/>
        <n v="4675"/>
        <n v="4505"/>
        <n v="552"/>
        <n v="-231"/>
        <n v="-126"/>
        <n v="-143"/>
        <n v="1034"/>
        <n v="101"/>
        <n v="1086"/>
        <n v="455"/>
        <n v="785"/>
        <n v="-259"/>
        <n v="-426"/>
        <n v="445"/>
        <n v="-1159"/>
        <n v="-240"/>
        <n v="-1710"/>
        <n v="-662"/>
        <n v="-1290"/>
        <n v="-877"/>
        <n v="427"/>
        <n v="-1939"/>
        <n v="-411"/>
        <n v="-1057"/>
        <n v="-820"/>
        <n v="3637"/>
        <n v="1293"/>
        <n v="2202"/>
        <n v="1689"/>
        <n v="964"/>
        <n v="-1854"/>
        <n v="-1454"/>
        <n v="227"/>
        <n v="-3029"/>
        <n v="-2316"/>
        <n v="378"/>
        <n v="431"/>
        <n v="-700"/>
        <n v="-782"/>
        <n v="-246"/>
        <n v="1123"/>
        <n v="645"/>
        <n v="1741"/>
        <n v="3497"/>
        <n v="-3158"/>
        <n v="1442"/>
        <n v="911"/>
        <n v="285"/>
        <n v="1841"/>
        <n v="1364"/>
        <n v="-58"/>
        <n v="516"/>
        <n v="559"/>
        <n v="210"/>
        <n v="2519"/>
        <n v="-3112"/>
        <n v="823"/>
        <n v="545"/>
        <n v="-618"/>
        <n v="-297"/>
        <n v="39"/>
        <n v="339"/>
        <n v="64"/>
        <n v="79"/>
        <n v="113"/>
        <n v="-184"/>
        <n v="-104"/>
        <n v="-51"/>
        <n v="-46"/>
        <n v="-15"/>
        <n v="-420"/>
        <n v="-372"/>
        <n v="-308"/>
        <n v="703"/>
        <n v="279"/>
        <n v="487"/>
        <n v="-18"/>
        <n v="231"/>
        <n v="159"/>
        <n v="186"/>
        <n v="735"/>
        <n v="503"/>
        <n v="56"/>
        <n v="-61"/>
        <n v="142"/>
        <n v="-29"/>
        <n v="55"/>
        <n v="-111"/>
        <n v="-275"/>
        <n v="-66"/>
        <n v="300"/>
        <n v="134"/>
        <n v="-175"/>
        <n v="69"/>
        <n v="136"/>
        <n v="-134"/>
        <n v="-98"/>
        <n v="-188"/>
        <n v="14"/>
        <n v="16"/>
        <n v="202"/>
        <n v="331"/>
        <n v="308"/>
        <n v="1481"/>
        <n v="-584"/>
        <n v="2147"/>
        <n v="243"/>
        <n v="387"/>
        <n v="687"/>
        <n v="-146"/>
        <n v="-55"/>
        <n v="-414"/>
        <n v="795"/>
        <n v="278"/>
        <n v="59"/>
        <n v="466"/>
        <n v="75"/>
        <n v="-254"/>
        <n v="-568"/>
        <n v="-228"/>
        <n v="817"/>
        <n v="-384"/>
        <n v="-201"/>
        <n v="1295"/>
        <n v="349"/>
        <n v="-179"/>
        <n v="206"/>
        <n v="850"/>
        <n v="-2620"/>
        <n v="-5017"/>
        <n v="2392"/>
        <n v="-2451"/>
        <n v="7062"/>
        <n v="-1103"/>
        <n v="-11209"/>
        <n v="2688"/>
        <n v="-3765"/>
        <n v="4809"/>
        <n v="2169"/>
        <n v="3503"/>
        <n v="-140"/>
        <n v="52"/>
        <n v="-141"/>
        <n v="-4101"/>
        <n v="4680"/>
        <n v="5994"/>
        <n v="5053"/>
        <n v="-88"/>
        <n v="1542"/>
        <n v="294"/>
        <n v="1274"/>
        <n v="1029"/>
        <n v="-689"/>
        <n v="3466"/>
        <n v="4655"/>
        <n v="3306"/>
        <n v="1978"/>
        <n v="4907"/>
        <n v="60"/>
        <n v="-207"/>
        <n v="191"/>
        <n v="223"/>
        <n v="162"/>
        <n v="-397"/>
        <n v="54"/>
        <n v="-905"/>
        <n v="-604"/>
        <n v="883"/>
        <n v="200"/>
        <n v="533"/>
        <n v="244"/>
        <n v="31"/>
        <n v="299"/>
        <n v="-117"/>
        <n v="1132"/>
        <n v="462"/>
        <n v="-1488"/>
        <n v="2620"/>
        <n v="303"/>
        <n v="-1511"/>
        <n v="1537"/>
        <n v="-389"/>
        <n v="1192"/>
        <n v="-294"/>
        <n v="-2117"/>
        <n v="2398"/>
        <n v="1996"/>
        <n v="640"/>
        <n v="-2717"/>
        <n v="485"/>
        <n v="1125"/>
        <n v="874"/>
        <n v="2238"/>
        <n v="2614"/>
        <n v="-53"/>
        <n v="1204"/>
        <n v="-951"/>
        <n v="-1030"/>
        <n v="310"/>
        <n v="736"/>
        <n v="-1239"/>
        <n v="962"/>
        <n v="149"/>
        <n v="-1020"/>
        <n v="217"/>
        <n v="971"/>
        <n v="925"/>
        <n v="-882"/>
        <n v="-1006"/>
        <n v="394"/>
        <n v="313"/>
        <n v="-346"/>
        <n v="699"/>
        <n v="511"/>
        <n v="831"/>
        <n v="994"/>
        <n v="-1055"/>
        <n v="-1072"/>
        <n v="750"/>
        <n v="-1058"/>
        <n v="375"/>
        <n v="577"/>
        <n v="-524"/>
        <n v="-1703"/>
        <n v="1425"/>
        <n v="1396"/>
        <n v="515"/>
        <n v="-50"/>
        <n v="1081"/>
        <n v="-31"/>
        <n v="-199"/>
        <n v="239"/>
        <n v="438"/>
        <n v="77"/>
        <n v="-37"/>
        <n v="30"/>
        <n v="-19"/>
        <n v="12"/>
        <n v="33"/>
        <n v="35"/>
        <n v="28"/>
        <n v="-4"/>
        <n v="105"/>
        <n v="-487"/>
        <n v="-9444"/>
        <n v="-18586"/>
        <n v="-19448"/>
        <n v="909"/>
        <n v="9624"/>
        <n v="2630"/>
        <n v="76605"/>
        <n v="9354"/>
        <n v="-8081"/>
        <n v="-18507"/>
        <n v="3020"/>
        <n v="-114"/>
        <n v="1946"/>
        <n v="3432"/>
        <n v="-2432"/>
        <n v="-1791"/>
        <n v="5931"/>
        <n v="3154"/>
        <n v="13572"/>
        <n v="7926"/>
        <n v="-3496"/>
        <n v="7535"/>
        <n v="5483"/>
        <n v="-3300"/>
        <n v="3508"/>
        <n v="5039"/>
        <n v="5042"/>
        <n v="8700"/>
        <n v="10900"/>
        <n v="10089"/>
        <n v="12042"/>
        <n v="-159"/>
        <n v="-340"/>
        <n v="112"/>
        <n v="-11"/>
        <n v="-144"/>
        <n v="-93"/>
        <n v="183"/>
        <n v="171"/>
        <n v="-33"/>
        <n v="81"/>
        <n v="117"/>
        <n v="-28"/>
        <n v="321"/>
        <n v="-364"/>
        <n v="229"/>
        <n v="175"/>
        <n v="-123"/>
        <n v="41"/>
        <n v="109"/>
        <n v="143"/>
        <n v="-113"/>
        <n v="98"/>
        <n v="140"/>
        <n v="87"/>
        <n v="-105"/>
        <n v="-41"/>
        <n v="326"/>
        <n v="-60"/>
        <n v="103"/>
        <n v="90"/>
        <n v="68"/>
        <n v="194"/>
        <n v="-190"/>
        <n v="251"/>
        <n v="-108"/>
        <n v="-68"/>
        <n v="-14"/>
        <n v="-194"/>
        <n v="-197"/>
        <n v="184"/>
        <n v="-367"/>
        <n v="224"/>
        <n v="177"/>
        <n v="-73"/>
        <n v="-165"/>
        <n v="-40"/>
        <n v="1648"/>
        <n v="-688"/>
        <n v="-891"/>
        <n v="1288"/>
        <n v="-19570"/>
        <n v="-65"/>
        <n v="4599"/>
        <n v="-1894"/>
        <n v="3376"/>
        <n v="-4022"/>
        <n v="5989"/>
        <n v="-1331"/>
        <n v="25887"/>
        <n v="1903"/>
        <n v="1900"/>
        <n v="2081"/>
        <n v="-421"/>
        <n v="2574"/>
        <n v="2759"/>
        <n v="1547"/>
        <n v="1725"/>
        <n v="3520"/>
        <n v="1418"/>
        <n v="-6259"/>
        <n v="-11491"/>
        <n v="2503"/>
        <n v="-1286"/>
        <n v="2243"/>
        <n v="3445"/>
        <n v="1064"/>
        <n v="1811"/>
        <n v="1212"/>
        <n v="-2589"/>
        <n v="1734"/>
        <n v="4095"/>
        <n v="2343"/>
        <n v="-1197"/>
        <n v="-1629"/>
        <n v="1171"/>
        <n v="-1031"/>
        <n v="-707"/>
        <n v="1776"/>
        <n v="1268"/>
        <n v="145"/>
        <n v="-1475"/>
        <n v="2854"/>
        <n v="-3817"/>
        <n v="-1234"/>
        <n v="-778"/>
        <n v="634"/>
        <n v="2134"/>
        <n v="3061"/>
        <n v="11391"/>
        <n v="-1721"/>
        <n v="-4408"/>
        <n v="1470"/>
        <n v="808"/>
        <n v="1313"/>
        <n v="4610"/>
        <n v="1615"/>
        <n v="1197"/>
        <n v="1675"/>
        <n v="2647"/>
        <n v="-78227"/>
        <n v="24678"/>
        <n v="4647"/>
        <n v="4783"/>
        <n v="327"/>
        <n v="2231"/>
        <n v="3957"/>
        <n v="-2135"/>
        <n v="50031"/>
        <n v="-1678"/>
        <n v="2863"/>
        <n v="365"/>
        <n v="-2254"/>
        <n v="-1370"/>
        <n v="570"/>
        <n v="1461"/>
        <n v="-772"/>
        <n v="1458"/>
        <n v="-280"/>
        <n v="402"/>
        <n v="6095"/>
        <n v="5092"/>
        <n v="-14407"/>
        <n v="17326"/>
        <n v="-31997"/>
        <n v="-7380"/>
        <n v="-2559"/>
        <n v="1598"/>
        <n v="3639"/>
        <n v="27713"/>
        <n v="3210"/>
        <n v="-2772"/>
        <n v="12522"/>
        <n v="-21660"/>
        <n v="4966"/>
        <n v="16614"/>
        <n v="20995"/>
        <n v="52152"/>
        <n v="-7121"/>
        <n v="8833"/>
        <n v="22689"/>
        <n v="-11284"/>
        <n v="-18348"/>
        <n v="16963"/>
        <n v="-14755"/>
        <n v="-2540"/>
        <n v="2188"/>
        <n v="18288"/>
        <n v="7626"/>
        <n v="11876"/>
        <n v="-10808"/>
        <n v="-5303"/>
        <n v="-2240"/>
        <n v="-2713"/>
        <n v="-10080"/>
        <n v="27390"/>
        <n v="-29694"/>
        <n v="-6177"/>
        <n v="2150"/>
        <n v="8143"/>
        <n v="-45754"/>
        <n v="10498"/>
        <n v="711"/>
        <n v="20914"/>
        <n v="-21874"/>
        <n v="8717"/>
        <n v="11940"/>
        <n v="30956"/>
        <n v="51262"/>
        <n v="70514"/>
        <n v="8032"/>
        <n v="24151"/>
        <n v="-5740"/>
        <n v="-14647"/>
        <n v="13602"/>
        <n v="-17029"/>
        <n v="337"/>
        <n v="7077"/>
        <n v="7890"/>
        <n v="22154"/>
        <n v="13714"/>
        <n v="26679"/>
        <n v="-18936"/>
        <n v="-19934"/>
        <n v="8511"/>
        <n v="1836"/>
        <n v="-14961"/>
        <n v="-9973"/>
        <n v="-8961"/>
        <n v="-33421"/>
        <n v="-5198"/>
        <n v="-4993"/>
        <n v="-23599"/>
        <n v="-19098"/>
        <n v="10308"/>
        <n v="-1395"/>
        <n v="1514"/>
        <n v="2344"/>
        <n v="3877"/>
        <n v="-11927"/>
        <n v="-7795"/>
        <n v="-18367"/>
        <n v="6389"/>
        <n v="-11342"/>
        <n v="21575"/>
        <n v="-12642"/>
        <n v="-13905"/>
        <n v="-17807"/>
        <n v="6385"/>
        <n v="-12459"/>
        <n v="1976"/>
        <n v="-7928"/>
        <n v="-9256"/>
        <n v="-9824"/>
        <n v="-3825"/>
        <n v="-13281"/>
        <n v="176"/>
        <n v="-5222"/>
        <n v="8319"/>
        <n v="9553"/>
        <n v="8278"/>
        <n v="8119"/>
        <n v="-15187"/>
        <n v="10561"/>
        <n v="2523"/>
        <n v="-8354"/>
        <n v="14925"/>
        <n v="9384"/>
        <n v="-1222"/>
        <n v="4039"/>
        <n v="21091"/>
        <n v="2452"/>
        <n v="3266"/>
        <n v="10983"/>
        <n v="-174"/>
        <n v="21859"/>
        <n v="-8102"/>
        <n v="7762"/>
        <n v="-2789"/>
        <n v="16116"/>
        <n v="5235"/>
        <n v="904"/>
        <n v="-5379"/>
        <n v="7063"/>
        <n v="-16154"/>
        <n v="2179"/>
        <n v="5168"/>
        <n v="-5381"/>
        <n v="-12491"/>
        <n v="-16905"/>
        <n v="-2416"/>
        <n v="-6700"/>
        <n v="-9609"/>
        <n v="4481"/>
        <n v="-9176"/>
        <n v="11186"/>
        <n v="-461"/>
        <n v="5859"/>
        <n v="-12608"/>
        <n v="-8513"/>
        <n v="-892"/>
        <n v="-455"/>
        <n v="5221"/>
        <n v="-6835"/>
        <n v="2725"/>
        <n v="2142"/>
        <n v="-3509"/>
        <n v="5227"/>
        <n v="1252"/>
        <n v="2203"/>
        <n v="4856"/>
        <n v="-1446"/>
        <n v="-5791"/>
        <n v="-989"/>
        <n v="-335"/>
        <n v="-2096"/>
        <n v="-1389"/>
        <n v="2529"/>
        <n v="2276"/>
        <n v="1513"/>
        <n v="-1998"/>
        <n v="46"/>
        <n v="2162"/>
        <n v="-278"/>
        <n v="-910"/>
        <n v="813"/>
        <n v="-2147"/>
        <n v="1164"/>
        <n v="1749"/>
        <n v="8308"/>
        <n v="1028"/>
        <n v="974"/>
        <n v="-157"/>
        <n v="-544"/>
        <n v="21"/>
        <n v="3049"/>
        <n v="2729"/>
        <n v="3833"/>
        <n v="780"/>
        <n v="-1761"/>
        <n v="-3217"/>
        <n v="2447"/>
        <n v="840"/>
        <n v="-342"/>
        <n v="411"/>
        <n v="-1102"/>
        <n v="-424"/>
        <n v="4673"/>
        <n v="-2122"/>
        <n v="942"/>
        <n v="3891"/>
        <n v="4746"/>
        <n v="2137"/>
        <n v="1280"/>
        <n v="5778"/>
        <n v="-4045"/>
        <n v="-2347"/>
        <n v="11401"/>
        <n v="4913"/>
        <n v="862"/>
        <n v="5177"/>
        <n v="3088"/>
        <n v="1196"/>
        <n v="1343"/>
        <n v="324"/>
        <n v="-1709"/>
        <n v="8745"/>
        <n v="-6316"/>
        <n v="2066"/>
        <n v="-1315"/>
        <n v="1627"/>
        <n v="7785"/>
        <n v="1228"/>
        <n v="-3867"/>
        <n v="5077"/>
        <n v="-2989"/>
        <n v="8656"/>
        <n v="6989"/>
        <n v="18061"/>
        <n v="9494"/>
        <n v="4210"/>
        <n v="11065"/>
        <n v="-4176"/>
        <n v="4549"/>
        <n v="31688"/>
        <n v="13074"/>
        <n v="-8462"/>
        <n v="-15968"/>
        <n v="31963"/>
        <n v="-16832"/>
        <n v="-3170"/>
        <n v="-13944"/>
        <n v="-24639"/>
        <n v="-23870"/>
        <n v="-11830"/>
        <n v="14284"/>
        <n v="26895"/>
        <n v="23484"/>
        <n v="-19549"/>
        <n v="2569"/>
        <n v="22289"/>
        <n v="-10973"/>
        <n v="9576"/>
        <n v="11007"/>
        <n v="13676"/>
        <n v="-15244"/>
        <n v="34421"/>
        <n v="-18660"/>
        <n v="-1646"/>
        <n v="2054"/>
        <n v="6680"/>
        <n v="2345"/>
        <n v="7219"/>
        <n v="1224"/>
        <n v="4548"/>
        <n v="-4874"/>
        <n v="1020"/>
        <n v="574"/>
        <n v="-3016"/>
        <n v="-356"/>
        <n v="2171"/>
        <n v="5073"/>
        <n v="-557"/>
        <n v="3645"/>
        <n v="-3053"/>
        <n v="-374"/>
        <n v="6692"/>
        <n v="-5331"/>
        <n v="3034"/>
        <n v="-267"/>
        <n v="353"/>
        <n v="1945"/>
        <n v="1094"/>
        <n v="-2925"/>
        <n v="2779"/>
        <n v="1208"/>
        <n v="380"/>
        <n v="5025"/>
        <n v="-2726"/>
        <n v="1103"/>
        <n v="7601"/>
        <n v="833"/>
        <n v="-112"/>
        <n v="709"/>
        <n v="769"/>
        <n v="520"/>
        <n v="4086"/>
        <n v="2144"/>
        <n v="1666"/>
        <n v="-1424"/>
        <n v="-736"/>
        <n v="984"/>
        <n v="-279"/>
        <n v="4473"/>
        <n v="91"/>
        <n v="-1237"/>
        <n v="619"/>
        <n v="-735"/>
        <n v="-145"/>
        <n v="-462"/>
        <n v="-1543"/>
        <n v="2749"/>
        <n v="2786"/>
        <n v="-587"/>
        <n v="-407"/>
        <n v="-305"/>
        <n v="-879"/>
        <n v="-300"/>
        <n v="827"/>
        <n v="-3506"/>
        <n v="846"/>
        <n v="1052"/>
        <n v="1328"/>
        <n v="1126"/>
        <n v="1247"/>
        <n v="-264"/>
        <n v="470"/>
        <n v="-1527"/>
        <n v="-622"/>
        <n v="839"/>
        <n v="362"/>
        <n v="160"/>
        <n v="133"/>
        <n v="-35"/>
        <n v="307"/>
        <n v="280"/>
        <n v="-382"/>
        <n v="673"/>
        <n v="114"/>
        <n v="271"/>
        <n v="295"/>
        <n v="576"/>
        <n v="-456"/>
        <n v="421"/>
        <n v="2662"/>
        <n v="1583"/>
        <n v="2836"/>
        <n v="834"/>
        <n v="-311"/>
        <n v="97"/>
        <n v="855"/>
        <n v="-5338"/>
        <n v="-834"/>
        <n v="580"/>
        <n v="247"/>
        <n v="1572"/>
        <n v="1663"/>
        <n v="1331"/>
        <n v="-2148"/>
        <n v="2486"/>
        <n v="1092"/>
        <n v="265"/>
        <n v="636"/>
        <n v="4091"/>
        <n v="1925"/>
        <n v="677"/>
        <n v="-484"/>
        <n v="42"/>
        <n v="345"/>
        <n v="-1067"/>
        <n v="3150"/>
        <n v="96"/>
        <n v="464"/>
        <n v="1524"/>
        <n v="2197"/>
        <n v="-5307"/>
        <n v="1629"/>
        <n v="4634"/>
        <n v="-2016"/>
        <n v="-10971"/>
        <n v="-4091"/>
        <n v="-2955"/>
        <n v="390"/>
        <n v="-934"/>
        <n v="924"/>
        <n v="3072"/>
        <n v="857"/>
        <n v="4683"/>
        <n v="-1538"/>
        <n v="1476"/>
        <n v="1788"/>
        <n v="8573"/>
        <n v="495"/>
        <n v="6891"/>
        <n v="3064"/>
        <n v="-1938"/>
        <n v="-362"/>
        <n v="-3408"/>
        <n v="3096"/>
        <n v="2411"/>
        <n v="11607"/>
        <n v="-6074"/>
        <n v="4094"/>
        <n v="-517"/>
        <n v="2586"/>
        <n v="4873"/>
        <n v="-11442"/>
        <n v="720"/>
        <n v="8066"/>
        <n v="-1966"/>
        <n v="1391"/>
        <n v="7089"/>
        <n v="5940"/>
        <n v="8438"/>
        <n v="3343"/>
        <n v="14286"/>
        <n v="2843"/>
        <n v="3157"/>
        <n v="7074"/>
        <n v="724"/>
        <n v="3327"/>
        <n v="2244"/>
        <n v="-1688"/>
        <n v="-375"/>
        <n v="6369"/>
        <n v="6305"/>
        <n v="-535"/>
        <n v="-15394"/>
        <n v="6111"/>
        <n v="6942"/>
        <n v="-394"/>
        <n v="1037"/>
        <n v="-1788"/>
        <n v="3514"/>
        <n v="2177"/>
        <n v="-2469"/>
        <n v="1059"/>
        <n v="3253"/>
        <n v="-4020"/>
        <n v="6861"/>
        <n v="4924"/>
        <n v="-2790"/>
        <n v="5752"/>
        <n v="1430"/>
        <n v="5588"/>
        <n v="3658"/>
        <n v="479"/>
        <n v="1923"/>
        <n v="6036"/>
        <n v="2861"/>
        <n v="4262"/>
        <n v="6206"/>
        <n v="-1843"/>
        <n v="-361"/>
        <n v="1585"/>
        <n v="3242"/>
        <n v="3324"/>
        <n v="-1364"/>
        <n v="3344"/>
        <n v="1766"/>
        <n v="2858"/>
        <n v="-4792"/>
        <n v="4755"/>
        <n v="6639"/>
        <n v="-1359"/>
        <n v="-1835"/>
        <n v="2793"/>
        <n v="6030"/>
        <n v="348"/>
        <n v="-4132"/>
        <n v="932"/>
        <n v="2161"/>
        <n v="-3837"/>
        <n v="3981"/>
        <n v="4336"/>
        <n v="2683"/>
        <n v="1218"/>
        <n v="1653"/>
        <n v="-369"/>
        <n v="-884"/>
        <n v="1605"/>
        <n v="-1833"/>
        <n v="-1202"/>
        <n v="-790"/>
        <n v="765"/>
        <n v="6370"/>
        <n v="4902"/>
        <n v="6888"/>
        <n v="-6708"/>
        <n v="442"/>
        <n v="11968"/>
        <n v="-7693"/>
        <n v="-2370"/>
        <n v="9238"/>
        <n v="-16169"/>
        <n v="27057"/>
        <n v="23612"/>
        <n v="6770"/>
        <n v="4723"/>
        <n v="-2350"/>
        <n v="-7163"/>
        <n v="10045"/>
        <n v="94"/>
        <n v="-1672"/>
        <n v="-745"/>
        <n v="1018"/>
        <n v="8288"/>
        <n v="-6366"/>
        <n v="-70"/>
        <n v="286"/>
        <n v="512"/>
        <n v="-251"/>
        <n v="-3262"/>
        <n v="1022"/>
        <n v="7133"/>
        <n v="-2505"/>
        <n v="1115"/>
        <n v="17354"/>
        <n v="-30425"/>
        <n v="22849"/>
        <n v="8470"/>
        <n v="-18723"/>
        <n v="32581"/>
        <n v="-26691"/>
        <n v="-16568"/>
        <n v="88426"/>
        <n v="48871"/>
        <n v="-12615"/>
        <n v="-14625"/>
        <n v="77770"/>
        <n v="-2203"/>
        <n v="17693"/>
        <n v="-6392"/>
        <n v="-5998"/>
        <n v="-23321"/>
        <n v="62755"/>
        <n v="9551"/>
        <n v="49351"/>
        <n v="4607"/>
        <n v="15024"/>
        <n v="16292"/>
        <n v="17457"/>
        <n v="-3778"/>
        <n v="9101"/>
        <n v="-17241"/>
        <n v="-18503"/>
        <n v="39910"/>
        <n v="-6221"/>
        <n v="29034"/>
        <n v="18"/>
        <n v="-17"/>
        <n v="-7"/>
        <n v="147"/>
        <n v="51"/>
        <n v="23"/>
        <n v="99"/>
        <n v="-42"/>
        <n v="166"/>
        <n v="73"/>
        <n v="-154"/>
        <n v="-222"/>
        <n v="-130"/>
        <n v="-79"/>
        <n v="1482"/>
        <n v="-4522"/>
        <n v="2828"/>
        <n v="-1897"/>
        <n v="-316"/>
        <n v="1884"/>
        <n v="-1022"/>
        <n v="565"/>
        <n v="612"/>
        <n v="-1964"/>
        <n v="2347"/>
        <n v="-609"/>
        <n v="-177"/>
        <n v="-252"/>
        <n v="473"/>
        <n v="954"/>
        <n v="301"/>
        <n v="1118"/>
        <n v="694"/>
        <n v="5146"/>
        <n v="-6947"/>
        <n v="4444"/>
        <n v="1791"/>
        <n v="1546"/>
        <n v="-1085"/>
        <n v="3359"/>
        <n v="-1117"/>
        <n v="1438"/>
        <n v="1262"/>
        <n v="-784"/>
        <n v="1981"/>
        <n v="788"/>
        <n v="775"/>
        <n v="-466"/>
        <n v="-1565"/>
        <n v="3300"/>
        <n v="-2406"/>
        <n v="-1044"/>
        <n v="212"/>
        <n v="1362"/>
        <n v="949"/>
        <n v="-1060"/>
        <n v="-2542"/>
        <n v="3336"/>
        <n v="4393"/>
        <n v="-5179"/>
        <n v="10010"/>
        <n v="-2032"/>
        <n v="-3549"/>
        <n v="1221"/>
        <n v="-3059"/>
        <n v="3142"/>
        <n v="-2799"/>
        <n v="1867"/>
        <n v="-5149"/>
        <n v="-961"/>
        <n v="-2230"/>
        <n v="6833"/>
        <n v="-3615"/>
        <n v="3181"/>
        <n v="-1026"/>
        <n v="7337"/>
        <n v="773"/>
        <n v="2504"/>
        <n v="-3751"/>
        <n v="-2236"/>
        <n v="-915"/>
        <n v="-241"/>
        <n v="-1925"/>
        <n v="741"/>
        <n v="527"/>
        <n v="-148"/>
        <n v="377"/>
        <n v="1306"/>
        <n v="1070"/>
        <n v="-353"/>
        <n v="-387"/>
        <n v="-663"/>
        <n v="-271"/>
        <n v="-450"/>
        <n v="71"/>
        <n v="297"/>
        <n v="-170"/>
        <n v="534"/>
        <n v="2178"/>
        <n v="1649"/>
        <n v="-89"/>
        <n v="78"/>
        <n v="916"/>
        <n v="918"/>
        <n v="4128"/>
        <n v="4814"/>
        <n v="-5130"/>
        <n v="10082"/>
        <n v="-2219"/>
        <n v="3676"/>
        <n v="-1992"/>
        <n v="3485"/>
        <n v="-2928"/>
        <n v="1474"/>
        <n v="-6199"/>
        <n v="-202"/>
        <n v="-2517"/>
        <n v="6928"/>
        <n v="958"/>
        <n v="-3691"/>
        <n v="3737"/>
        <n v="-945"/>
        <n v="2123"/>
        <n v="9063"/>
        <n v="-360"/>
        <n v="-796"/>
        <n v="1548"/>
        <n v="3002"/>
        <n v="-3575"/>
        <n v="2358"/>
        <n v="-1275"/>
        <n v="-182"/>
        <n v="-1695"/>
        <n v="-37548"/>
        <n v="1581"/>
        <n v="71457"/>
        <n v="46026"/>
        <n v="3364"/>
        <n v="137030"/>
        <n v="-73257"/>
        <n v="143358"/>
        <n v="171443"/>
        <n v="38918"/>
        <n v="-16609"/>
        <n v="-25121"/>
        <n v="89531"/>
        <n v="76066"/>
        <n v="92353"/>
        <n v="62986"/>
        <n v="91313"/>
        <n v="34220"/>
        <n v="70224"/>
        <n v="47917"/>
        <n v="117563"/>
        <n v="37824"/>
        <n v="23999"/>
        <n v="134341"/>
        <n v="-14472"/>
        <n v="31040"/>
        <n v="47131"/>
        <n v="23499"/>
        <n v="126526"/>
        <n v="36885"/>
        <n v="71296"/>
        <n v="90664"/>
        <n v="76911"/>
        <n v="-253"/>
        <n v="209"/>
        <n v="-728"/>
        <n v="4051"/>
        <n v="779"/>
        <n v="-3887"/>
        <n v="-5652"/>
        <n v="15321"/>
        <n v="-2059"/>
        <n v="8244"/>
        <n v="-4558"/>
        <n v="5528"/>
        <n v="-7397"/>
        <n v="9189"/>
        <n v="2399"/>
        <n v="8440"/>
        <n v="-13208"/>
        <n v="7384"/>
        <n v="484"/>
        <n v="8882"/>
        <n v="1692"/>
        <n v="-6009"/>
        <n v="7213"/>
        <n v="11223"/>
        <n v="8724"/>
        <n v="1312"/>
        <n v="-1946"/>
        <n v="-608"/>
        <n v="2487"/>
        <n v="1680"/>
        <n v="-3781"/>
        <n v="3296"/>
        <n v="1858"/>
        <n v="-1089"/>
        <n v="469"/>
        <n v="-4736"/>
        <n v="4623"/>
        <n v="771"/>
        <n v="-1673"/>
        <n v="3116"/>
        <n v="494"/>
        <n v="1214"/>
        <n v="915"/>
        <n v="311"/>
        <n v="328"/>
        <n v="336"/>
        <n v="979"/>
        <n v="-221"/>
        <n v="1110"/>
        <n v="-991"/>
        <n v="1668"/>
        <n v="-1831"/>
        <n v="2234"/>
        <n v="1889"/>
        <n v="-4509"/>
        <n v="6713"/>
        <n v="1257"/>
        <n v="2962"/>
        <n v="1248"/>
        <n v="-3934"/>
        <n v="-10388"/>
        <n v="19944"/>
        <n v="-1288"/>
        <n v="6571"/>
        <n v="-1442"/>
        <n v="6742"/>
        <n v="-6482"/>
        <n v="9244"/>
        <n v="2710"/>
        <n v="2116"/>
        <n v="8768"/>
        <n v="-12872"/>
        <n v="8363"/>
        <n v="263"/>
        <n v="8648"/>
        <n v="2019"/>
        <n v="-4899"/>
        <n v="6222"/>
        <n v="13911"/>
        <n v="7652"/>
        <n v="-273"/>
        <n v="1045"/>
        <n v="76633"/>
        <n v="91709"/>
        <n v="71023"/>
        <n v="44537"/>
        <n v="140437"/>
        <n v="29721"/>
        <n v="42232"/>
        <n v="33059"/>
        <n v="-5824"/>
        <n v="134604"/>
        <n v="32362"/>
        <n v="24952"/>
        <n v="126331"/>
        <n v="50033"/>
        <n v="72934"/>
        <n v="43464"/>
        <n v="84831"/>
        <n v="69728"/>
        <n v="92238"/>
        <n v="74624"/>
        <n v="96102"/>
        <n v="-26409"/>
        <n v="3335"/>
        <n v="28530"/>
        <n v="167509"/>
        <n v="144606"/>
        <n v="-70295"/>
        <n v="138287"/>
        <n v="10077"/>
        <n v="41517"/>
        <n v="73346"/>
        <n v="3815"/>
        <n v="-39379"/>
        <n v="-9921"/>
        <n v="-56298"/>
        <n v="-6957"/>
        <n v="14025"/>
        <n v="-3794"/>
        <n v="-358"/>
        <n v="-11347"/>
        <n v="25691"/>
        <n v="39886"/>
        <n v="42311"/>
        <n v="-37799"/>
        <n v="-8469"/>
        <n v="8810"/>
        <n v="6373"/>
        <n v="5507"/>
        <n v="-30014"/>
        <n v="7026"/>
        <n v="-19157"/>
        <n v="35302"/>
        <n v="32386"/>
        <n v="32676"/>
        <n v="-2440"/>
        <n v="27700"/>
        <n v="-21137"/>
        <n v="-19778"/>
        <n v="12429"/>
        <n v="-4155"/>
        <n v="-7251"/>
        <n v="11987"/>
        <n v="29906"/>
        <n v="14536"/>
        <n v="54751"/>
        <n v="-29458"/>
        <n v="60113"/>
        <n v="80303"/>
        <n v="27492"/>
        <n v="13871"/>
        <n v="138645"/>
        <n v="-58948"/>
        <n v="118915"/>
        <n v="127623"/>
        <n v="-13781"/>
        <n v="41134"/>
        <n v="-17940"/>
        <n v="87292"/>
        <n v="68251"/>
        <n v="86731"/>
        <n v="99742"/>
        <n v="77805"/>
        <n v="62621"/>
        <n v="37632"/>
        <n v="17647"/>
        <n v="93655"/>
        <n v="27392"/>
        <n v="4662"/>
        <n v="155741"/>
        <n v="13954"/>
        <n v="20630"/>
        <n v="46387"/>
        <n v="36972"/>
        <n v="128450"/>
        <n v="14631"/>
        <n v="56487"/>
        <n v="91160"/>
        <n v="21882"/>
      </sharedItems>
    </cacheField>
    <cacheField name="Holdings of Long-term Treasuries" numFmtId="165">
      <sharedItems containsSemiMixedTypes="0" containsString="0" containsNumber="1" containsInteger="1" minValue="0" maxValue="7832692"/>
    </cacheField>
    <cacheField name="Net Sales of Long-term Treasuries" numFmtId="165">
      <sharedItems containsMixedTypes="1" containsNumber="1" containsInteger="1" minValue="-62563" maxValue="138746"/>
    </cacheField>
    <cacheField name="Valuation Change of Long-term Treasuries" numFmtId="165">
      <sharedItems containsMixedTypes="1" containsNumber="1" containsInteger="1" minValue="-143020" maxValue="160892"/>
    </cacheField>
    <cacheField name="Holdings of Short-term Treasuries" numFmtId="165">
      <sharedItems containsMixedTypes="1" containsNumber="1" containsInteger="1" minValue="0" maxValue="1437555" count="4442">
        <n v="1216"/>
        <n v="1170"/>
        <n v="1312"/>
        <n v="1370"/>
        <n v="1260"/>
        <n v="1223"/>
        <n v="1172"/>
        <n v="1334"/>
        <n v="1447"/>
        <n v="1405"/>
        <n v="1440"/>
        <n v="1248"/>
        <n v="1432"/>
        <n v="1961"/>
        <n v="1951"/>
        <n v="2100"/>
        <n v="2211"/>
        <n v="2228"/>
        <n v="1915"/>
        <n v="1722"/>
        <n v="1481"/>
        <n v="1584"/>
        <n v="1830"/>
        <n v="1645"/>
        <n v="1496"/>
        <n v="1341"/>
        <n v="1331"/>
        <n v="1337"/>
        <n v="811"/>
        <n v="1118"/>
        <n v="843"/>
        <n v="1078"/>
        <n v="1203"/>
        <n v="1192"/>
        <n v="1621"/>
        <n v="1054"/>
        <n v="713"/>
        <n v="616"/>
        <n v="651"/>
        <n v="526"/>
        <n v="768"/>
        <n v="499"/>
        <n v="395"/>
        <n v="329"/>
        <n v="605"/>
        <n v="578"/>
        <n v="773"/>
        <n v="371"/>
        <n v="416"/>
        <n v="374"/>
        <n v="401"/>
        <n v="393"/>
        <n v="396"/>
        <n v="459"/>
        <n v="493"/>
        <n v="662"/>
        <n v="935"/>
        <n v="754"/>
        <n v="950"/>
        <n v="1057"/>
        <n v="1323"/>
        <n v="1251"/>
        <n v="1063"/>
        <n v="898"/>
        <n v="663"/>
        <n v="519"/>
        <n v="73700"/>
        <n v="84082"/>
        <n v="72977"/>
        <n v="72031"/>
        <n v="80887"/>
        <n v="64649"/>
        <n v="60830"/>
        <n v="62855"/>
        <n v="61356"/>
        <n v="61913"/>
        <n v="69232"/>
        <n v="60730"/>
        <n v="60240"/>
        <n v="66624"/>
        <n v="54453"/>
        <n v="52577"/>
        <n v="51661"/>
        <n v="52789"/>
        <n v="52444"/>
        <n v="53192"/>
        <n v="58464"/>
        <n v="58934"/>
        <n v="62543"/>
        <n v="63458"/>
        <n v="59008"/>
        <n v="67086"/>
        <n v="61301"/>
        <n v="60857"/>
        <n v="71444"/>
        <n v="71752"/>
        <n v="75987"/>
        <n v="62333"/>
        <n v="58304"/>
        <n v="50826"/>
        <n v="49290"/>
        <n v="44149"/>
        <n v="47286"/>
        <n v="45701"/>
        <n v="46231"/>
        <n v="41520"/>
        <n v="41055"/>
        <n v="38757"/>
        <n v="38903"/>
        <n v="40829"/>
        <n v="38226"/>
        <n v="43611"/>
        <n v="41297"/>
        <n v="33297"/>
        <n v="35188"/>
        <n v="35342"/>
        <n v="32515"/>
        <n v="31165"/>
        <n v="31523"/>
        <n v="33011"/>
        <n v="30494"/>
        <n v="33602"/>
        <n v="34392"/>
        <n v="40290"/>
        <n v="48168"/>
        <n v="41517"/>
        <n v="36727"/>
        <n v="43706"/>
        <n v="43104"/>
        <n v="42063"/>
        <n v="43166"/>
        <n v="35970"/>
        <n v="34974"/>
        <n v="25728"/>
        <n v="23697"/>
        <n v="21950"/>
        <n v="427"/>
        <n v="398"/>
        <n v="460"/>
        <n v="451"/>
        <n v="480"/>
        <n v="490"/>
        <n v="367"/>
        <n v="438"/>
        <n v="324"/>
        <n v="333"/>
        <n v="369"/>
        <n v="357"/>
        <n v="411"/>
        <n v="520"/>
        <n v="420"/>
        <n v="497"/>
        <n v="473"/>
        <n v="383"/>
        <n v="387"/>
        <n v="340"/>
        <n v="366"/>
        <n v="234"/>
        <n v="290"/>
        <n v="246"/>
        <n v="217"/>
        <n v="214"/>
        <n v="228"/>
        <n v="230"/>
        <n v="241"/>
        <n v="209"/>
        <n v="219"/>
        <n v="218"/>
        <n v="201"/>
        <n v="200"/>
        <n v="193"/>
        <n v="196"/>
        <n v="189"/>
        <n v="168"/>
        <n v="159"/>
        <n v="155"/>
        <n v="166"/>
        <n v="115"/>
        <n v="58"/>
        <n v="72"/>
        <n v="66"/>
        <n v="60"/>
        <n v="75"/>
        <n v="78"/>
        <n v="73"/>
        <n v="55"/>
        <n v="62"/>
        <n v="70"/>
        <n v="81"/>
        <n v="79"/>
        <n v="68"/>
        <n v="61"/>
        <n v="57"/>
        <n v="156"/>
        <n v="154"/>
        <n v="93"/>
        <n v="89"/>
        <n v="1363"/>
        <n v="1435"/>
        <n v="1344"/>
        <n v="1484"/>
        <n v="2182"/>
        <n v="2097"/>
        <n v="2555"/>
        <n v="2716"/>
        <n v="1324"/>
        <n v="2758"/>
        <n v="2915"/>
        <n v="2064"/>
        <n v="1797"/>
        <n v="2033"/>
        <n v="2631"/>
        <n v="3372"/>
        <n v="3252"/>
        <n v="3662"/>
        <n v="3160"/>
        <n v="2369"/>
        <n v="1568"/>
        <n v="1022"/>
        <n v="1332"/>
        <n v="987"/>
        <n v="1144"/>
        <n v="1869"/>
        <n v="2328"/>
        <n v="2433"/>
        <n v="2312"/>
        <n v="2578"/>
        <n v="2691"/>
        <n v="1397"/>
        <n v="1404"/>
        <n v="1561"/>
        <n v="1096"/>
        <n v="1126"/>
        <n v="875"/>
        <n v="781"/>
        <n v="761"/>
        <n v="844"/>
        <n v="749"/>
        <n v="974"/>
        <n v="757"/>
        <n v="742"/>
        <n v="633"/>
        <n v="469"/>
        <n v="571"/>
        <n v="476"/>
        <n v="628"/>
        <n v="558"/>
        <n v="649"/>
        <n v="544"/>
        <n v="725"/>
        <n v="1180"/>
        <n v="1098"/>
        <n v="1175"/>
        <n v="1197"/>
        <n v="1388"/>
        <n v="2152"/>
        <n v="3230"/>
        <n v="3658"/>
        <n v="4009"/>
        <n v="3588"/>
        <n v="1516"/>
        <n v="1377"/>
        <n v="1133"/>
        <n v="611"/>
        <n v="422"/>
        <n v="267"/>
        <n v="303"/>
        <n v="439"/>
        <n v="403"/>
        <n v="312"/>
        <n v="291"/>
        <n v="255"/>
        <n v="260"/>
        <n v="310"/>
        <n v="355"/>
        <n v="279"/>
        <n v="247"/>
        <n v="334"/>
        <n v="343"/>
        <n v="345"/>
        <n v="372"/>
        <n v="872"/>
        <n v="929"/>
        <n v="918"/>
        <n v="1041"/>
        <n v="684"/>
        <n v="122"/>
        <n v="191"/>
        <n v="261"/>
        <n v="352"/>
        <n v="182"/>
        <n v="306"/>
        <n v="285"/>
        <n v="248"/>
        <n v="281"/>
        <n v="132"/>
        <n v="120"/>
        <n v="379"/>
        <n v="498"/>
        <n v="604"/>
        <n v="619"/>
        <n v="660"/>
        <n v="669"/>
        <n v="573"/>
        <n v="577"/>
        <n v="612"/>
        <n v="609"/>
        <n v="745"/>
        <n v="863"/>
        <n v="858"/>
        <n v="743"/>
        <n v="169"/>
        <n v="184"/>
        <n v="287"/>
        <n v="210"/>
        <n v="242"/>
        <n v="489"/>
        <n v="545"/>
        <n v="117"/>
        <n v="108"/>
        <n v="99"/>
        <n v="20789"/>
        <n v="17746"/>
        <n v="19503"/>
        <n v="20464"/>
        <n v="18131"/>
        <n v="22681"/>
        <n v="22826"/>
        <n v="17153"/>
        <n v="21738"/>
        <n v="16254"/>
        <n v="16485"/>
        <n v="24601"/>
        <n v="18701"/>
        <n v="16647"/>
        <n v="18867"/>
        <n v="20063"/>
        <n v="17674"/>
        <n v="23184"/>
        <n v="25316"/>
        <n v="19117"/>
        <n v="21566"/>
        <n v="16608"/>
        <n v="17950"/>
        <n v="18917"/>
        <n v="21075"/>
        <n v="24292"/>
        <n v="20259"/>
        <n v="22842"/>
        <n v="19249"/>
        <n v="33956"/>
        <n v="18495"/>
        <n v="18609"/>
        <n v="18697"/>
        <n v="14320"/>
        <n v="15011"/>
        <n v="16284"/>
        <n v="15932"/>
        <n v="15031"/>
        <n v="20599"/>
        <n v="19600"/>
        <n v="17117"/>
        <n v="19148"/>
        <n v="21540"/>
        <n v="22814"/>
        <n v="25190"/>
        <n v="18856"/>
        <n v="15715"/>
        <n v="18617"/>
        <n v="21686"/>
        <n v="15675"/>
        <n v="22354"/>
        <n v="24972"/>
        <n v="19180"/>
        <n v="14239"/>
        <n v="13368"/>
        <n v="14280"/>
        <n v="13920"/>
        <n v="15243"/>
        <n v="14516"/>
        <n v="17310"/>
        <n v="18482"/>
        <n v="18680"/>
        <n v="22227"/>
        <n v="21801"/>
        <n v="24016"/>
        <n v="22309"/>
        <n v="19344"/>
        <n v="17396"/>
        <n v="17955"/>
        <n v="16035"/>
        <n v="32196"/>
        <n v="25534"/>
        <n v="23003"/>
        <n v="26835"/>
        <n v="22217"/>
        <n v="22679"/>
        <n v="25920"/>
        <n v="24227"/>
        <n v="20876"/>
        <n v="25475"/>
        <n v="22303"/>
        <n v="23390"/>
        <n v="24630"/>
        <n v="23060"/>
        <n v="22954"/>
        <n v="21238"/>
        <n v="13190"/>
        <n v="14076"/>
        <n v="13668"/>
        <n v="12850"/>
        <n v="13869"/>
        <n v="11998"/>
        <n v="13265"/>
        <n v="12381"/>
        <n v="12426"/>
        <n v="12121"/>
        <n v="13060"/>
        <n v="12139"/>
        <n v="12447"/>
        <n v="12448"/>
        <n v="9119"/>
        <n v="8225"/>
        <n v="9225"/>
        <n v="9958"/>
        <n v="12018"/>
        <n v="9964"/>
        <n v="8844"/>
        <n v="8774"/>
        <n v="7875"/>
        <n v="7563"/>
        <n v="7692"/>
        <n v="8723"/>
        <n v="7652"/>
        <n v="8067"/>
        <n v="8989"/>
        <n v="9610"/>
        <n v="9601"/>
        <n v="8676"/>
        <n v="8483"/>
        <n v="8240"/>
        <n v="7627"/>
        <n v="6754"/>
        <n v="7386"/>
        <n v="7810"/>
        <n v="7326"/>
        <n v="7631"/>
        <n v="7972"/>
        <n v="7687"/>
        <n v="8277"/>
        <n v="7162"/>
        <n v="6786"/>
        <n v="7414"/>
        <n v="8467"/>
        <n v="10336"/>
        <n v="12102"/>
        <n v="10585"/>
        <n v="9653"/>
        <n v="7537"/>
        <n v="10327"/>
        <n v="9602"/>
        <s v="n.a."/>
        <n v="103138"/>
        <n v="105322"/>
        <n v="114072"/>
        <n v="99336"/>
        <n v="97087"/>
        <n v="104315"/>
        <n v="105911"/>
        <n v="108393"/>
        <n v="118510"/>
        <n v="112001"/>
        <n v="115437"/>
        <n v="118655"/>
        <n v="117412"/>
        <n v="105256"/>
        <n v="102897"/>
        <n v="97879"/>
        <n v="93276"/>
        <n v="95889"/>
        <n v="94980"/>
        <n v="103683"/>
        <n v="109417"/>
        <n v="104273"/>
        <n v="115035"/>
        <n v="105210"/>
        <n v="96585"/>
        <n v="90391"/>
        <n v="89642"/>
        <n v="66888"/>
        <n v="75497"/>
        <n v="45485"/>
        <n v="39801"/>
        <n v="47191"/>
        <n v="55830"/>
        <n v="57455"/>
        <n v="55431"/>
        <n v="61097"/>
        <n v="62993"/>
        <n v="86408"/>
        <n v="82444"/>
        <n v="80965"/>
        <n v="94753"/>
        <n v="93930"/>
        <n v="113113"/>
        <n v="119239"/>
        <n v="118922"/>
        <n v="117356"/>
        <n v="128801"/>
        <n v="134069"/>
        <n v="128159"/>
        <n v="118470"/>
        <n v="125338"/>
        <n v="123625"/>
        <n v="130042"/>
        <n v="113814"/>
        <n v="117176"/>
        <n v="126348"/>
        <n v="132873"/>
        <n v="130727"/>
        <n v="133925"/>
        <n v="131100"/>
        <n v="124979"/>
        <n v="121119"/>
        <n v="137022"/>
        <n v="132536"/>
        <n v="129037"/>
        <n v="115675"/>
        <n v="96826"/>
        <n v="55107"/>
        <n v="41906"/>
        <n v="39776"/>
        <n v="3409"/>
        <n v="2586"/>
        <n v="3618"/>
        <n v="5756"/>
        <n v="4780"/>
        <n v="3544"/>
        <n v="3828"/>
        <n v="5117"/>
        <n v="4560"/>
        <n v="5729"/>
        <n v="6044"/>
        <n v="7859"/>
        <n v="8364"/>
        <n v="9095"/>
        <n v="8929"/>
        <n v="8187"/>
        <n v="8658"/>
        <n v="9006"/>
        <n v="5564"/>
        <n v="2978"/>
        <n v="3405"/>
        <n v="3361"/>
        <n v="3223"/>
        <n v="3045"/>
        <n v="2976"/>
        <n v="2688"/>
        <n v="2717"/>
        <n v="3196"/>
        <n v="2500"/>
        <n v="6346"/>
        <n v="1271"/>
        <n v="1644"/>
        <n v="1649"/>
        <n v="1026"/>
        <n v="1116"/>
        <n v="1029"/>
        <n v="1438"/>
        <n v="1493"/>
        <n v="1594"/>
        <n v="1325"/>
        <n v="1520"/>
        <n v="1825"/>
        <n v="2080"/>
        <n v="1684"/>
        <n v="1501"/>
        <n v="1553"/>
        <n v="1683"/>
        <n v="1702"/>
        <n v="1652"/>
        <n v="1566"/>
        <n v="1453"/>
        <n v="1801"/>
        <n v="1928"/>
        <n v="2193"/>
        <n v="2235"/>
        <n v="2296"/>
        <n v="2168"/>
        <n v="2353"/>
        <n v="2300"/>
        <n v="2310"/>
        <n v="2602"/>
        <n v="3004"/>
        <n v="2835"/>
        <n v="2229"/>
        <n v="2062"/>
        <n v="3769"/>
        <n v="95130"/>
        <n v="100107"/>
        <n v="99952"/>
        <n v="94652"/>
        <n v="93821"/>
        <n v="100048"/>
        <n v="98604"/>
        <n v="95542"/>
        <n v="94148"/>
        <n v="99526"/>
        <n v="111116"/>
        <n v="106280"/>
        <n v="99878"/>
        <n v="98749"/>
        <n v="99827"/>
        <n v="101918"/>
        <n v="97028"/>
        <n v="98101"/>
        <n v="98522"/>
        <n v="106704"/>
        <n v="103079"/>
        <n v="102782"/>
        <n v="103472"/>
        <n v="104872"/>
        <n v="89724"/>
        <n v="97543"/>
        <n v="91619"/>
        <n v="80630"/>
        <n v="74237"/>
        <n v="68982"/>
        <n v="66980"/>
        <n v="66613"/>
        <n v="66599"/>
        <n v="63500"/>
        <n v="68814"/>
        <n v="66044"/>
        <n v="62977"/>
        <n v="65997"/>
        <n v="73406"/>
        <n v="69754"/>
        <n v="74510"/>
        <n v="79645"/>
        <n v="84236"/>
        <n v="89699"/>
        <n v="106022"/>
        <n v="104365"/>
        <n v="102408"/>
        <n v="113580"/>
        <n v="106921"/>
        <n v="103417"/>
        <n v="95759"/>
        <n v="94215"/>
        <n v="101523"/>
        <n v="89591"/>
        <n v="93304"/>
        <n v="93267"/>
        <n v="95977"/>
        <n v="95210"/>
        <n v="96896"/>
        <n v="88243"/>
        <n v="86418"/>
        <n v="83493"/>
        <n v="87633"/>
        <n v="82342"/>
        <n v="85093"/>
        <n v="77057"/>
        <n v="69270"/>
        <n v="41489"/>
        <n v="44506"/>
        <n v="43031"/>
        <n v="1696"/>
        <n v="1932"/>
        <n v="2085"/>
        <n v="2003"/>
        <n v="2201"/>
        <n v="2067"/>
        <n v="2511"/>
        <n v="4120"/>
        <n v="2771"/>
        <n v="3365"/>
        <n v="3446"/>
        <n v="3401"/>
        <n v="3711"/>
        <n v="3538"/>
        <n v="3330"/>
        <n v="3434"/>
        <n v="3164"/>
        <n v="2748"/>
        <n v="2766"/>
        <n v="3055"/>
        <n v="3038"/>
        <n v="2895"/>
        <n v="4382"/>
        <n v="2987"/>
        <n v="2846"/>
        <n v="2847"/>
        <n v="3083"/>
        <n v="3058"/>
        <n v="2757"/>
        <n v="2456"/>
        <n v="1969"/>
        <n v="1418"/>
        <n v="1499"/>
        <n v="1569"/>
        <n v="1186"/>
        <n v="1117"/>
        <n v="2169"/>
        <n v="957"/>
        <n v="1092"/>
        <n v="1402"/>
        <n v="1821"/>
        <n v="1153"/>
        <n v="4830"/>
        <n v="3088"/>
        <n v="1077"/>
        <n v="1338"/>
        <n v="1064"/>
        <n v="1034"/>
        <n v="1454"/>
        <n v="954"/>
        <n v="1106"/>
        <n v="955"/>
        <n v="2043"/>
        <n v="2414"/>
        <n v="1858"/>
        <n v="2217"/>
        <n v="2247"/>
        <n v="1687"/>
        <n v="1470"/>
        <n v="3243"/>
        <n v="2010"/>
        <n v="2112"/>
        <n v="2022"/>
        <n v="1374"/>
        <n v="1113"/>
        <n v="1261"/>
        <n v="485"/>
        <n v="655"/>
        <n v="445"/>
        <n v="434"/>
        <n v="388"/>
        <n v="541"/>
        <n v="375"/>
        <n v="467"/>
        <n v="720"/>
        <n v="688"/>
        <n v="919"/>
        <n v="724"/>
        <n v="601"/>
        <n v="458"/>
        <n v="503"/>
        <n v="516"/>
        <n v="1074"/>
        <n v="889"/>
        <n v="492"/>
        <n v="370"/>
        <n v="332"/>
        <n v="328"/>
        <n v="9"/>
        <n v="10"/>
        <n v="14"/>
        <n v="98"/>
        <n v="8"/>
        <n v="26"/>
        <n v="44"/>
        <n v="134"/>
        <n v="446"/>
        <n v="470"/>
        <n v="564"/>
        <n v="864"/>
        <n v="680"/>
        <n v="686"/>
        <n v="262"/>
        <n v="272"/>
        <n v="1720"/>
        <n v="1132"/>
        <n v="1008"/>
        <n v="1205"/>
        <n v="1111"/>
        <n v="1150"/>
        <n v="264"/>
        <n v="229"/>
        <n v="67"/>
        <n v="11"/>
        <n v="100"/>
        <n v="15"/>
        <n v="23"/>
        <n v="17"/>
        <n v="95"/>
        <n v="394"/>
        <n v="418"/>
        <n v="494"/>
        <n v="584"/>
        <n v="522"/>
        <n v="506"/>
        <n v="549"/>
        <n v="543"/>
        <n v="431"/>
        <n v="454"/>
        <n v="629"/>
        <n v="687"/>
        <n v="682"/>
        <n v="462"/>
        <n v="505"/>
        <n v="639"/>
        <n v="523"/>
        <n v="424"/>
        <n v="468"/>
        <n v="441"/>
        <n v="440"/>
        <n v="317"/>
        <n v="295"/>
        <n v="254"/>
        <n v="124"/>
        <n v="235"/>
        <n v="263"/>
        <n v="452"/>
        <n v="491"/>
        <n v="591"/>
        <n v="344"/>
        <n v="145"/>
        <n v="623"/>
        <n v="347"/>
        <n v="314"/>
        <n v="341"/>
        <n v="337"/>
        <n v="402"/>
        <n v="435"/>
        <n v="474"/>
        <n v="542"/>
        <n v="432"/>
        <n v="527"/>
        <n v="524"/>
        <n v="471"/>
        <n v="538"/>
        <n v="600"/>
        <n v="163"/>
        <n v="253"/>
        <n v="3643"/>
        <n v="3626"/>
        <n v="5540"/>
        <n v="3653"/>
        <n v="2439"/>
        <n v="3159"/>
        <n v="2936"/>
        <n v="3513"/>
        <n v="2699"/>
        <n v="2768"/>
        <n v="3777"/>
        <n v="4169"/>
        <n v="3714"/>
        <n v="3878"/>
        <n v="2902"/>
        <n v="3095"/>
        <n v="3283"/>
        <n v="3289"/>
        <n v="2332"/>
        <n v="3329"/>
        <n v="2603"/>
        <n v="2638"/>
        <n v="4453"/>
        <n v="3134"/>
        <n v="2929"/>
        <n v="2593"/>
        <n v="2719"/>
        <n v="2382"/>
        <n v="1848"/>
        <n v="1811"/>
        <n v="1835"/>
        <n v="1513"/>
        <n v="1107"/>
        <n v="1049"/>
        <n v="972"/>
        <n v="1253"/>
        <n v="965"/>
        <n v="1119"/>
        <n v="1122"/>
        <n v="1396"/>
        <n v="1721"/>
        <n v="1767"/>
        <n v="1614"/>
        <n v="1285"/>
        <n v="1466"/>
        <n v="1335"/>
        <n v="1540"/>
        <n v="1423"/>
        <n v="1668"/>
        <n v="1853"/>
        <n v="1897"/>
        <n v="1966"/>
        <n v="2091"/>
        <n v="1964"/>
        <n v="2158"/>
        <n v="2045"/>
        <n v="2272"/>
        <n v="2725"/>
        <n v="2982"/>
        <n v="2773"/>
        <n v="2250"/>
        <n v="1706"/>
        <n v="2069"/>
        <n v="1995"/>
        <n v="215"/>
        <n v="226"/>
        <n v="301"/>
        <n v="364"/>
        <n v="433"/>
        <n v="463"/>
        <n v="529"/>
        <n v="488"/>
        <n v="613"/>
        <n v="610"/>
        <n v="626"/>
        <n v="696"/>
        <n v="546"/>
        <n v="694"/>
        <n v="776"/>
        <n v="893"/>
        <n v="733"/>
        <n v="547"/>
        <n v="607"/>
        <n v="354"/>
        <n v="465"/>
        <n v="658"/>
        <n v="677"/>
        <n v="865"/>
        <n v="882"/>
        <n v="855"/>
        <n v="701"/>
        <n v="627"/>
        <n v="698"/>
        <n v="756"/>
        <n v="936"/>
        <n v="1001"/>
        <n v="815"/>
        <n v="513"/>
        <n v="579"/>
        <n v="336"/>
        <n v="319"/>
        <n v="430"/>
        <n v="307"/>
        <n v="282"/>
        <n v="421"/>
        <n v="351"/>
        <n v="400"/>
        <n v="511"/>
        <n v="603"/>
        <n v="735"/>
        <n v="405"/>
        <n v="61094"/>
        <n v="58898"/>
        <n v="61479"/>
        <n v="61755"/>
        <n v="60764"/>
        <n v="60451"/>
        <n v="61104"/>
        <n v="66916"/>
        <n v="59963"/>
        <n v="61956"/>
        <n v="61794"/>
        <n v="64160"/>
        <n v="64518"/>
        <n v="69089"/>
        <n v="63594"/>
        <n v="55668"/>
        <n v="59218"/>
        <n v="57023"/>
        <n v="52627"/>
        <n v="52887"/>
        <n v="53640"/>
        <n v="51160"/>
        <n v="55565"/>
        <n v="54546"/>
        <n v="53904"/>
        <n v="54709"/>
        <n v="56629"/>
        <n v="64899"/>
        <n v="62940"/>
        <n v="59407"/>
        <n v="64127"/>
        <n v="66159"/>
        <n v="56527"/>
        <n v="54351"/>
        <n v="49414"/>
        <n v="48088"/>
        <n v="47185"/>
        <n v="37716"/>
        <n v="34965"/>
        <n v="32764"/>
        <n v="30718"/>
        <n v="32940"/>
        <n v="30388"/>
        <n v="31804"/>
        <n v="25822"/>
        <n v="32503"/>
        <n v="30734"/>
        <n v="30505"/>
        <n v="32328"/>
        <n v="30550"/>
        <n v="33177"/>
        <n v="31655"/>
        <n v="31184"/>
        <n v="26556"/>
        <n v="25690"/>
        <n v="23435"/>
        <n v="23970"/>
        <n v="24353"/>
        <n v="26444"/>
        <n v="27127"/>
        <n v="27670"/>
        <n v="28811"/>
        <n v="31839"/>
        <n v="31823"/>
        <n v="33064"/>
        <n v="32983"/>
        <n v="33141"/>
        <n v="34285"/>
        <n v="35035"/>
        <n v="33289"/>
        <n v="6523"/>
        <n v="5632"/>
        <n v="12081"/>
        <n v="4182"/>
        <n v="2166"/>
        <n v="1583"/>
        <n v="3694"/>
        <n v="7630"/>
        <n v="6348"/>
        <n v="3287"/>
        <n v="2845"/>
        <n v="2931"/>
        <n v="1301"/>
        <n v="1266"/>
        <n v="1283"/>
        <n v="237"/>
        <n v="221"/>
        <n v="212"/>
        <n v="225"/>
        <n v="481"/>
        <n v="580"/>
        <n v="449"/>
        <n v="727"/>
        <n v="728"/>
        <n v="659"/>
        <n v="624"/>
        <n v="621"/>
        <n v="501"/>
        <n v="456"/>
        <n v="504"/>
        <n v="487"/>
        <n v="502"/>
        <n v="486"/>
        <n v="711"/>
        <n v="848"/>
        <n v="796"/>
        <n v="873"/>
        <n v="784"/>
        <n v="915"/>
        <n v="764"/>
        <n v="517"/>
        <n v="280"/>
        <n v="80488"/>
        <n v="81662"/>
        <n v="82870"/>
        <n v="83891"/>
        <n v="85125"/>
        <n v="81351"/>
        <n v="77972"/>
        <n v="89781"/>
        <n v="81648"/>
        <n v="81627"/>
        <n v="77482"/>
        <n v="83063"/>
        <n v="80317"/>
        <n v="83612"/>
        <n v="91722"/>
        <n v="87342"/>
        <n v="97806"/>
        <n v="99565"/>
        <n v="106031"/>
        <n v="108997"/>
        <n v="102577"/>
        <n v="100340"/>
        <n v="105550"/>
        <n v="99803"/>
        <n v="100447"/>
        <n v="108139"/>
        <n v="101189"/>
        <n v="92048"/>
        <n v="90530"/>
        <n v="81842"/>
        <n v="89713"/>
        <n v="90657"/>
        <n v="106002"/>
        <n v="103174"/>
        <n v="98523"/>
        <n v="80861"/>
        <n v="84966"/>
        <n v="91733"/>
        <n v="94999"/>
        <n v="81934"/>
        <n v="87546"/>
        <n v="90795"/>
        <n v="94056"/>
        <n v="103658"/>
        <n v="102942"/>
        <n v="88843"/>
        <n v="93292"/>
        <n v="87576"/>
        <n v="77952"/>
        <n v="78832"/>
        <n v="72109"/>
        <n v="64333"/>
        <n v="66846"/>
        <n v="59242"/>
        <n v="58069"/>
        <n v="65793"/>
        <n v="66893"/>
        <n v="66904"/>
        <n v="68483"/>
        <n v="61978"/>
        <n v="67557"/>
        <n v="70790"/>
        <n v="73198"/>
        <n v="70287"/>
        <n v="76537"/>
        <n v="66685"/>
        <n v="63809"/>
        <n v="66209"/>
        <n v="51608"/>
        <n v="49008"/>
        <n v="7"/>
        <n v="16"/>
        <n v="4"/>
        <n v="3"/>
        <n v="6"/>
        <n v="2"/>
        <n v="1"/>
        <n v="12"/>
        <n v="5"/>
        <n v="13"/>
        <n v="525"/>
        <n v="2012"/>
        <n v="2009"/>
        <n v="2006"/>
        <n v="2002"/>
        <n v="2001"/>
        <n v="3751"/>
        <n v="4501"/>
        <n v="3808"/>
        <n v="2308"/>
        <n v="3166"/>
        <n v="3801"/>
        <n v="3701"/>
        <n v="3500"/>
        <n v="3651"/>
        <n v="2888"/>
        <n v="5450"/>
        <n v="4801"/>
        <n v="3400"/>
        <n v="3524"/>
        <n v="2550"/>
        <n v="3201"/>
        <n v="2701"/>
        <n v="3001"/>
        <n v="1635"/>
        <n v="2839"/>
        <n v="6702"/>
        <n v="4420"/>
        <n v="4082"/>
        <n v="5195"/>
        <n v="4786"/>
        <n v="6271"/>
        <n v="6211"/>
        <n v="4798"/>
        <n v="5810"/>
        <n v="5686"/>
        <n v="3086"/>
        <n v="2606"/>
        <n v="3994"/>
        <n v="5317"/>
        <n v="4184"/>
        <n v="4031"/>
        <n v="4334"/>
        <n v="4857"/>
        <n v="6274"/>
        <n v="8692"/>
        <n v="9824"/>
        <n v="9366"/>
        <n v="8108"/>
        <n v="8677"/>
        <n v="8571"/>
        <n v="9200"/>
        <n v="11159"/>
        <n v="11868"/>
        <n v="13313"/>
        <n v="13113"/>
        <n v="12765"/>
        <n v="11324"/>
        <n v="12084"/>
        <n v="12708"/>
        <n v="10373"/>
        <n v="10788"/>
        <n v="6618"/>
        <n v="8055"/>
        <n v="9036"/>
        <n v="8625"/>
        <n v="7153"/>
        <n v="7574"/>
        <n v="7512"/>
        <n v="4411"/>
        <n v="4154"/>
        <n v="4730"/>
        <n v="3358"/>
        <n v="2234"/>
        <n v="2223"/>
        <n v="2123"/>
        <n v="912"/>
        <n v="563"/>
        <n v="550"/>
        <n v="1069"/>
        <n v="1550"/>
        <n v="2350"/>
        <n v="2127"/>
        <n v="2125"/>
        <n v="2518"/>
        <n v="3817"/>
        <n v="2542"/>
        <n v="3493"/>
        <n v="4197"/>
        <n v="5479"/>
        <n v="5709"/>
        <n v="5774"/>
        <n v="5667"/>
        <n v="6767"/>
        <n v="8458"/>
        <n v="506400"/>
        <n v="513829"/>
        <n v="527200"/>
        <n v="508382"/>
        <n v="504356"/>
        <n v="497439"/>
        <n v="496049"/>
        <n v="512682"/>
        <n v="510176"/>
        <n v="504707"/>
        <n v="515065"/>
        <n v="524765"/>
        <n v="514403"/>
        <n v="508748"/>
        <n v="498712"/>
        <n v="477304"/>
        <n v="472075"/>
        <n v="483377"/>
        <n v="485441"/>
        <n v="496358"/>
        <n v="501224"/>
        <n v="481619"/>
        <n v="512986"/>
        <n v="498382"/>
        <n v="474558"/>
        <n v="495074"/>
        <n v="477934"/>
        <n v="449131"/>
        <n v="451225"/>
        <n v="415649"/>
        <n v="396197"/>
        <n v="394184"/>
        <n v="403402"/>
        <n v="385074"/>
        <n v="377563"/>
        <n v="355026"/>
        <n v="356153"/>
        <n v="377560"/>
        <n v="386453"/>
        <n v="358434"/>
        <n v="378112"/>
        <n v="389265"/>
        <n v="414071"/>
        <n v="440083"/>
        <n v="461929"/>
        <n v="447656"/>
        <n v="454789"/>
        <n v="452305"/>
        <n v="440073"/>
        <n v="423389"/>
        <n v="422118"/>
        <n v="415101"/>
        <n v="423216"/>
        <n v="376822"/>
        <n v="384206"/>
        <n v="402043"/>
        <n v="420933"/>
        <n v="421545"/>
        <n v="444384"/>
        <n v="420412"/>
        <n v="414246"/>
        <n v="417804"/>
        <n v="453512"/>
        <n v="438691"/>
        <n v="446753"/>
        <n v="395685"/>
        <n v="359103"/>
        <n v="272726"/>
        <n v="263245"/>
        <n v="248280"/>
        <n v="338319"/>
        <n v="345274"/>
        <n v="343625"/>
        <n v="331835"/>
        <n v="327667"/>
        <n v="327352"/>
        <n v="328537"/>
        <n v="325219"/>
        <n v="332202"/>
        <n v="331556"/>
        <n v="351496"/>
        <n v="353619"/>
        <n v="342532"/>
        <n v="332762"/>
        <n v="320675"/>
        <n v="313750"/>
        <n v="293268"/>
        <n v="304554"/>
        <n v="301779"/>
        <n v="309036"/>
        <n v="321370"/>
        <n v="308431"/>
        <n v="328132"/>
        <n v="320829"/>
        <n v="293831"/>
        <n v="305626"/>
        <n v="289869"/>
        <n v="258271"/>
        <n v="265614"/>
        <n v="246775"/>
        <n v="218945"/>
        <n v="211746"/>
        <n v="217366"/>
        <n v="204287"/>
        <n v="207299"/>
        <n v="203983"/>
        <n v="203201"/>
        <n v="227329"/>
        <n v="238031"/>
        <n v="225753"/>
        <n v="241409"/>
        <n v="246208"/>
        <n v="271872"/>
        <n v="288578"/>
        <n v="307160"/>
        <n v="302520"/>
        <n v="309609"/>
        <n v="317833"/>
        <n v="308090"/>
        <n v="288904"/>
        <n v="291317"/>
        <n v="288105"/>
        <n v="297882"/>
        <n v="265634"/>
        <n v="269930"/>
        <n v="283806"/>
        <n v="295495"/>
        <n v="300187"/>
        <n v="312000"/>
        <n v="294967"/>
        <n v="283853"/>
        <n v="283965"/>
        <n v="308059"/>
        <n v="301339"/>
        <n v="305219"/>
        <n v="273151"/>
        <n v="239454"/>
        <n v="154546"/>
        <n v="146869"/>
        <n v="139767"/>
        <n v="344918"/>
        <n v="353136"/>
        <n v="355121"/>
        <n v="342935"/>
        <n v="339756"/>
        <n v="337777"/>
        <n v="340074"/>
        <n v="337649"/>
        <n v="345795"/>
        <n v="343057"/>
        <n v="362829"/>
        <n v="363146"/>
        <n v="353266"/>
        <n v="342772"/>
        <n v="329196"/>
        <n v="321796"/>
        <n v="303056"/>
        <n v="313722"/>
        <n v="310423"/>
        <n v="316402"/>
        <n v="327528"/>
        <n v="313208"/>
        <n v="334466"/>
        <n v="325862"/>
        <n v="300775"/>
        <n v="310239"/>
        <n v="297057"/>
        <n v="267956"/>
        <n v="274412"/>
        <n v="253321"/>
        <n v="225548"/>
        <n v="218924"/>
        <n v="222563"/>
        <n v="211341"/>
        <n v="212844"/>
        <n v="211592"/>
        <n v="209106"/>
        <n v="231731"/>
        <n v="240451"/>
        <n v="229141"/>
        <n v="245127"/>
        <n v="250511"/>
        <n v="278204"/>
        <n v="293930"/>
        <n v="318588"/>
        <n v="313521"/>
        <n v="318045"/>
        <n v="325028"/>
        <n v="319690"/>
        <n v="300372"/>
        <n v="304632"/>
        <n v="307550"/>
        <n v="314239"/>
        <n v="279629"/>
        <n v="287994"/>
        <n v="301198"/>
        <n v="315980"/>
        <n v="318990"/>
        <n v="335988"/>
        <n v="319014"/>
        <n v="307517"/>
        <n v="307941"/>
        <n v="336717"/>
        <n v="324430"/>
        <n v="323840"/>
        <n v="284135"/>
        <n v="249118"/>
        <n v="161371"/>
        <n v="155998"/>
        <n v="195011"/>
        <n v="39222"/>
        <n v="34484"/>
        <n v="31334"/>
        <n v="30959"/>
        <n v="32824"/>
        <n v="33252"/>
        <n v="35146"/>
        <n v="36265"/>
        <n v="33039"/>
        <n v="31596"/>
        <n v="31650"/>
        <n v="33416"/>
        <n v="30386"/>
        <n v="29062"/>
        <n v="31822"/>
        <n v="31446"/>
        <n v="33615"/>
        <n v="35785"/>
        <n v="32534"/>
        <n v="32489"/>
        <n v="31271"/>
        <n v="41254"/>
        <n v="29931"/>
        <n v="35449"/>
        <n v="36384"/>
        <n v="38849"/>
        <n v="35259"/>
        <n v="36523"/>
        <n v="26228"/>
        <n v="23350"/>
        <n v="21109"/>
        <n v="22555"/>
        <n v="25479"/>
        <n v="25557"/>
        <n v="22469"/>
        <n v="24214"/>
        <n v="23449"/>
        <n v="18956"/>
        <n v="18739"/>
        <n v="19209"/>
        <n v="16346"/>
        <n v="14405"/>
        <n v="22085"/>
        <n v="21958"/>
        <n v="30436"/>
        <n v="21534"/>
        <n v="18195"/>
        <n v="19359"/>
        <n v="21370"/>
        <n v="18129"/>
        <n v="17541"/>
        <n v="18006"/>
        <n v="17754"/>
        <n v="20534"/>
        <n v="20527"/>
        <n v="20737"/>
        <n v="21847"/>
        <n v="25523"/>
        <n v="25055"/>
        <n v="24709"/>
        <n v="21113"/>
        <n v="23272"/>
        <n v="25296"/>
        <n v="24788"/>
        <n v="25849"/>
        <n v="25012"/>
        <n v="23385"/>
        <n v="19832"/>
        <n v="21254"/>
        <n v="19318"/>
        <n v="5668"/>
        <n v="6324"/>
        <n v="6336"/>
        <n v="6266"/>
        <n v="6310"/>
        <n v="6562"/>
        <n v="6377"/>
        <n v="6361"/>
        <n v="6498"/>
        <n v="6587"/>
        <n v="6560"/>
        <n v="6831"/>
        <n v="7088"/>
        <n v="7146"/>
        <n v="6566"/>
        <n v="6260"/>
        <n v="6286"/>
        <n v="6134"/>
        <n v="5871"/>
        <n v="4887"/>
        <n v="4994"/>
        <n v="4946"/>
        <n v="5049"/>
        <n v="5228"/>
        <n v="6778"/>
        <n v="6603"/>
        <n v="6551"/>
        <n v="6413"/>
        <n v="6314"/>
        <n v="6201"/>
        <n v="5984"/>
        <n v="5331"/>
        <n v="5091"/>
        <n v="4713"/>
        <n v="4990"/>
        <n v="4698"/>
        <n v="4199"/>
        <n v="3924"/>
        <n v="3687"/>
        <n v="3288"/>
        <n v="2926"/>
        <n v="2866"/>
        <n v="2667"/>
        <n v="2422"/>
        <n v="2333"/>
        <n v="2291"/>
        <n v="2289"/>
        <n v="2343"/>
        <n v="2271"/>
        <n v="2303"/>
        <n v="2322"/>
        <n v="2367"/>
        <n v="2326"/>
        <n v="2421"/>
        <n v="2505"/>
        <n v="2663"/>
        <n v="2678"/>
        <n v="2971"/>
        <n v="3052"/>
        <n v="3312"/>
        <n v="3527"/>
        <n v="3579"/>
        <n v="3830"/>
        <n v="3939"/>
        <n v="4060"/>
        <n v="4614"/>
        <n v="5009"/>
        <n v="5270"/>
        <n v="1395"/>
        <n v="1182"/>
        <n v="1407"/>
        <n v="3062"/>
        <n v="3883"/>
        <n v="3722"/>
        <n v="5528"/>
        <n v="5423"/>
        <n v="4969"/>
        <n v="917"/>
        <n v="1311"/>
        <n v="1031"/>
        <n v="2616"/>
        <n v="2624"/>
        <n v="3148"/>
        <n v="4299"/>
        <n v="7971"/>
        <n v="7259"/>
        <n v="8039"/>
        <n v="8544"/>
        <n v="8703"/>
        <n v="9059"/>
        <n v="6106"/>
        <n v="5140"/>
        <n v="4421"/>
        <n v="5036"/>
        <n v="4741"/>
        <n v="4127"/>
        <n v="4429"/>
        <n v="4003"/>
        <n v="2945"/>
        <n v="1838"/>
        <n v="1202"/>
        <n v="968"/>
        <n v="849"/>
        <n v="539"/>
        <n v="785"/>
        <n v="771"/>
        <n v="774"/>
        <n v="895"/>
        <n v="905"/>
        <n v="1380"/>
        <n v="829"/>
        <n v="562"/>
        <n v="646"/>
        <n v="641"/>
        <n v="606"/>
        <n v="1378"/>
        <n v="2262"/>
        <n v="1530"/>
        <n v="3302"/>
        <n v="2237"/>
        <n v="3189"/>
        <n v="7106"/>
        <n v="12446"/>
        <n v="13355"/>
        <n v="14496"/>
        <n v="14446"/>
        <n v="15723"/>
        <n v="9207"/>
        <n v="4445"/>
        <n v="4965"/>
        <n v="4132"/>
        <n v="1893"/>
        <n v="1733"/>
        <n v="2215"/>
        <n v="2640"/>
        <n v="2445"/>
        <n v="2804"/>
        <n v="2891"/>
        <n v="2629"/>
        <n v="2418"/>
        <n v="2567"/>
        <n v="3391"/>
        <n v="3654"/>
        <n v="4962"/>
        <n v="6414"/>
        <n v="7152"/>
        <n v="7193"/>
        <n v="3480"/>
        <n v="3241"/>
        <n v="3394"/>
        <n v="2887"/>
        <n v="3351"/>
        <n v="3085"/>
        <n v="2975"/>
        <n v="3169"/>
        <n v="3002"/>
        <n v="3812"/>
        <n v="3983"/>
        <n v="3608"/>
        <n v="3044"/>
        <n v="2875"/>
        <n v="2648"/>
        <n v="2552"/>
        <n v="2943"/>
        <n v="3286"/>
        <n v="4183"/>
        <n v="4059"/>
        <n v="4198"/>
        <n v="3783"/>
        <n v="6320"/>
        <n v="5748"/>
        <n v="3338"/>
        <n v="3560"/>
        <n v="2346"/>
        <n v="2183"/>
        <n v="2317"/>
        <n v="2977"/>
        <n v="3661"/>
        <n v="4325"/>
        <n v="4065"/>
        <n v="6958"/>
        <n v="4908"/>
        <n v="5183"/>
        <n v="4575"/>
        <n v="5066"/>
        <n v="5783"/>
        <n v="7001"/>
        <n v="4578"/>
        <n v="5029"/>
        <n v="6349"/>
        <n v="3590"/>
        <n v="5099"/>
        <n v="5657"/>
        <n v="5719"/>
        <n v="6233"/>
        <n v="6290"/>
        <n v="6939"/>
        <n v="7273"/>
        <n v="2541"/>
        <n v="2267"/>
        <n v="3549"/>
        <n v="3497"/>
        <n v="3613"/>
        <n v="4330"/>
        <n v="3832"/>
        <n v="3933"/>
        <n v="3663"/>
        <n v="3301"/>
        <n v="3787"/>
        <n v="4110"/>
        <n v="5202"/>
        <n v="5040"/>
        <n v="4809"/>
        <n v="4333"/>
        <n v="4868"/>
        <n v="4988"/>
        <n v="4993"/>
        <n v="4825"/>
        <n v="4620"/>
        <n v="3989"/>
        <n v="3195"/>
        <n v="3144"/>
        <n v="2636"/>
        <n v="2357"/>
        <n v="2396"/>
        <n v="2290"/>
        <n v="1817"/>
        <n v="1939"/>
        <n v="1770"/>
        <n v="1898"/>
        <n v="1360"/>
        <n v="1066"/>
        <n v="1294"/>
        <n v="1609"/>
        <n v="813"/>
        <n v="475"/>
        <n v="847"/>
        <n v="715"/>
        <n v="822"/>
        <n v="323"/>
        <n v="575"/>
        <n v="359"/>
        <n v="437"/>
        <n v="1190"/>
        <n v="923"/>
        <n v="831"/>
        <n v="1280"/>
        <n v="837"/>
        <n v="1383"/>
        <n v="826"/>
        <n v="953"/>
        <n v="894"/>
        <n v="1125"/>
        <n v="1178"/>
        <n v="1239"/>
        <n v="986"/>
        <n v="880"/>
        <n v="807"/>
        <n v="797"/>
        <n v="799"/>
        <n v="981"/>
        <n v="1023"/>
        <n v="990"/>
        <n v="964"/>
        <n v="887"/>
        <n v="940"/>
        <n v="1217"/>
        <n v="845"/>
        <n v="709"/>
        <n v="675"/>
        <n v="625"/>
        <n v="598"/>
        <n v="593"/>
        <n v="574"/>
        <n v="566"/>
        <n v="338"/>
        <n v="448"/>
        <n v="288"/>
        <n v="185"/>
        <n v="175"/>
        <n v="130"/>
        <n v="110"/>
        <n v="59"/>
        <n v="53"/>
        <n v="47"/>
        <n v="91"/>
        <n v="87"/>
        <n v="111"/>
        <n v="106"/>
        <n v="147"/>
        <n v="197"/>
        <n v="119"/>
        <n v="103"/>
        <n v="118"/>
        <n v="116"/>
        <n v="208"/>
        <n v="962"/>
        <n v="910"/>
        <n v="971"/>
        <n v="993"/>
        <n v="838"/>
        <n v="870"/>
        <n v="930"/>
        <n v="985"/>
        <n v="1166"/>
        <n v="1442"/>
        <n v="1704"/>
        <n v="989"/>
        <n v="1176"/>
        <n v="1143"/>
        <n v="753"/>
        <n v="617"/>
        <n v="759"/>
        <n v="890"/>
        <n v="996"/>
        <n v="1179"/>
        <n v="1158"/>
        <n v="1048"/>
        <n v="638"/>
        <n v="316"/>
        <n v="85"/>
        <n v="56"/>
        <n v="52"/>
        <n v="46"/>
        <n v="40"/>
        <n v="41"/>
        <n v="35"/>
        <n v="39"/>
        <n v="45"/>
        <n v="43"/>
        <n v="76"/>
        <n v="92"/>
        <n v="94"/>
        <n v="143"/>
        <n v="181"/>
        <n v="167"/>
        <n v="484"/>
        <n v="518"/>
        <n v="803"/>
        <n v="1101"/>
        <n v="722"/>
        <n v="1082"/>
        <n v="1412"/>
        <n v="1298"/>
        <n v="1579"/>
        <n v="1234"/>
        <n v="1316"/>
        <n v="737"/>
        <n v="1102"/>
        <n v="1792"/>
        <n v="1841"/>
        <n v="2136"/>
        <n v="1559"/>
        <n v="788"/>
        <n v="884"/>
        <n v="514"/>
        <n v="783"/>
        <n v="198"/>
        <n v="74"/>
        <n v="158"/>
        <n v="170"/>
        <n v="211"/>
        <n v="1039"/>
        <n v="1097"/>
        <n v="1215"/>
        <n v="632"/>
        <n v="534"/>
        <n v="412"/>
        <n v="335"/>
        <n v="195"/>
        <n v="144"/>
        <n v="464"/>
        <n v="63"/>
        <n v="194"/>
        <n v="318"/>
        <n v="104"/>
        <n v="16817"/>
        <n v="17296"/>
        <n v="17256"/>
        <n v="19528"/>
        <n v="17970"/>
        <n v="19551"/>
        <n v="18101"/>
        <n v="14742"/>
        <n v="14515"/>
        <n v="14005"/>
        <n v="17516"/>
        <n v="14883"/>
        <n v="14762"/>
        <n v="13398"/>
        <n v="13257"/>
        <n v="13843"/>
        <n v="13532"/>
        <n v="14185"/>
        <n v="14378"/>
        <n v="14041"/>
        <n v="13602"/>
        <n v="11889"/>
        <n v="13264"/>
        <n v="11313"/>
        <n v="13082"/>
        <n v="13978"/>
        <n v="14125"/>
        <n v="14638"/>
        <n v="13248"/>
        <n v="14177"/>
        <n v="12659"/>
        <n v="12425"/>
        <n v="11820"/>
        <n v="11601"/>
        <n v="12662"/>
        <n v="11758"/>
        <n v="12518"/>
        <n v="13020"/>
        <n v="14417"/>
        <n v="14022"/>
        <n v="14099"/>
        <n v="14016"/>
        <n v="14215"/>
        <n v="13631"/>
        <n v="12828"/>
        <n v="12930"/>
        <n v="13161"/>
        <n v="14964"/>
        <n v="15040"/>
        <n v="15043"/>
        <n v="13678"/>
        <n v="13187"/>
        <n v="13437"/>
        <n v="12784"/>
        <n v="12106"/>
        <n v="11929"/>
        <n v="13125"/>
        <n v="15295"/>
        <n v="12211"/>
        <n v="13158"/>
        <n v="12640"/>
        <n v="12709"/>
        <n v="13687"/>
        <n v="14920"/>
        <n v="11037"/>
        <n v="7062"/>
        <n v="5768"/>
        <n v="3982"/>
        <n v="4145"/>
        <n v="4113"/>
        <n v="4389"/>
        <n v="4487"/>
        <n v="4254"/>
        <n v="4596"/>
        <n v="4665"/>
        <n v="4755"/>
        <n v="4959"/>
        <n v="4443"/>
        <n v="4424"/>
        <n v="4862"/>
        <n v="5205"/>
        <n v="5282"/>
        <n v="5301"/>
        <n v="5752"/>
        <n v="6635"/>
        <n v="7243"/>
        <n v="6416"/>
        <n v="6389"/>
        <n v="6257"/>
        <n v="6063"/>
        <n v="6036"/>
        <n v="6051"/>
        <n v="5878"/>
        <n v="6031"/>
        <n v="5844"/>
        <n v="5014"/>
        <n v="5482"/>
        <n v="5162"/>
        <n v="5115"/>
        <n v="4118"/>
        <n v="3652"/>
        <n v="3348"/>
        <n v="2806"/>
        <n v="2409"/>
        <n v="2389"/>
        <n v="1776"/>
        <n v="2241"/>
        <n v="2160"/>
        <n v="1883"/>
        <n v="1946"/>
        <n v="1460"/>
        <n v="1852"/>
        <n v="1750"/>
        <n v="1657"/>
        <n v="1615"/>
        <n v="1731"/>
        <n v="1044"/>
        <n v="911"/>
        <n v="1716"/>
        <n v="2905"/>
        <n v="1517"/>
        <n v="1655"/>
        <n v="1816"/>
        <n v="1930"/>
        <n v="1665"/>
        <n v="1534"/>
        <n v="1971"/>
        <n v="2733"/>
        <n v="666"/>
        <n v="597"/>
        <n v="2490"/>
        <n v="2368"/>
        <n v="842"/>
        <n v="1511"/>
        <n v="2053"/>
        <n v="2000"/>
        <n v="1219"/>
        <n v="1199"/>
        <n v="1796"/>
        <n v="258"/>
        <n v="270"/>
        <n v="1757"/>
        <n v="327"/>
        <n v="321"/>
        <n v="326"/>
        <n v="648"/>
        <n v="1027"/>
        <n v="325"/>
        <n v="274"/>
        <n v="284"/>
        <n v="426"/>
        <n v="313"/>
        <n v="349"/>
        <n v="361"/>
        <n v="296"/>
        <n v="315"/>
        <n v="378"/>
        <n v="570"/>
        <n v="552"/>
        <n v="268"/>
        <n v="300"/>
        <n v="183"/>
        <n v="6980"/>
        <n v="6540"/>
        <n v="7055"/>
        <n v="7133"/>
        <n v="7811"/>
        <n v="7353"/>
        <n v="7786"/>
        <n v="7903"/>
        <n v="7341"/>
        <n v="6629"/>
        <n v="6440"/>
        <n v="6101"/>
        <n v="5341"/>
        <n v="6398"/>
        <n v="6492"/>
        <n v="7868"/>
        <n v="6259"/>
        <n v="6978"/>
        <n v="6357"/>
        <n v="6095"/>
        <n v="5672"/>
        <n v="6534"/>
        <n v="8463"/>
        <n v="8265"/>
        <n v="7332"/>
        <n v="7176"/>
        <n v="7765"/>
        <n v="8305"/>
        <n v="7827"/>
        <n v="8776"/>
        <n v="9722"/>
        <n v="10329"/>
        <n v="10735"/>
        <n v="10737"/>
        <n v="13332"/>
        <n v="11926"/>
        <n v="9489"/>
        <n v="8700"/>
        <n v="8281"/>
        <n v="8884"/>
        <n v="9151"/>
        <n v="8869"/>
        <n v="8834"/>
        <n v="8210"/>
        <n v="7731"/>
        <n v="7961"/>
        <n v="9940"/>
        <n v="7391"/>
        <n v="8266"/>
        <n v="7572"/>
        <n v="7722"/>
        <n v="7849"/>
        <n v="8315"/>
        <n v="8162"/>
        <n v="7791"/>
        <n v="7955"/>
        <n v="8325"/>
        <n v="8464"/>
        <n v="9539"/>
        <n v="7888"/>
        <n v="7623"/>
        <n v="7557"/>
        <n v="6924"/>
        <n v="6648"/>
        <n v="5640"/>
        <n v="6459"/>
        <n v="4881"/>
        <n v="3363"/>
        <n v="3458"/>
        <n v="302"/>
        <n v="308"/>
        <n v="342"/>
        <n v="362"/>
        <n v="373"/>
        <n v="415"/>
        <n v="391"/>
        <n v="390"/>
        <n v="386"/>
        <n v="429"/>
        <n v="346"/>
        <n v="289"/>
        <n v="304"/>
        <n v="148"/>
        <n v="123"/>
        <n v="86"/>
        <n v="42"/>
        <n v="29"/>
        <n v="37"/>
        <n v="38"/>
        <n v="50"/>
        <n v="51"/>
        <n v="64"/>
        <n v="69"/>
        <n v="125"/>
        <n v="135221"/>
        <n v="133226"/>
        <n v="129495"/>
        <n v="132708"/>
        <n v="142170"/>
        <n v="139962"/>
        <n v="139036"/>
        <n v="136993"/>
        <n v="49350"/>
        <n v="45774"/>
        <n v="49270"/>
        <n v="45855"/>
        <n v="45612"/>
        <n v="52378"/>
        <n v="53264"/>
        <n v="55373"/>
        <n v="53337"/>
        <n v="52083"/>
        <n v="55978"/>
        <n v="55024"/>
        <n v="51348"/>
        <n v="52317"/>
        <n v="55583"/>
        <n v="51798"/>
        <n v="49758"/>
        <n v="49741"/>
        <n v="49919"/>
        <n v="53382"/>
        <n v="49065"/>
        <n v="48618"/>
        <n v="46543"/>
        <n v="46624"/>
        <n v="43288"/>
        <n v="41842"/>
        <n v="43364"/>
        <n v="39917"/>
        <n v="38390"/>
        <n v="37214"/>
        <n v="37791"/>
        <n v="36353"/>
        <n v="38697"/>
        <n v="36641"/>
        <n v="35070"/>
        <n v="34247"/>
        <n v="31461"/>
        <n v="30911"/>
        <n v="32441"/>
        <n v="31598"/>
        <n v="33692"/>
        <n v="33361"/>
        <n v="31945"/>
        <n v="34417"/>
        <n v="32834"/>
        <n v="32521"/>
        <n v="31743"/>
        <n v="33760"/>
        <n v="36774"/>
        <n v="39823"/>
        <n v="38321"/>
        <n v="42752"/>
        <n v="45783"/>
        <n v="44654"/>
        <n v="47428"/>
        <n v="47569"/>
        <n v="49139"/>
        <n v="43713"/>
        <n v="40011"/>
        <n v="30758"/>
        <n v="31845"/>
        <n v="30296"/>
        <n v="1145"/>
        <n v="1221"/>
        <n v="1233"/>
        <n v="1245"/>
        <n v="1091"/>
        <n v="1299"/>
        <n v="1124"/>
        <n v="1094"/>
        <n v="1279"/>
        <n v="1392"/>
        <n v="1354"/>
        <n v="1522"/>
        <n v="1552"/>
        <n v="1508"/>
        <n v="1336"/>
        <n v="1593"/>
        <n v="1478"/>
        <n v="1571"/>
        <n v="1610"/>
        <n v="1589"/>
        <n v="1542"/>
        <n v="1472"/>
        <n v="1152"/>
        <n v="1546"/>
        <n v="1208"/>
        <n v="1200"/>
        <n v="1032"/>
        <n v="748"/>
        <n v="763"/>
        <n v="455"/>
        <n v="392"/>
        <n v="443"/>
        <n v="348"/>
        <n v="635"/>
        <n v="408"/>
        <n v="257"/>
        <n v="699"/>
        <n v="553"/>
        <n v="856"/>
        <n v="765"/>
        <n v="859"/>
        <n v="665"/>
        <n v="676"/>
        <n v="793"/>
        <n v="732"/>
        <n v="766"/>
        <n v="758"/>
        <n v="695"/>
        <n v="670"/>
        <n v="647"/>
        <n v="535"/>
        <n v="407"/>
        <n v="533"/>
        <n v="479"/>
        <n v="275"/>
        <n v="360"/>
        <n v="146"/>
        <n v="190"/>
        <n v="165"/>
        <n v="216"/>
        <n v="240"/>
        <n v="309"/>
        <n v="142"/>
        <n v="83"/>
        <n v="49"/>
        <n v="28"/>
        <n v="34"/>
        <n v="21"/>
        <n v="96"/>
        <n v="109"/>
        <n v="139"/>
        <n v="127"/>
        <n v="90"/>
        <n v="77"/>
        <n v="1578"/>
        <n v="1600"/>
        <n v="1760"/>
        <n v="1558"/>
        <n v="1510"/>
        <n v="1608"/>
        <n v="1592"/>
        <n v="1580"/>
        <n v="1420"/>
        <n v="1519"/>
        <n v="1831"/>
        <n v="1787"/>
        <n v="1778"/>
        <n v="1612"/>
        <n v="1536"/>
        <n v="1730"/>
        <n v="1577"/>
        <n v="1398"/>
        <n v="1464"/>
        <n v="1386"/>
        <n v="1581"/>
        <n v="1619"/>
        <n v="1439"/>
        <n v="1297"/>
        <n v="1241"/>
        <n v="1100"/>
        <n v="1071"/>
        <n v="769"/>
        <n v="755"/>
        <n v="738"/>
        <n v="718"/>
        <n v="634"/>
        <n v="700"/>
        <n v="630"/>
        <n v="582"/>
        <n v="589"/>
        <n v="602"/>
        <n v="540"/>
        <n v="1073"/>
        <n v="892"/>
        <n v="927"/>
        <n v="982"/>
        <n v="18185"/>
        <n v="18007"/>
        <n v="16475"/>
        <n v="17518"/>
        <n v="18046"/>
        <n v="16873"/>
        <n v="16978"/>
        <n v="16562"/>
        <n v="36211"/>
        <n v="35721"/>
        <n v="31701"/>
        <n v="33878"/>
        <n v="31049"/>
        <n v="33821"/>
        <n v="29659"/>
        <n v="34518"/>
        <n v="8623"/>
        <n v="10072"/>
        <n v="10912"/>
        <n v="9708"/>
        <n v="9923"/>
        <n v="10069"/>
        <n v="10553"/>
        <n v="10783"/>
        <n v="11615"/>
        <n v="11066"/>
        <n v="12323"/>
        <n v="13541"/>
        <n v="14630"/>
        <n v="23247"/>
        <n v="35110"/>
        <n v="32303"/>
        <n v="33451"/>
        <n v="41327"/>
        <n v="39864"/>
        <n v="41431"/>
        <n v="37999"/>
        <n v="36577"/>
        <n v="32333"/>
        <n v="27421"/>
        <n v="27619"/>
        <n v="37371"/>
        <n v="33571"/>
        <n v="30747"/>
        <n v="32812"/>
        <n v="31770"/>
        <n v="25769"/>
        <n v="21225"/>
        <n v="15785"/>
        <n v="18811"/>
        <n v="14406"/>
        <n v="11253"/>
        <n v="12167"/>
        <n v="5030"/>
        <n v="4510"/>
        <n v="5688"/>
        <n v="5152"/>
        <n v="3727"/>
        <n v="4121"/>
        <n v="3922"/>
        <n v="3802"/>
        <n v="4138"/>
        <n v="4209"/>
        <n v="4221"/>
        <n v="4139"/>
        <n v="3921"/>
        <n v="3702"/>
        <n v="3504"/>
        <n v="3492"/>
        <n v="46746"/>
        <n v="44644"/>
        <n v="42729"/>
        <n v="42697"/>
        <n v="42992"/>
        <n v="42457"/>
        <n v="44813"/>
        <n v="42698"/>
        <n v="39796"/>
        <n v="39688"/>
        <n v="40666"/>
        <n v="40759"/>
        <n v="39561"/>
        <n v="40173"/>
        <n v="41090"/>
        <n v="41867"/>
        <n v="40814"/>
        <n v="39794"/>
        <n v="39806"/>
        <n v="39733"/>
        <n v="39846"/>
        <n v="38721"/>
        <n v="40988"/>
        <n v="44012"/>
        <n v="46664"/>
        <n v="44539"/>
        <n v="43083"/>
        <n v="42750"/>
        <n v="41935"/>
        <n v="30589"/>
        <n v="32639"/>
        <n v="37542"/>
        <n v="36428"/>
        <n v="35230"/>
        <n v="40394"/>
        <n v="43143"/>
        <n v="45600"/>
        <n v="43328"/>
        <n v="40537"/>
        <n v="40747"/>
        <n v="38184"/>
        <n v="36897"/>
        <n v="36652"/>
        <n v="35519"/>
        <n v="32893"/>
        <n v="31157"/>
        <n v="33619"/>
        <n v="35156"/>
        <n v="33942"/>
        <n v="34528"/>
        <n v="33310"/>
        <n v="32008"/>
        <n v="32624"/>
        <n v="31877"/>
        <n v="33072"/>
        <n v="33042"/>
        <n v="34328"/>
        <n v="34335"/>
        <n v="37842"/>
        <n v="38928"/>
        <n v="38101"/>
        <n v="39437"/>
        <n v="35897"/>
        <n v="31676"/>
        <n v="31666"/>
        <n v="28395"/>
        <n v="27688"/>
        <n v="24819"/>
        <n v="21990"/>
        <n v="21350"/>
        <n v="20516"/>
        <n v="21257"/>
        <n v="21842"/>
        <n v="20298"/>
        <n v="21006"/>
        <n v="20823"/>
        <n v="21056"/>
        <n v="19866"/>
        <n v="100838"/>
        <n v="78672"/>
        <n v="75836"/>
        <n v="70031"/>
        <n v="70716"/>
        <n v="71087"/>
        <n v="67068"/>
        <n v="70863"/>
        <n v="21357"/>
        <n v="21325"/>
        <n v="20310"/>
        <n v="20064"/>
        <n v="18000"/>
        <n v="20265"/>
        <n v="21829"/>
        <n v="22156"/>
        <n v="21411"/>
        <n v="22579"/>
        <n v="22239"/>
        <n v="21928"/>
        <n v="21512"/>
        <n v="22000"/>
        <n v="17088"/>
        <n v="14591"/>
        <n v="15219"/>
        <n v="16366"/>
        <n v="16123"/>
        <n v="13500"/>
        <n v="10780"/>
        <n v="9055"/>
        <n v="7785"/>
        <n v="6904"/>
        <n v="7632"/>
        <n v="7401"/>
        <n v="6272"/>
        <n v="5989"/>
        <n v="4823"/>
        <n v="4950"/>
        <n v="4897"/>
        <n v="4464"/>
        <n v="4590"/>
        <n v="5231"/>
        <n v="4610"/>
        <n v="5180"/>
        <n v="5333"/>
        <n v="4724"/>
        <n v="5296"/>
        <n v="5855"/>
        <n v="6600"/>
        <n v="6418"/>
        <n v="6915"/>
        <n v="7054"/>
        <n v="7158"/>
        <n v="8078"/>
        <n v="6620"/>
        <n v="7674"/>
        <n v="7796"/>
        <n v="7952"/>
        <n v="162763"/>
        <n v="154767"/>
        <n v="152771"/>
        <n v="156342"/>
        <n v="154695"/>
        <n v="158043"/>
        <n v="148446"/>
        <n v="144893"/>
        <n v="142252"/>
        <n v="150320"/>
        <n v="155574"/>
        <n v="143310"/>
        <n v="143126"/>
        <n v="141143"/>
        <n v="148302"/>
        <n v="145824"/>
        <n v="143348"/>
        <n v="141240"/>
        <n v="137055"/>
        <n v="132220"/>
        <n v="133805"/>
        <n v="135318"/>
        <n v="135219"/>
        <n v="140292"/>
        <n v="148540"/>
        <n v="148153"/>
        <n v="144206"/>
        <n v="126282"/>
        <n v="119553"/>
        <n v="104304"/>
        <n v="114401"/>
        <n v="122452"/>
        <n v="133611"/>
        <n v="125951"/>
        <n v="127095"/>
        <n v="128989"/>
        <n v="135590"/>
        <n v="136223"/>
        <n v="134603"/>
        <n v="125103"/>
        <n v="126822"/>
        <n v="124607"/>
        <n v="133732"/>
        <n v="133055"/>
        <n v="133472"/>
        <n v="125806"/>
        <n v="118223"/>
        <n v="120155"/>
        <n v="127620"/>
        <n v="123833"/>
        <n v="120937"/>
        <n v="118280"/>
        <n v="118798"/>
        <n v="111174"/>
        <n v="111410"/>
        <n v="107535"/>
        <n v="112878"/>
        <n v="110734"/>
        <n v="117852"/>
        <n v="116723"/>
        <n v="112109"/>
        <n v="114473"/>
        <n v="108564"/>
        <n v="107267"/>
        <n v="115161"/>
        <n v="109897"/>
        <n v="105771"/>
        <n v="96119"/>
        <n v="95989"/>
        <n v="92567"/>
        <n v="254814"/>
        <n v="245449"/>
        <n v="240715"/>
        <n v="243206"/>
        <n v="243461"/>
        <n v="246143"/>
        <n v="238397"/>
        <n v="231418"/>
        <n v="306393"/>
        <n v="311785"/>
        <n v="313959"/>
        <n v="291852"/>
        <n v="293487"/>
        <n v="288372"/>
        <n v="301720"/>
        <n v="291747"/>
        <n v="296464"/>
        <n v="217748"/>
        <n v="215294"/>
        <n v="210828"/>
        <n v="210735"/>
        <n v="209182"/>
        <n v="213783"/>
        <n v="223672"/>
        <n v="235174"/>
        <n v="232551"/>
        <n v="227482"/>
        <n v="210092"/>
        <n v="203332"/>
        <n v="177160"/>
        <n v="198611"/>
        <n v="222864"/>
        <n v="224798"/>
        <n v="214920"/>
        <n v="230741"/>
        <n v="233062"/>
        <n v="243621"/>
        <n v="235005"/>
        <n v="225988"/>
        <n v="210293"/>
        <n v="204144"/>
        <n v="199012"/>
        <n v="219319"/>
        <n v="213193"/>
        <n v="205651"/>
        <n v="198846"/>
        <n v="193151"/>
        <n v="188172"/>
        <n v="190043"/>
        <n v="180736"/>
        <n v="179725"/>
        <n v="171284"/>
        <n v="170891"/>
        <n v="162637"/>
        <n v="156763"/>
        <n v="153719"/>
        <n v="161867"/>
        <n v="159238"/>
        <n v="169112"/>
        <n v="169498"/>
        <n v="164099"/>
        <n v="166657"/>
        <n v="158186"/>
        <n v="152853"/>
        <n v="160944"/>
        <n v="152789"/>
        <n v="146303"/>
        <n v="134711"/>
        <n v="132298"/>
        <n v="128558"/>
        <n v="67872"/>
        <n v="71575"/>
        <n v="78582"/>
        <n v="65776"/>
        <n v="75625"/>
        <n v="75434"/>
        <n v="82886"/>
        <n v="85749"/>
        <n v="77272"/>
        <n v="62183"/>
        <n v="60381"/>
        <n v="48165"/>
        <n v="41689"/>
        <n v="40950"/>
        <n v="40523"/>
        <n v="32452"/>
        <n v="27713"/>
        <n v="27249"/>
        <n v="14704"/>
        <n v="17024"/>
        <n v="19853"/>
        <n v="20604"/>
        <n v="16676"/>
        <n v="7646"/>
        <n v="5059"/>
        <n v="4935"/>
        <n v="11859"/>
        <n v="6248"/>
        <n v="16781"/>
        <n v="16391"/>
        <n v="15218"/>
        <n v="6624"/>
        <n v="4311"/>
        <n v="4790"/>
        <n v="9868"/>
        <n v="6283"/>
        <n v="3220"/>
        <n v="4052"/>
        <n v="3572"/>
        <n v="2231"/>
        <n v="8873"/>
        <n v="10950"/>
        <n v="2732"/>
        <n v="8522"/>
        <n v="9381"/>
        <n v="4205"/>
        <n v="12113"/>
        <n v="2710"/>
        <n v="3027"/>
        <n v="14668"/>
        <n v="3341"/>
        <n v="15325"/>
        <n v="32643"/>
        <n v="55730"/>
        <n v="76042"/>
        <n v="57340"/>
        <n v="39647"/>
        <n v="31937"/>
        <n v="24958"/>
        <n v="19924"/>
        <n v="27474"/>
        <n v="34017"/>
        <n v="38847"/>
        <n v="44493"/>
        <n v="32725"/>
        <n v="3411"/>
        <n v="5480"/>
        <n v="44125"/>
        <n v="40563"/>
        <n v="43794"/>
        <n v="46810"/>
        <n v="51654"/>
        <n v="58882"/>
        <n v="53952"/>
        <n v="59956"/>
        <n v="58438"/>
        <n v="46393"/>
        <n v="41570"/>
        <n v="45770"/>
        <n v="42656"/>
        <n v="43830"/>
        <n v="36657"/>
        <n v="32687"/>
        <n v="32551"/>
        <n v="34771"/>
        <n v="35353"/>
        <n v="32203"/>
        <n v="29087"/>
        <n v="23484"/>
        <n v="21055"/>
        <n v="20075"/>
        <n v="21740"/>
        <n v="26102"/>
        <n v="25133"/>
        <n v="34577"/>
        <n v="29761"/>
        <n v="33678"/>
        <n v="41235"/>
        <n v="43820"/>
        <n v="38339"/>
        <n v="38286"/>
        <n v="39460"/>
        <n v="33114"/>
        <n v="26940"/>
        <n v="21859"/>
        <n v="22692"/>
        <n v="25532"/>
        <n v="22717"/>
        <n v="23544"/>
        <n v="24818"/>
        <n v="27368"/>
        <n v="24501"/>
        <n v="19762"/>
        <n v="20766"/>
        <n v="19604"/>
        <n v="19394"/>
        <n v="21053"/>
        <n v="22057"/>
        <n v="21468"/>
        <n v="20621"/>
        <n v="22166"/>
        <n v="31875"/>
        <n v="30358"/>
        <n v="31421"/>
        <n v="30677"/>
        <n v="28860"/>
        <n v="30636"/>
        <n v="22451"/>
        <n v="21355"/>
        <n v="23845"/>
        <n v="26421"/>
        <n v="24666"/>
        <n v="14567"/>
        <n v="14616"/>
        <n v="19737"/>
        <n v="15102"/>
        <n v="15490"/>
        <n v="14345"/>
        <n v="17764"/>
        <n v="15946"/>
        <n v="16219"/>
        <n v="17145"/>
        <n v="14376"/>
        <n v="18093"/>
        <n v="16570"/>
        <n v="15429"/>
        <n v="6234"/>
        <n v="8564"/>
        <n v="18738"/>
        <n v="15291"/>
        <n v="10695"/>
        <n v="9046"/>
        <n v="10948"/>
        <n v="10743"/>
        <n v="12435"/>
        <n v="9553"/>
        <n v="9908"/>
        <n v="6854"/>
        <n v="6237"/>
        <n v="1243"/>
        <n v="1673"/>
        <n v="2521"/>
        <n v="3882"/>
        <n v="4844"/>
        <n v="3637"/>
        <n v="3228"/>
        <n v="2569"/>
        <n v="2973"/>
        <n v="2952"/>
        <n v="3483"/>
        <n v="3210"/>
        <n v="2958"/>
        <n v="2972"/>
        <n v="2360"/>
        <n v="2206"/>
        <n v="1483"/>
        <n v="1385"/>
        <n v="1965"/>
        <n v="3017"/>
        <n v="2494"/>
        <n v="10454"/>
        <n v="11893"/>
        <n v="14483"/>
        <n v="20524"/>
        <n v="27888"/>
        <n v="30711"/>
        <n v="32689"/>
        <n v="40213"/>
        <n v="47414"/>
        <n v="47897"/>
        <n v="39244"/>
        <n v="38470"/>
        <n v="31328"/>
        <n v="17794"/>
        <n v="8348"/>
        <n v="5193"/>
        <n v="18332"/>
        <n v="11813"/>
        <n v="6045"/>
        <n v="5684"/>
        <n v="6028"/>
        <n v="4609"/>
        <n v="4588"/>
        <n v="3859"/>
        <n v="3959"/>
        <n v="4125"/>
        <n v="4816"/>
        <n v="5003"/>
        <n v="4426"/>
        <n v="5151"/>
        <n v="4372"/>
        <n v="4143"/>
        <n v="3737"/>
        <n v="2480"/>
        <n v="2581"/>
        <n v="2573"/>
        <n v="2427"/>
        <n v="2205"/>
        <n v="2453"/>
        <n v="2615"/>
        <n v="3367"/>
        <n v="5281"/>
        <n v="8242"/>
        <n v="5287"/>
        <n v="2628"/>
        <n v="1790"/>
        <n v="1139"/>
        <n v="1242"/>
        <n v="1642"/>
        <n v="1422"/>
        <n v="1218"/>
        <n v="1694"/>
        <n v="2632"/>
        <n v="3051"/>
        <n v="3482"/>
        <n v="4057"/>
        <n v="4631"/>
        <n v="5532"/>
        <n v="5612"/>
        <n v="5526"/>
        <n v="5339"/>
        <n v="5720"/>
        <n v="5150"/>
        <n v="5222"/>
        <n v="5135"/>
        <n v="4266"/>
        <n v="4012"/>
        <n v="3852"/>
        <n v="3796"/>
        <n v="2810"/>
        <n v="2356"/>
        <n v="2831"/>
        <n v="2071"/>
        <n v="1870"/>
        <n v="1779"/>
        <n v="2323"/>
        <n v="1900"/>
        <n v="1430"/>
        <n v="3281"/>
        <n v="1129"/>
        <n v="30325"/>
        <n v="26456"/>
        <n v="25569"/>
        <n v="25245"/>
        <n v="26344"/>
        <n v="23111"/>
        <n v="23434"/>
        <n v="22291"/>
        <n v="20576"/>
        <n v="16907"/>
        <n v="15922"/>
        <n v="20498"/>
        <n v="23878"/>
        <n v="14546"/>
        <n v="11549"/>
        <n v="8641"/>
        <n v="9021"/>
        <n v="5190"/>
        <n v="2548"/>
        <n v="2425"/>
        <n v="2654"/>
        <n v="3009"/>
        <n v="3042"/>
        <n v="3858"/>
        <n v="3716"/>
        <n v="3528"/>
        <n v="3471"/>
        <n v="3750"/>
        <n v="3501"/>
        <n v="4850"/>
        <n v="4032"/>
        <n v="3909"/>
        <n v="3806"/>
        <n v="4399"/>
        <n v="4347"/>
        <n v="4523"/>
        <n v="4600"/>
        <n v="4419"/>
        <n v="4231"/>
        <n v="5554"/>
        <n v="6299"/>
        <n v="8074"/>
        <n v="6450"/>
        <n v="11222"/>
        <n v="7568"/>
        <n v="7312"/>
        <n v="8063"/>
        <n v="9611"/>
        <n v="9221"/>
        <n v="7069"/>
        <n v="7711"/>
        <n v="7877"/>
        <n v="7165"/>
        <n v="7497"/>
        <n v="7167"/>
        <n v="8370"/>
        <n v="7695"/>
        <n v="7504"/>
        <n v="7644"/>
        <n v="7426"/>
        <n v="6305"/>
        <n v="7276"/>
        <n v="6726"/>
        <n v="4605"/>
        <n v="5682"/>
        <n v="4095"/>
        <n v="135085"/>
        <n v="133175"/>
        <n v="131804"/>
        <n v="129108"/>
        <n v="123667"/>
        <n v="115852"/>
        <n v="117903"/>
        <n v="119152"/>
        <n v="117849"/>
        <n v="117880"/>
        <n v="108840"/>
        <n v="107069"/>
        <n v="103310"/>
        <n v="102624"/>
        <n v="90320"/>
        <n v="71169"/>
        <n v="74210"/>
        <n v="62241"/>
        <n v="86282"/>
        <n v="98358"/>
        <n v="97125"/>
        <n v="89137"/>
        <n v="85975"/>
        <n v="85454"/>
        <n v="82813"/>
        <n v="86947"/>
        <n v="84441"/>
        <n v="75661"/>
        <n v="68287"/>
        <n v="56244"/>
        <n v="63496"/>
        <n v="64663"/>
        <n v="66853"/>
        <n v="72957"/>
        <n v="80183"/>
        <n v="63168"/>
        <n v="56360"/>
        <n v="79162"/>
        <n v="77636"/>
        <n v="78332"/>
        <n v="71651"/>
        <n v="73203"/>
        <n v="83795"/>
        <n v="83070"/>
        <n v="78242"/>
        <n v="85004"/>
        <n v="86711"/>
        <n v="81165"/>
        <n v="76401"/>
        <n v="65949"/>
        <n v="68356"/>
        <n v="64964"/>
        <n v="65311"/>
        <n v="65716"/>
        <n v="65640"/>
        <n v="66414"/>
        <n v="70317"/>
        <n v="66868"/>
        <n v="66757"/>
        <n v="67649"/>
        <n v="67887"/>
        <n v="67422"/>
        <n v="68086"/>
        <n v="67126"/>
        <n v="66666"/>
        <n v="67046"/>
        <n v="64124"/>
        <n v="60898"/>
        <n v="66203"/>
        <n v="64259"/>
        <n v="9058"/>
        <n v="9306"/>
        <n v="8355"/>
        <n v="4577"/>
        <n v="4480"/>
        <n v="8088"/>
        <n v="8866"/>
        <n v="6860"/>
        <n v="6757"/>
        <n v="7702"/>
        <n v="8178"/>
        <n v="4678"/>
        <n v="5873"/>
        <n v="4046"/>
        <n v="5182"/>
        <n v="5118"/>
        <n v="4454"/>
        <n v="4877"/>
        <n v="9258"/>
        <n v="9103"/>
        <n v="8075"/>
        <n v="6675"/>
        <n v="9415"/>
        <n v="10524"/>
        <n v="11843"/>
        <n v="8855"/>
        <n v="9729"/>
        <n v="12792"/>
        <n v="12343"/>
        <n v="11022"/>
        <n v="10181"/>
        <n v="12439"/>
        <n v="12192"/>
        <n v="14917"/>
        <n v="18048"/>
        <n v="16601"/>
        <n v="18225"/>
        <n v="20365"/>
        <n v="24580"/>
        <n v="22624"/>
        <n v="17826"/>
        <n v="9397"/>
        <n v="6819"/>
        <n v="6164"/>
        <n v="16793"/>
        <n v="19393"/>
        <n v="15447"/>
        <n v="12342"/>
        <n v="13428"/>
        <n v="13008"/>
        <n v="12841"/>
        <n v="9194"/>
        <n v="9263"/>
        <n v="8847"/>
        <n v="8841"/>
        <n v="3349"/>
        <n v="3219"/>
        <n v="4817"/>
        <n v="4167"/>
        <n v="4456"/>
        <n v="3891"/>
        <n v="4000"/>
        <n v="3145"/>
        <n v="4702"/>
        <n v="4554"/>
        <n v="1394"/>
        <n v="1303"/>
        <n v="1492"/>
        <n v="1093"/>
        <n v="1237"/>
        <n v="1620"/>
        <n v="1515"/>
        <n v="1828"/>
        <n v="1382"/>
        <n v="1400"/>
        <n v="1281"/>
        <n v="1213"/>
        <n v="1469"/>
        <n v="2363"/>
        <n v="2190"/>
        <n v="2951"/>
        <n v="3335"/>
        <n v="1451"/>
        <n v="2212"/>
        <n v="3163"/>
        <n v="3066"/>
        <n v="3176"/>
        <n v="3412"/>
        <n v="4545"/>
        <n v="7128"/>
        <n v="10388"/>
        <n v="11141"/>
        <n v="11641"/>
        <n v="12146"/>
        <n v="11838"/>
        <n v="11148"/>
        <n v="10400"/>
        <n v="10555"/>
        <n v="10217"/>
        <n v="10457"/>
        <n v="13393"/>
        <n v="13433"/>
        <n v="13963"/>
        <n v="12369"/>
        <n v="12031"/>
        <n v="11833"/>
        <n v="11841"/>
        <n v="12203"/>
        <n v="11797"/>
        <n v="11942"/>
        <n v="12265"/>
        <n v="12086"/>
        <n v="12191"/>
        <n v="13779"/>
        <n v="13511"/>
        <n v="13998"/>
        <n v="13097"/>
        <n v="13325"/>
        <n v="9617"/>
        <n v="9124"/>
        <n v="8174"/>
        <n v="2867"/>
        <n v="5822"/>
        <n v="5825"/>
        <n v="54"/>
        <n v="121"/>
        <n v="80"/>
        <n v="107"/>
        <n v="97"/>
        <n v="179"/>
        <n v="205"/>
        <n v="160"/>
        <n v="162"/>
        <n v="157"/>
        <n v="136"/>
        <n v="133"/>
        <n v="102"/>
        <n v="0"/>
        <n v="152"/>
        <n v="82"/>
        <n v="140"/>
        <n v="2020"/>
        <n v="2093"/>
        <n v="2070"/>
        <n v="1611"/>
        <n v="2283"/>
        <n v="1653"/>
        <n v="2225"/>
        <n v="2073"/>
        <n v="1947"/>
        <n v="2614"/>
        <n v="1624"/>
        <n v="1788"/>
        <n v="1875"/>
        <n v="1975"/>
        <n v="2331"/>
        <n v="2227"/>
        <n v="2226"/>
        <n v="1656"/>
        <n v="1033"/>
        <n v="852"/>
        <n v="2141"/>
        <n v="2374"/>
        <n v="3139"/>
        <n v="4364"/>
        <n v="4335"/>
        <n v="1356"/>
        <n v="717"/>
        <n v="726"/>
        <n v="2451"/>
        <n v="2754"/>
        <n v="3902"/>
        <n v="3512"/>
        <n v="1040"/>
        <n v="1037"/>
        <n v="1282"/>
        <n v="1177"/>
        <n v="1521"/>
        <n v="1512"/>
        <n v="2163"/>
        <n v="2335"/>
        <n v="3438"/>
        <n v="2522"/>
        <n v="7843"/>
        <n v="6537"/>
        <n v="5587"/>
        <n v="6514"/>
        <n v="2949"/>
        <n v="2944"/>
        <n v="1414"/>
        <n v="1315"/>
        <n v="28045"/>
        <n v="28154"/>
        <n v="27743"/>
        <n v="27388"/>
        <n v="27084"/>
        <n v="25761"/>
        <n v="27739"/>
        <n v="27724"/>
        <n v="21757"/>
        <n v="21621"/>
        <n v="26167"/>
        <n v="23223"/>
        <n v="27325"/>
        <n v="30483"/>
        <n v="30284"/>
        <n v="31452"/>
        <n v="30976"/>
        <n v="29052"/>
        <n v="29053"/>
        <n v="28591"/>
        <n v="24756"/>
        <n v="24395"/>
        <n v="24179"/>
        <n v="22865"/>
        <n v="15007"/>
        <n v="11536"/>
        <n v="8241"/>
        <n v="10363"/>
        <n v="11884"/>
        <n v="12922"/>
        <n v="12997"/>
        <n v="11839"/>
        <n v="8966"/>
        <n v="13203"/>
        <n v="17992"/>
        <n v="18110"/>
        <n v="17055"/>
        <n v="15989"/>
        <n v="17132"/>
        <n v="15331"/>
        <n v="15353"/>
        <n v="15347"/>
        <n v="15455"/>
        <n v="18422"/>
        <n v="18464"/>
        <n v="18330"/>
        <n v="17081"/>
        <n v="23349"/>
        <n v="22465"/>
        <n v="25864"/>
        <n v="23946"/>
        <n v="23398"/>
        <n v="25817"/>
        <n v="25453"/>
        <n v="26922"/>
        <n v="27880"/>
        <n v="29429"/>
        <n v="32017"/>
        <n v="35546"/>
        <n v="36459"/>
        <n v="37090"/>
        <n v="33705"/>
        <n v="35123"/>
        <n v="33518"/>
        <n v="33167"/>
        <n v="37396"/>
        <n v="43057"/>
        <n v="44366"/>
        <n v="14188"/>
        <n v="15637"/>
        <n v="14563"/>
        <n v="14002"/>
        <n v="13617"/>
        <n v="15693"/>
        <n v="15033"/>
        <n v="20070"/>
        <n v="21724"/>
        <n v="19445"/>
        <n v="21532"/>
        <n v="21521"/>
        <n v="22766"/>
        <n v="20076"/>
        <n v="17971"/>
        <n v="16718"/>
        <n v="10606"/>
        <n v="9827"/>
        <n v="10855"/>
        <n v="9974"/>
        <n v="11096"/>
        <n v="10356"/>
        <n v="10387"/>
        <n v="7111"/>
        <n v="7873"/>
        <n v="9683"/>
        <n v="10036"/>
        <n v="8097"/>
        <n v="13027"/>
        <n v="13378"/>
        <n v="12864"/>
        <n v="13038"/>
        <n v="12827"/>
        <n v="11909"/>
        <n v="12790"/>
        <n v="12743"/>
        <n v="9880"/>
        <n v="10169"/>
        <n v="11194"/>
        <n v="10190"/>
        <n v="8921"/>
        <n v="10434"/>
        <n v="11005"/>
        <n v="11886"/>
        <n v="10286"/>
        <n v="11207"/>
        <n v="10982"/>
        <n v="11975"/>
        <n v="9862"/>
        <n v="9184"/>
        <n v="9201"/>
        <n v="8711"/>
        <n v="8577"/>
        <n v="9632"/>
        <n v="9370"/>
        <n v="9590"/>
        <n v="12970"/>
        <n v="12179"/>
        <n v="10140"/>
        <n v="16223"/>
        <n v="22917"/>
        <n v="21418"/>
        <n v="11193"/>
        <n v="10523"/>
        <n v="11984"/>
        <n v="8229"/>
        <n v="9093"/>
        <n v="7984"/>
        <n v="3508"/>
        <n v="3183"/>
        <n v="3347"/>
        <n v="2979"/>
        <n v="3555"/>
        <n v="3965"/>
        <n v="3692"/>
        <n v="2785"/>
        <n v="3046"/>
        <n v="3104"/>
        <n v="3295"/>
        <n v="3995"/>
        <n v="3382"/>
        <n v="3214"/>
        <n v="3208"/>
        <n v="3481"/>
        <n v="3609"/>
        <n v="2984"/>
        <n v="3706"/>
        <n v="4880"/>
        <n v="5289"/>
        <n v="6130"/>
        <n v="5022"/>
        <n v="5460"/>
        <n v="6177"/>
        <n v="5039"/>
        <n v="4192"/>
        <n v="6407"/>
        <n v="7438"/>
        <n v="7589"/>
        <n v="7736"/>
        <n v="7261"/>
        <n v="6785"/>
        <n v="7029"/>
        <n v="5899"/>
        <n v="6085"/>
        <n v="5948"/>
        <n v="5625"/>
        <n v="6390"/>
        <n v="5760"/>
        <n v="6982"/>
        <n v="7598"/>
        <n v="8080"/>
        <n v="7444"/>
        <n v="5225"/>
        <n v="4462"/>
        <n v="4112"/>
        <n v="4821"/>
        <n v="5100"/>
        <n v="4884"/>
        <n v="5335"/>
        <n v="5736"/>
        <n v="5571"/>
        <n v="5698"/>
        <n v="4923"/>
        <n v="4568"/>
        <n v="4350"/>
        <n v="4672"/>
        <n v="3767"/>
        <n v="3810"/>
        <n v="3717"/>
        <n v="3735"/>
        <n v="19649"/>
        <n v="24862"/>
        <n v="25160"/>
        <n v="25828"/>
        <n v="18417"/>
        <n v="19742"/>
        <n v="19274"/>
        <n v="25547"/>
        <n v="22695"/>
        <n v="17154"/>
        <n v="17910"/>
        <n v="24389"/>
        <n v="28443"/>
        <n v="26570"/>
        <n v="30162"/>
        <n v="28501"/>
        <n v="24208"/>
        <n v="21034"/>
        <n v="22930"/>
        <n v="21523"/>
        <n v="20520"/>
        <n v="20532"/>
        <n v="18010"/>
        <n v="17627"/>
        <n v="15106"/>
        <n v="15728"/>
        <n v="16425"/>
        <n v="17958"/>
        <n v="19159"/>
        <n v="20785"/>
        <n v="23292"/>
        <n v="23867"/>
        <n v="17398"/>
        <n v="13445"/>
        <n v="14944"/>
        <n v="15141"/>
        <n v="19322"/>
        <n v="19750"/>
        <n v="20361"/>
        <n v="19871"/>
        <n v="16893"/>
        <n v="19326"/>
        <n v="16224"/>
        <n v="16799"/>
        <n v="16264"/>
        <n v="16206"/>
        <n v="13050"/>
        <n v="11789"/>
        <n v="5991"/>
        <n v="4204"/>
        <n v="4166"/>
        <n v="4840"/>
        <n v="3686"/>
        <n v="5659"/>
        <n v="5555"/>
        <n v="7473"/>
        <n v="6803"/>
        <n v="7640"/>
        <n v="6993"/>
        <n v="12809"/>
        <n v="11516"/>
        <n v="12458"/>
        <n v="10801"/>
        <n v="9569"/>
        <n v="17093"/>
        <n v="20332"/>
        <n v="64845"/>
        <n v="60642"/>
        <n v="62119"/>
        <n v="71512"/>
        <n v="58690"/>
        <n v="66210"/>
        <n v="70377"/>
        <n v="59774"/>
        <n v="70693"/>
        <n v="47699"/>
        <n v="19076"/>
        <n v="9834"/>
        <n v="11060"/>
        <n v="10909"/>
        <n v="12797"/>
        <n v="12274"/>
        <n v="12964"/>
        <n v="12052"/>
        <n v="14374"/>
        <n v="14979"/>
        <n v="13302"/>
        <n v="11326"/>
        <n v="12302"/>
        <n v="10422"/>
        <n v="10821"/>
        <n v="10947"/>
        <n v="19953"/>
        <n v="20105"/>
        <n v="21883"/>
        <n v="18208"/>
        <n v="19390"/>
        <n v="22356"/>
        <n v="21561"/>
        <n v="20567"/>
        <n v="11435"/>
        <n v="12334"/>
        <n v="15181"/>
        <n v="11776"/>
        <n v="13787"/>
        <n v="13003"/>
        <n v="17012"/>
        <n v="17802"/>
        <n v="15842"/>
        <n v="17013"/>
        <n v="17465"/>
        <n v="22003"/>
        <n v="25402"/>
        <n v="25735"/>
        <n v="27637"/>
        <n v="27156"/>
        <n v="26508"/>
        <n v="25859"/>
        <n v="18692"/>
        <n v="20950"/>
        <n v="24622"/>
        <n v="12933"/>
        <n v="10744"/>
        <n v="11403"/>
        <n v="10208"/>
        <n v="10232"/>
        <n v="11495"/>
        <n v="12671"/>
        <n v="10820"/>
        <n v="13195"/>
        <n v="9424"/>
        <n v="8735"/>
        <n v="12738"/>
        <n v="15900"/>
        <n v="453833"/>
        <n v="441846"/>
        <n v="458922"/>
        <n v="450410"/>
        <n v="441829"/>
        <n v="440686"/>
        <n v="446468"/>
        <n v="454382"/>
        <n v="453848"/>
        <n v="393426"/>
        <n v="339028"/>
        <n v="325255"/>
        <n v="324229"/>
        <n v="325847"/>
        <n v="304108"/>
        <n v="264457"/>
        <n v="254702"/>
        <n v="238347"/>
        <n v="248715"/>
        <n v="255220"/>
        <n v="249941"/>
        <n v="233779"/>
        <n v="229830"/>
        <n v="216784"/>
        <n v="199626"/>
        <n v="206895"/>
        <n v="206951"/>
        <n v="210883"/>
        <n v="199464"/>
        <n v="210612"/>
        <n v="229555"/>
        <n v="247177"/>
        <n v="242035"/>
        <n v="242626"/>
        <n v="245403"/>
        <n v="221944"/>
        <n v="208801"/>
        <n v="220796"/>
        <n v="231855"/>
        <n v="231835"/>
        <n v="226622"/>
        <n v="240458"/>
        <n v="259999"/>
        <n v="260304"/>
        <n v="251847"/>
        <n v="250440"/>
        <n v="244287"/>
        <n v="239086"/>
        <n v="233266"/>
        <n v="229717"/>
        <n v="228246"/>
        <n v="238639"/>
        <n v="231737"/>
        <n v="243360"/>
        <n v="262329"/>
        <n v="302184"/>
        <n v="337156"/>
        <n v="306862"/>
        <n v="293589"/>
        <n v="300036"/>
        <n v="302222"/>
        <n v="302276"/>
        <n v="301580"/>
        <n v="311690"/>
        <n v="299278"/>
        <n v="291737"/>
        <n v="263376"/>
        <n v="226291"/>
        <n v="245047"/>
        <n v="237876"/>
        <n v="483"/>
        <n v="428"/>
        <n v="410"/>
        <n v="204"/>
        <n v="18"/>
        <n v="30"/>
        <n v="19"/>
        <n v="25"/>
        <n v="32"/>
        <n v="126"/>
        <n v="101"/>
        <n v="164"/>
        <n v="131"/>
        <n v="176"/>
        <n v="203"/>
        <n v="71"/>
        <n v="48"/>
        <n v="22"/>
        <n v="27"/>
        <n v="4917"/>
        <n v="4020"/>
        <n v="7645"/>
        <n v="5372"/>
        <n v="5350"/>
        <n v="5288"/>
        <n v="6818"/>
        <n v="7224"/>
        <n v="6711"/>
        <n v="4986"/>
        <n v="5631"/>
        <n v="8455"/>
        <n v="7096"/>
        <n v="7573"/>
        <n v="5904"/>
        <n v="5912"/>
        <n v="4696"/>
        <n v="4129"/>
        <n v="3906"/>
        <n v="4043"/>
        <n v="4423"/>
        <n v="3885"/>
        <n v="3535"/>
        <n v="3292"/>
        <n v="3519"/>
        <n v="2923"/>
        <n v="3356"/>
        <n v="3542"/>
        <n v="2622"/>
        <n v="2996"/>
        <n v="2656"/>
        <n v="2512"/>
        <n v="1459"/>
        <n v="2103"/>
        <n v="2314"/>
        <n v="3170"/>
        <n v="3916"/>
        <n v="4466"/>
        <n v="4116"/>
        <n v="6042"/>
        <n v="4040"/>
        <n v="4367"/>
        <n v="6526"/>
        <n v="7570"/>
        <n v="7686"/>
        <n v="7898"/>
        <n v="8787"/>
        <n v="8725"/>
        <n v="10592"/>
        <n v="9803"/>
        <n v="8732"/>
        <n v="7145"/>
        <n v="6047"/>
        <n v="5725"/>
        <n v="4395"/>
        <n v="4051"/>
        <n v="2426"/>
        <n v="1863"/>
        <n v="11314"/>
        <n v="7090"/>
        <n v="12845"/>
        <n v="9726"/>
        <n v="9626"/>
        <n v="8460"/>
        <n v="9571"/>
        <n v="9968"/>
        <n v="10939"/>
        <n v="10593"/>
        <n v="7560"/>
        <n v="9022"/>
        <n v="11848"/>
        <n v="10774"/>
        <n v="10037"/>
        <n v="10158"/>
        <n v="10035"/>
        <n v="8764"/>
        <n v="8360"/>
        <n v="10358"/>
        <n v="8309"/>
        <n v="9733"/>
        <n v="10876"/>
        <n v="10758"/>
        <n v="9217"/>
        <n v="8671"/>
        <n v="9519"/>
        <n v="7949"/>
        <n v="8011"/>
        <n v="9160"/>
        <n v="10376"/>
        <n v="9321"/>
        <n v="10749"/>
        <n v="9290"/>
        <n v="11351"/>
        <n v="11978"/>
        <n v="11055"/>
        <n v="9776"/>
        <n v="10121"/>
        <n v="9801"/>
        <n v="9985"/>
        <n v="10644"/>
        <n v="10937"/>
        <n v="17173"/>
        <n v="21111"/>
        <n v="20169"/>
        <n v="18112"/>
        <n v="18933"/>
        <n v="20941"/>
        <n v="21295"/>
        <n v="23553"/>
        <n v="25057"/>
        <n v="26296"/>
        <n v="25852"/>
        <n v="28285"/>
        <n v="27498"/>
        <n v="28628"/>
        <n v="25340"/>
        <n v="24977"/>
        <n v="24247"/>
        <n v="23805"/>
        <n v="22794"/>
        <n v="22399"/>
        <n v="21086"/>
        <n v="20093"/>
        <n v="20733"/>
        <n v="27111"/>
        <n v="27231"/>
        <n v="26122"/>
        <n v="8586"/>
        <n v="9820"/>
        <n v="8146"/>
        <n v="8928"/>
        <n v="8288"/>
        <n v="9473"/>
        <n v="7316"/>
        <n v="8038"/>
        <n v="7648"/>
        <n v="6588"/>
        <n v="7743"/>
        <n v="7639"/>
        <n v="7611"/>
        <n v="8479"/>
        <n v="5633"/>
        <n v="8040"/>
        <n v="7405"/>
        <n v="7321"/>
        <n v="8014"/>
        <n v="8686"/>
        <n v="8351"/>
        <n v="12580"/>
        <n v="11475"/>
        <n v="11965"/>
        <n v="12282"/>
        <n v="14457"/>
        <n v="12905"/>
        <n v="12519"/>
        <n v="9621"/>
        <n v="11529"/>
        <n v="12440"/>
        <n v="11659"/>
        <n v="12138"/>
        <n v="11633"/>
        <n v="11330"/>
        <n v="11149"/>
        <n v="9089"/>
        <n v="7402"/>
        <n v="7032"/>
        <n v="8064"/>
        <n v="10248"/>
        <n v="11201"/>
        <n v="11785"/>
        <n v="12279"/>
        <n v="10619"/>
        <n v="10110"/>
        <n v="10406"/>
        <n v="9048"/>
        <n v="7907"/>
        <n v="7939"/>
        <n v="8358"/>
        <n v="6913"/>
        <n v="7377"/>
        <n v="9183"/>
        <n v="7439"/>
        <n v="9649"/>
        <n v="8427"/>
        <n v="7853"/>
        <n v="10126"/>
        <n v="9738"/>
        <n v="7906"/>
        <n v="5636"/>
        <n v="2878"/>
        <n v="2700"/>
        <n v="2854"/>
        <n v="2937"/>
        <n v="2753"/>
        <n v="512"/>
        <n v="508"/>
        <n v="903"/>
        <n v="1373"/>
        <n v="909"/>
        <n v="1955"/>
        <n v="3097"/>
        <n v="2095"/>
        <n v="2200"/>
        <n v="2543"/>
        <n v="2554"/>
        <n v="2463"/>
        <n v="775"/>
        <n v="331"/>
        <n v="250"/>
        <n v="283"/>
        <n v="356"/>
        <n v="657"/>
        <n v="671"/>
        <n v="751"/>
        <n v="672"/>
        <n v="1084"/>
        <n v="1112"/>
        <n v="1643"/>
        <n v="1393"/>
        <n v="2404"/>
        <n v="2850"/>
        <n v="2880"/>
        <n v="2181"/>
        <n v="2547"/>
        <n v="1793"/>
        <n v="1727"/>
        <n v="1941"/>
        <n v="2843"/>
        <n v="1742"/>
        <n v="1927"/>
        <n v="840"/>
        <n v="12280"/>
        <n v="11697"/>
        <n v="12625"/>
        <n v="12909"/>
        <n v="11257"/>
        <n v="8783"/>
        <n v="9411"/>
        <n v="8881"/>
        <n v="7672"/>
        <n v="9171"/>
        <n v="9927"/>
        <n v="9495"/>
        <n v="11513"/>
        <n v="9671"/>
        <n v="11062"/>
        <n v="10502"/>
        <n v="10766"/>
        <n v="11381"/>
        <n v="12164"/>
        <n v="10197"/>
        <n v="13877"/>
        <n v="12642"/>
        <n v="13127"/>
        <n v="13408"/>
        <n v="15704"/>
        <n v="13896"/>
        <n v="13442"/>
        <n v="11552"/>
        <n v="12467"/>
        <n v="13297"/>
        <n v="12272"/>
        <n v="12963"/>
        <n v="12703"/>
        <n v="12511"/>
        <n v="12562"/>
        <n v="12099"/>
        <n v="10271"/>
        <n v="7587"/>
        <n v="9031"/>
        <n v="11334"/>
        <n v="12119"/>
        <n v="12498"/>
        <n v="12971"/>
        <n v="11323"/>
        <n v="10908"/>
        <n v="11225"/>
        <n v="9859"/>
        <n v="9143"/>
        <n v="8885"/>
        <n v="9812"/>
        <n v="9973"/>
        <n v="9264"/>
        <n v="9772"/>
        <n v="10525"/>
        <n v="12365"/>
        <n v="12422"/>
        <n v="10486"/>
        <n v="9561"/>
        <n v="10599"/>
        <n v="11235"/>
        <n v="13181"/>
        <n v="11563"/>
        <n v="7235"/>
        <n v="6683"/>
        <n v="6773"/>
        <n v="1413084"/>
        <n v="1389357"/>
        <n v="1412208"/>
        <n v="1388016"/>
        <n v="1386155"/>
        <n v="1378851"/>
        <n v="1375924"/>
        <n v="1390491"/>
        <n v="1373156"/>
        <n v="1306762"/>
        <n v="1264204"/>
        <n v="1239336"/>
        <n v="1229892"/>
        <n v="1224676"/>
        <n v="1211176"/>
        <n v="1141818"/>
        <n v="1131413"/>
        <n v="1047877"/>
        <n v="1057492"/>
        <n v="1069660"/>
        <n v="1067041"/>
        <n v="1036657"/>
        <n v="1065723"/>
        <n v="1049603"/>
        <n v="1019385"/>
        <n v="1045735"/>
        <n v="1021920"/>
        <n v="983426"/>
        <n v="950705"/>
        <n v="894952"/>
        <n v="913642"/>
        <n v="957077"/>
        <n v="960595"/>
        <n v="933731"/>
        <n v="941533"/>
        <n v="898025"/>
        <n v="894954"/>
        <n v="912685"/>
        <n v="920873"/>
        <n v="874143"/>
        <n v="881309"/>
        <n v="898797"/>
        <n v="972522"/>
        <n v="992841"/>
        <n v="1010995"/>
        <n v="983469"/>
        <n v="974355"/>
        <n v="959540"/>
        <n v="948602"/>
        <n v="916132"/>
        <n v="910013"/>
        <n v="909885"/>
        <n v="911301"/>
        <n v="872143"/>
        <n v="890684"/>
        <n v="950500"/>
        <n v="1016600"/>
        <n v="993984"/>
        <n v="1005660"/>
        <n v="994806"/>
        <n v="982196"/>
        <n v="988029"/>
        <n v="1019395"/>
        <n v="1009225"/>
        <n v="1016230"/>
        <n v="940592"/>
        <n v="862875"/>
        <n v="718664"/>
        <n v="727603"/>
        <n v="697223"/>
        <n v="17301"/>
        <n v="18880"/>
        <n v="19660"/>
        <n v="19157"/>
        <n v="21202"/>
        <n v="20664"/>
        <n v="24143"/>
        <n v="21294"/>
        <n v="22394"/>
        <n v="26151"/>
        <n v="30402"/>
        <n v="20294"/>
        <n v="21284"/>
        <n v="19471"/>
        <n v="23147"/>
        <n v="20022"/>
        <n v="18153"/>
        <n v="17933"/>
        <n v="17939"/>
        <n v="18370"/>
        <n v="19526"/>
        <n v="15627"/>
        <n v="14537"/>
        <n v="13272"/>
        <n v="13677"/>
        <n v="12695"/>
        <n v="11849"/>
        <n v="10962"/>
        <n v="7709"/>
        <n v="2744"/>
        <n v="1972"/>
        <n v="3414"/>
        <n v="2938"/>
        <n v="4690"/>
        <n v="5919"/>
        <n v="6241"/>
        <n v="5342"/>
        <n v="6576"/>
        <n v="8381"/>
        <n v="11748"/>
        <n v="12363"/>
        <n v="13268"/>
        <n v="13413"/>
        <n v="11687"/>
        <n v="11125"/>
        <n v="10873"/>
        <n v="12399"/>
        <n v="10790"/>
        <n v="9844"/>
        <n v="11515"/>
        <n v="12071"/>
        <n v="12794"/>
        <n v="13156"/>
        <n v="13519"/>
        <n v="19465"/>
        <n v="26830"/>
        <n v="25131"/>
        <n v="24603"/>
        <n v="24437"/>
        <n v="26468"/>
        <n v="20305"/>
        <n v="18052"/>
        <n v="14857"/>
        <n v="9310"/>
        <n v="8235"/>
        <n v="7666"/>
        <n v="7170"/>
        <n v="7513"/>
        <n v="5206"/>
        <n v="5079"/>
        <n v="7959"/>
        <n v="4872"/>
        <n v="4779"/>
        <n v="5042"/>
        <n v="4644"/>
        <n v="5504"/>
        <n v="10727"/>
        <n v="6532"/>
        <n v="6202"/>
        <n v="3193"/>
        <n v="3156"/>
        <n v="2988"/>
        <n v="2800"/>
        <n v="2113"/>
        <n v="2464"/>
        <n v="2469"/>
        <n v="2814"/>
        <n v="3834"/>
        <n v="2130"/>
        <n v="2252"/>
        <n v="1820"/>
        <n v="2536"/>
        <n v="1658"/>
        <n v="1526"/>
        <n v="2380"/>
        <n v="1682"/>
        <n v="1772"/>
        <n v="2144"/>
        <n v="2142"/>
        <n v="2266"/>
        <n v="3224"/>
        <n v="2406"/>
        <n v="2925"/>
        <n v="2962"/>
        <n v="3325"/>
        <n v="2909"/>
        <n v="1931"/>
        <n v="2626"/>
        <n v="2354"/>
        <n v="2189"/>
        <n v="3798"/>
        <n v="4114"/>
        <n v="3469"/>
        <n v="1535"/>
        <n v="1616"/>
        <n v="860"/>
        <n v="24471"/>
        <n v="26393"/>
        <n v="24866"/>
        <n v="24236"/>
        <n v="29161"/>
        <n v="25536"/>
        <n v="28922"/>
        <n v="26336"/>
        <n v="27038"/>
        <n v="41129"/>
        <n v="26826"/>
        <n v="27544"/>
        <n v="25673"/>
        <n v="26340"/>
        <n v="23178"/>
        <n v="22147"/>
        <n v="21434"/>
        <n v="21268"/>
        <n v="21515"/>
        <n v="22514"/>
        <n v="18604"/>
        <n v="17337"/>
        <n v="15385"/>
        <n v="16009"/>
        <n v="15159"/>
        <n v="14318"/>
        <n v="13776"/>
        <n v="11543"/>
        <n v="5077"/>
        <n v="4099"/>
        <n v="5544"/>
        <n v="6510"/>
        <n v="7899"/>
        <n v="6282"/>
        <n v="6925"/>
        <n v="8200"/>
        <n v="9907"/>
        <n v="14128"/>
        <n v="14045"/>
        <n v="15557"/>
        <n v="13829"/>
        <n v="13391"/>
        <n v="13055"/>
        <n v="15882"/>
        <n v="14014"/>
        <n v="12250"/>
        <n v="14440"/>
        <n v="15446"/>
        <n v="15703"/>
        <n v="15087"/>
        <n v="15999"/>
        <n v="18972"/>
        <n v="21093"/>
        <n v="21654"/>
        <n v="29283"/>
        <n v="28937"/>
        <n v="29268"/>
        <n v="28235"/>
        <n v="30326"/>
        <n v="24419"/>
        <n v="21335"/>
        <n v="18326"/>
        <n v="10845"/>
        <n v="9851"/>
        <n v="8526"/>
        <n v="940241"/>
        <n v="965785"/>
        <n v="962621"/>
        <n v="917741"/>
        <n v="900029"/>
        <n v="962248"/>
        <n v="997202"/>
        <n v="1036238"/>
        <n v="1060894"/>
        <n v="1035394"/>
        <n v="1064988"/>
        <n v="1083060"/>
        <n v="1055261"/>
        <n v="1089555"/>
        <n v="1091175"/>
        <n v="1078760"/>
        <n v="1069311"/>
        <n v="1153560"/>
        <n v="1164996"/>
        <n v="1237516"/>
        <n v="1250349"/>
        <n v="1257436"/>
        <n v="1266162"/>
        <n v="1305333"/>
        <n v="1338417"/>
        <n v="1400194"/>
        <n v="1416827"/>
        <n v="1404846"/>
        <n v="1404387"/>
        <n v="1415316"/>
        <n v="1412252"/>
        <n v="1437074"/>
        <n v="1415750"/>
        <n v="1437555"/>
        <n v="949988"/>
        <n v="905924"/>
        <n v="901236"/>
        <n v="919610"/>
        <n v="929073"/>
        <n v="884050"/>
        <n v="895437"/>
        <n v="912842"/>
        <n v="987562"/>
        <n v="1008398"/>
        <n v="1024824"/>
        <n v="996860"/>
        <n v="987410"/>
        <n v="975422"/>
        <n v="962616"/>
        <n v="928382"/>
        <n v="924453"/>
        <n v="924918"/>
        <n v="926747"/>
        <n v="887846"/>
        <n v="905771"/>
        <n v="966499"/>
        <n v="1035572"/>
        <n v="1015077"/>
        <n v="1027314"/>
        <n v="1024089"/>
        <n v="1011133"/>
        <n v="1017297"/>
        <n v="1047630"/>
        <n v="1039551"/>
        <n v="1040649"/>
        <n v="961927"/>
        <n v="881201"/>
        <n v="729509"/>
        <n v="737454"/>
        <n v="705749"/>
        <n v="386191"/>
        <n v="371344"/>
        <n v="411306"/>
        <n v="409564"/>
        <n v="402563"/>
        <n v="397573"/>
        <n v="413873"/>
        <n v="419777"/>
        <n v="434990"/>
        <n v="373435"/>
        <n v="306926"/>
        <n v="304638"/>
        <n v="312043"/>
        <n v="318326"/>
        <n v="307191"/>
        <n v="271852"/>
        <n v="268520"/>
        <n v="254842"/>
        <n v="262715"/>
        <n v="266957"/>
        <n v="266289"/>
        <n v="250314"/>
        <n v="249969"/>
        <n v="245977"/>
        <n v="234787"/>
        <n v="234473"/>
        <n v="237766"/>
        <n v="236573"/>
        <n v="220354"/>
        <n v="234421"/>
        <n v="231346"/>
        <n v="252271"/>
        <n v="256939"/>
        <n v="249597"/>
        <n v="238714"/>
        <n v="217164"/>
        <n v="203816"/>
        <n v="220008"/>
        <n v="230463"/>
        <n v="234016"/>
        <n v="238336"/>
        <n v="248599"/>
        <n v="256610"/>
        <n v="259685"/>
        <n v="278341"/>
        <n v="266721"/>
        <n v="247640"/>
        <n v="239523"/>
        <n v="247716"/>
        <n v="255413"/>
        <n v="257990"/>
        <n v="276366"/>
        <n v="269464"/>
        <n v="296117"/>
        <n v="320212"/>
        <n v="360598"/>
        <n v="406234"/>
        <n v="378069"/>
        <n v="360969"/>
        <n v="370816"/>
        <n v="375411"/>
        <n v="371483"/>
        <n v="385016"/>
        <n v="393564"/>
        <n v="382269"/>
        <n v="355721"/>
        <n v="331014"/>
        <n v="283222"/>
        <n v="306080"/>
        <n v="294820"/>
        <n v="1051364"/>
        <n v="1044406"/>
        <n v="1025768"/>
        <n v="1002688"/>
        <n v="1012753"/>
        <n v="1006814"/>
        <n v="990973"/>
        <n v="997050"/>
        <n v="965204"/>
        <n v="964982"/>
        <n v="998407"/>
        <n v="961524"/>
        <n v="945393"/>
        <n v="932023"/>
        <n v="930325"/>
        <n v="893144"/>
        <n v="885040"/>
        <n v="814469"/>
        <n v="816045"/>
        <n v="824218"/>
        <n v="823266"/>
        <n v="804947"/>
        <n v="833091"/>
        <n v="819011"/>
        <n v="800607"/>
        <n v="826421"/>
        <n v="798472"/>
        <n v="760629"/>
        <n v="741894"/>
        <n v="665608"/>
        <n v="686395"/>
        <n v="710350"/>
        <n v="708846"/>
        <n v="690644"/>
        <n v="711274"/>
        <n v="688760"/>
        <n v="697420"/>
        <n v="699602"/>
        <n v="698610"/>
        <n v="650034"/>
        <n v="657101"/>
        <n v="664243"/>
        <n v="730952"/>
        <n v="748713"/>
        <n v="746483"/>
        <n v="730139"/>
        <n v="739770"/>
        <n v="735899"/>
        <n v="714900"/>
        <n v="672969"/>
        <n v="666463"/>
        <n v="648552"/>
        <n v="657283"/>
        <n v="591729"/>
        <n v="585559"/>
        <n v="605901"/>
        <n v="629338"/>
        <n v="637008"/>
        <n v="666345"/>
        <n v="653273"/>
        <n v="635722"/>
        <n v="645814"/>
        <n v="662614"/>
        <n v="645987"/>
        <n v="658380"/>
        <n v="606206"/>
        <n v="550187"/>
        <n v="446287"/>
        <n v="431374"/>
        <n v="410929"/>
      </sharedItems>
    </cacheField>
    <cacheField name="Net Sales of Short-term Treasuries" numFmtId="165">
      <sharedItems containsMixedTypes="1" containsNumber="1" containsInteger="1" minValue="-80972" maxValue="151692"/>
    </cacheField>
    <cacheField name="Months (Date)" numFmtId="0" databaseField="0">
      <fieldGroup base="1">
        <rangePr groupBy="months" startDate="2020-01-01T00:00:00" endDate="2025-10-02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/2025"/>
        </groupItems>
      </fieldGroup>
    </cacheField>
    <cacheField name="Quarters (Date)" numFmtId="0" databaseField="0">
      <fieldGroup base="1">
        <rangePr groupBy="quarters" startDate="2020-01-01T00:00:00" endDate="2025-10-02T00:00:00"/>
        <groupItems count="6">
          <s v="&lt;1/1/2020"/>
          <s v="Qtr1"/>
          <s v="Qtr2"/>
          <s v="Qtr3"/>
          <s v="Qtr4"/>
          <s v="&gt;10/2/2025"/>
        </groupItems>
      </fieldGroup>
    </cacheField>
    <cacheField name="Years (Date)" numFmtId="0" databaseField="0">
      <fieldGroup base="1">
        <rangePr groupBy="years" startDate="2020-01-01T00:00:00" endDate="2025-10-02T00:00:00"/>
        <groupItems count="8">
          <s v="&lt;1/1/2020"/>
          <s v="2020"/>
          <s v="2021"/>
          <s v="2022"/>
          <s v="2023"/>
          <s v="2024"/>
          <s v="2025"/>
          <s v="&gt;10/2/2025"/>
        </groupItems>
      </fieldGroup>
    </cacheField>
    <cacheField name="% Held in Long-term" numFmtId="0" formula="'Holdings of Long-term Treasuries'/'Total Holdings of Treasuri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0">
  <r>
    <x v="0"/>
    <x v="0"/>
    <x v="0"/>
    <x v="0"/>
    <n v="4140"/>
    <n v="-816"/>
    <n v="29"/>
    <x v="0"/>
    <n v="46"/>
  </r>
  <r>
    <x v="0"/>
    <x v="1"/>
    <x v="1"/>
    <x v="1"/>
    <n v="4708"/>
    <n v="518"/>
    <n v="13"/>
    <x v="1"/>
    <n v="-142"/>
  </r>
  <r>
    <x v="0"/>
    <x v="2"/>
    <x v="2"/>
    <x v="2"/>
    <n v="4474"/>
    <n v="264"/>
    <n v="23"/>
    <x v="2"/>
    <n v="-58"/>
  </r>
  <r>
    <x v="0"/>
    <x v="3"/>
    <x v="3"/>
    <x v="3"/>
    <n v="4410"/>
    <n v="-617"/>
    <n v="-7"/>
    <x v="3"/>
    <n v="111"/>
  </r>
  <r>
    <x v="0"/>
    <x v="4"/>
    <x v="4"/>
    <x v="4"/>
    <n v="5041"/>
    <n v="836"/>
    <n v="37"/>
    <x v="4"/>
    <n v="37"/>
  </r>
  <r>
    <x v="0"/>
    <x v="5"/>
    <x v="5"/>
    <x v="5"/>
    <n v="4104"/>
    <n v="15"/>
    <n v="-17"/>
    <x v="5"/>
    <n v="51"/>
  </r>
  <r>
    <x v="0"/>
    <x v="6"/>
    <x v="6"/>
    <x v="6"/>
    <n v="4079"/>
    <n v="-555"/>
    <n v="26"/>
    <x v="6"/>
    <n v="-162"/>
  </r>
  <r>
    <x v="0"/>
    <x v="7"/>
    <x v="7"/>
    <x v="7"/>
    <n v="4645"/>
    <n v="365"/>
    <n v="6"/>
    <x v="7"/>
    <n v="-113"/>
  </r>
  <r>
    <x v="0"/>
    <x v="8"/>
    <x v="8"/>
    <x v="8"/>
    <n v="4493"/>
    <n v="871"/>
    <n v="27"/>
    <x v="8"/>
    <n v="42"/>
  </r>
  <r>
    <x v="0"/>
    <x v="9"/>
    <x v="9"/>
    <x v="9"/>
    <n v="3693"/>
    <n v="-1501"/>
    <n v="31"/>
    <x v="9"/>
    <n v="-35"/>
  </r>
  <r>
    <x v="0"/>
    <x v="10"/>
    <x v="10"/>
    <x v="10"/>
    <n v="5289"/>
    <n v="15"/>
    <n v="-44"/>
    <x v="10"/>
    <n v="192"/>
  </r>
  <r>
    <x v="0"/>
    <x v="11"/>
    <x v="11"/>
    <x v="11"/>
    <n v="5385"/>
    <n v="631"/>
    <n v="106"/>
    <x v="11"/>
    <n v="-184"/>
  </r>
  <r>
    <x v="0"/>
    <x v="12"/>
    <x v="12"/>
    <x v="12"/>
    <n v="4799"/>
    <n v="95"/>
    <n v="14"/>
    <x v="12"/>
    <n v="-530"/>
  </r>
  <r>
    <x v="0"/>
    <x v="13"/>
    <x v="13"/>
    <x v="13"/>
    <n v="4569"/>
    <n v="1143"/>
    <n v="-47"/>
    <x v="13"/>
    <n v="11"/>
  </r>
  <r>
    <x v="0"/>
    <x v="14"/>
    <x v="14"/>
    <x v="14"/>
    <n v="3581"/>
    <n v="71"/>
    <n v="59"/>
    <x v="14"/>
    <n v="-149"/>
  </r>
  <r>
    <x v="0"/>
    <x v="15"/>
    <x v="15"/>
    <x v="15"/>
    <n v="3535"/>
    <n v="37"/>
    <n v="85"/>
    <x v="15"/>
    <n v="-112"/>
  </r>
  <r>
    <x v="0"/>
    <x v="16"/>
    <x v="16"/>
    <x v="16"/>
    <n v="3467"/>
    <n v="530"/>
    <n v="12"/>
    <x v="16"/>
    <n v="-16"/>
  </r>
  <r>
    <x v="0"/>
    <x v="17"/>
    <x v="17"/>
    <x v="17"/>
    <n v="3048"/>
    <n v="-174"/>
    <n v="20"/>
    <x v="17"/>
    <n v="312"/>
  </r>
  <r>
    <x v="0"/>
    <x v="18"/>
    <x v="18"/>
    <x v="18"/>
    <n v="3248"/>
    <n v="4"/>
    <n v="-76"/>
    <x v="18"/>
    <n v="193"/>
  </r>
  <r>
    <x v="0"/>
    <x v="19"/>
    <x v="19"/>
    <x v="19"/>
    <n v="3356"/>
    <n v="801"/>
    <n v="-21"/>
    <x v="19"/>
    <n v="241"/>
  </r>
  <r>
    <x v="0"/>
    <x v="20"/>
    <x v="20"/>
    <x v="20"/>
    <n v="2736"/>
    <n v="-321"/>
    <n v="-22"/>
    <x v="20"/>
    <n v="-103"/>
  </r>
  <r>
    <x v="0"/>
    <x v="21"/>
    <x v="21"/>
    <x v="21"/>
    <n v="3236"/>
    <n v="-777"/>
    <n v="63"/>
    <x v="21"/>
    <n v="-246"/>
  </r>
  <r>
    <x v="0"/>
    <x v="22"/>
    <x v="22"/>
    <x v="22"/>
    <n v="3816"/>
    <n v="387"/>
    <n v="51"/>
    <x v="22"/>
    <n v="185"/>
  </r>
  <r>
    <x v="0"/>
    <x v="23"/>
    <x v="23"/>
    <x v="23"/>
    <n v="4327"/>
    <n v="208"/>
    <n v="49"/>
    <x v="23"/>
    <n v="149"/>
  </r>
  <r>
    <x v="0"/>
    <x v="24"/>
    <x v="16"/>
    <x v="24"/>
    <n v="4182"/>
    <n v="-247"/>
    <n v="-13"/>
    <x v="24"/>
    <n v="155"/>
  </r>
  <r>
    <x v="0"/>
    <x v="25"/>
    <x v="24"/>
    <x v="25"/>
    <n v="4427"/>
    <n v="216"/>
    <n v="-41"/>
    <x v="25"/>
    <n v="11"/>
  </r>
  <r>
    <x v="0"/>
    <x v="26"/>
    <x v="25"/>
    <x v="26"/>
    <n v="4462"/>
    <n v="335"/>
    <n v="0"/>
    <x v="26"/>
    <n v="-6"/>
  </r>
  <r>
    <x v="0"/>
    <x v="27"/>
    <x v="26"/>
    <x v="27"/>
    <n v="5102"/>
    <n v="-473"/>
    <n v="-48"/>
    <x v="27"/>
    <n v="526"/>
  </r>
  <r>
    <x v="0"/>
    <x v="28"/>
    <x v="27"/>
    <x v="28"/>
    <n v="4669"/>
    <n v="1561"/>
    <n v="-10"/>
    <x v="28"/>
    <n v="-307"/>
  </r>
  <r>
    <x v="0"/>
    <x v="29"/>
    <x v="28"/>
    <x v="29"/>
    <n v="3218"/>
    <n v="-508"/>
    <n v="-10"/>
    <x v="29"/>
    <n v="274"/>
  </r>
  <r>
    <x v="0"/>
    <x v="30"/>
    <x v="29"/>
    <x v="30"/>
    <n v="4215"/>
    <n v="-498"/>
    <n v="16"/>
    <x v="30"/>
    <n v="-234"/>
  </r>
  <r>
    <x v="0"/>
    <x v="31"/>
    <x v="30"/>
    <x v="31"/>
    <n v="4626"/>
    <n v="340"/>
    <n v="50"/>
    <x v="31"/>
    <n v="-125"/>
  </r>
  <r>
    <x v="0"/>
    <x v="32"/>
    <x v="31"/>
    <x v="32"/>
    <n v="4369"/>
    <n v="-306"/>
    <n v="-54"/>
    <x v="32"/>
    <n v="11"/>
  </r>
  <r>
    <x v="0"/>
    <x v="33"/>
    <x v="32"/>
    <x v="33"/>
    <n v="4175"/>
    <s v="n.a."/>
    <s v="n.a."/>
    <x v="33"/>
    <n v="-429"/>
  </r>
  <r>
    <x v="0"/>
    <x v="34"/>
    <x v="33"/>
    <x v="33"/>
    <n v="4413"/>
    <s v="n.a."/>
    <s v="n.a."/>
    <x v="34"/>
    <n v="567"/>
  </r>
  <r>
    <x v="0"/>
    <x v="35"/>
    <x v="34"/>
    <x v="33"/>
    <n v="3796"/>
    <s v="n.a."/>
    <s v="n.a."/>
    <x v="35"/>
    <n v="341"/>
  </r>
  <r>
    <x v="0"/>
    <x v="36"/>
    <x v="35"/>
    <x v="33"/>
    <n v="3427"/>
    <s v="n.a."/>
    <s v="n.a."/>
    <x v="36"/>
    <n v="97"/>
  </r>
  <r>
    <x v="0"/>
    <x v="37"/>
    <x v="36"/>
    <x v="33"/>
    <n v="3737"/>
    <s v="n.a."/>
    <s v="n.a."/>
    <x v="37"/>
    <n v="-35"/>
  </r>
  <r>
    <x v="0"/>
    <x v="38"/>
    <x v="37"/>
    <x v="33"/>
    <n v="3795"/>
    <s v="n.a."/>
    <s v="n.a."/>
    <x v="38"/>
    <n v="125"/>
  </r>
  <r>
    <x v="0"/>
    <x v="39"/>
    <x v="38"/>
    <x v="33"/>
    <n v="3988"/>
    <s v="n.a."/>
    <s v="n.a."/>
    <x v="39"/>
    <n v="-242"/>
  </r>
  <r>
    <x v="0"/>
    <x v="40"/>
    <x v="39"/>
    <x v="33"/>
    <n v="4269"/>
    <s v="n.a."/>
    <s v="n.a."/>
    <x v="40"/>
    <n v="269"/>
  </r>
  <r>
    <x v="0"/>
    <x v="41"/>
    <x v="40"/>
    <x v="33"/>
    <n v="3185"/>
    <s v="n.a."/>
    <s v="n.a."/>
    <x v="41"/>
    <n v="104"/>
  </r>
  <r>
    <x v="0"/>
    <x v="42"/>
    <x v="41"/>
    <x v="33"/>
    <n v="3476"/>
    <s v="n.a."/>
    <s v="n.a."/>
    <x v="42"/>
    <n v="66"/>
  </r>
  <r>
    <x v="0"/>
    <x v="43"/>
    <x v="42"/>
    <x v="33"/>
    <n v="3372"/>
    <s v="n.a."/>
    <s v="n.a."/>
    <x v="43"/>
    <n v="-276"/>
  </r>
  <r>
    <x v="0"/>
    <x v="44"/>
    <x v="43"/>
    <x v="33"/>
    <n v="3125"/>
    <s v="n.a."/>
    <s v="n.a."/>
    <x v="44"/>
    <n v="27"/>
  </r>
  <r>
    <x v="0"/>
    <x v="45"/>
    <x v="44"/>
    <x v="33"/>
    <n v="3001"/>
    <s v="n.a."/>
    <s v="n.a."/>
    <x v="45"/>
    <n v="-195"/>
  </r>
  <r>
    <x v="0"/>
    <x v="46"/>
    <x v="45"/>
    <x v="33"/>
    <n v="3767"/>
    <s v="n.a."/>
    <s v="n.a."/>
    <x v="46"/>
    <n v="402"/>
  </r>
  <r>
    <x v="0"/>
    <x v="47"/>
    <x v="46"/>
    <x v="33"/>
    <n v="3369"/>
    <s v="n.a."/>
    <s v="n.a."/>
    <x v="47"/>
    <n v="-46"/>
  </r>
  <r>
    <x v="0"/>
    <x v="48"/>
    <x v="47"/>
    <x v="33"/>
    <n v="3325"/>
    <s v="n.a."/>
    <s v="n.a."/>
    <x v="48"/>
    <n v="42"/>
  </r>
  <r>
    <x v="0"/>
    <x v="49"/>
    <x v="48"/>
    <x v="33"/>
    <n v="3808"/>
    <s v="n.a."/>
    <s v="n.a."/>
    <x v="49"/>
    <n v="-26"/>
  </r>
  <r>
    <x v="0"/>
    <x v="50"/>
    <x v="49"/>
    <x v="33"/>
    <n v="3328"/>
    <s v="n.a."/>
    <s v="n.a."/>
    <x v="50"/>
    <n v="8"/>
  </r>
  <r>
    <x v="0"/>
    <x v="51"/>
    <x v="50"/>
    <x v="33"/>
    <n v="3214"/>
    <s v="n.a."/>
    <s v="n.a."/>
    <x v="51"/>
    <n v="-3"/>
  </r>
  <r>
    <x v="0"/>
    <x v="52"/>
    <x v="51"/>
    <x v="33"/>
    <n v="3584"/>
    <s v="n.a."/>
    <s v="n.a."/>
    <x v="52"/>
    <n v="1"/>
  </r>
  <r>
    <x v="0"/>
    <x v="53"/>
    <x v="52"/>
    <x v="33"/>
    <n v="3241"/>
    <s v="n.a."/>
    <s v="n.a."/>
    <x v="42"/>
    <n v="-64"/>
  </r>
  <r>
    <x v="0"/>
    <x v="54"/>
    <x v="53"/>
    <x v="33"/>
    <n v="3211"/>
    <s v="n.a."/>
    <s v="n.a."/>
    <x v="53"/>
    <n v="-34"/>
  </r>
  <r>
    <x v="0"/>
    <x v="55"/>
    <x v="54"/>
    <x v="33"/>
    <n v="3228"/>
    <s v="n.a."/>
    <s v="n.a."/>
    <x v="54"/>
    <n v="-86"/>
  </r>
  <r>
    <x v="0"/>
    <x v="56"/>
    <x v="55"/>
    <x v="33"/>
    <n v="3087"/>
    <s v="n.a."/>
    <s v="n.a."/>
    <x v="45"/>
    <n v="-84"/>
  </r>
  <r>
    <x v="0"/>
    <x v="57"/>
    <x v="56"/>
    <x v="33"/>
    <n v="3393"/>
    <s v="n.a."/>
    <s v="n.a."/>
    <x v="55"/>
    <n v="-273"/>
  </r>
  <r>
    <x v="0"/>
    <x v="58"/>
    <x v="57"/>
    <x v="33"/>
    <n v="3615"/>
    <s v="n.a."/>
    <s v="n.a."/>
    <x v="56"/>
    <n v="181"/>
  </r>
  <r>
    <x v="0"/>
    <x v="59"/>
    <x v="58"/>
    <x v="33"/>
    <n v="3367"/>
    <s v="n.a."/>
    <s v="n.a."/>
    <x v="57"/>
    <n v="-196"/>
  </r>
  <r>
    <x v="0"/>
    <x v="60"/>
    <x v="59"/>
    <x v="33"/>
    <n v="3356"/>
    <s v="n.a."/>
    <s v="n.a."/>
    <x v="58"/>
    <n v="-107"/>
  </r>
  <r>
    <x v="0"/>
    <x v="61"/>
    <x v="60"/>
    <x v="33"/>
    <n v="3622"/>
    <s v="n.a."/>
    <s v="n.a."/>
    <x v="59"/>
    <n v="-274"/>
  </r>
  <r>
    <x v="0"/>
    <x v="62"/>
    <x v="61"/>
    <x v="33"/>
    <n v="3412"/>
    <s v="n.a."/>
    <s v="n.a."/>
    <x v="26"/>
    <n v="8"/>
  </r>
  <r>
    <x v="0"/>
    <x v="63"/>
    <x v="62"/>
    <x v="33"/>
    <n v="3484"/>
    <s v="n.a."/>
    <s v="n.a."/>
    <x v="60"/>
    <n v="72"/>
  </r>
  <r>
    <x v="0"/>
    <x v="64"/>
    <x v="63"/>
    <x v="33"/>
    <n v="3515"/>
    <s v="n.a."/>
    <s v="n.a."/>
    <x v="61"/>
    <n v="188"/>
  </r>
  <r>
    <x v="0"/>
    <x v="65"/>
    <x v="64"/>
    <x v="33"/>
    <n v="3559"/>
    <s v="n.a."/>
    <s v="n.a."/>
    <x v="62"/>
    <n v="164"/>
  </r>
  <r>
    <x v="0"/>
    <x v="66"/>
    <x v="65"/>
    <x v="33"/>
    <n v="3781"/>
    <s v="n.a."/>
    <s v="n.a."/>
    <x v="63"/>
    <n v="235"/>
  </r>
  <r>
    <x v="0"/>
    <x v="67"/>
    <x v="66"/>
    <x v="33"/>
    <n v="3916"/>
    <s v="n.a."/>
    <s v="n.a."/>
    <x v="64"/>
    <n v="85"/>
  </r>
  <r>
    <x v="0"/>
    <x v="68"/>
    <x v="67"/>
    <x v="33"/>
    <n v="3925"/>
    <s v="n.a."/>
    <s v="n.a."/>
    <x v="45"/>
    <n v="59"/>
  </r>
  <r>
    <x v="0"/>
    <x v="69"/>
    <x v="68"/>
    <x v="33"/>
    <n v="3606"/>
    <s v="n.a."/>
    <s v="n.a."/>
    <x v="65"/>
    <n v="-205"/>
  </r>
  <r>
    <x v="1"/>
    <x v="0"/>
    <x v="69"/>
    <x v="34"/>
    <n v="394677"/>
    <n v="-14485"/>
    <n v="367"/>
    <x v="66"/>
    <n v="-10382"/>
  </r>
  <r>
    <x v="1"/>
    <x v="1"/>
    <x v="70"/>
    <x v="35"/>
    <n v="382749"/>
    <n v="7092"/>
    <n v="2154"/>
    <x v="67"/>
    <n v="11105"/>
  </r>
  <r>
    <x v="1"/>
    <x v="2"/>
    <x v="71"/>
    <x v="36"/>
    <n v="381314"/>
    <n v="-275"/>
    <n v="1238"/>
    <x v="68"/>
    <n v="945"/>
  </r>
  <r>
    <x v="1"/>
    <x v="3"/>
    <x v="72"/>
    <x v="37"/>
    <n v="356218"/>
    <n v="-3309"/>
    <n v="-1966"/>
    <x v="69"/>
    <n v="-8856"/>
  </r>
  <r>
    <x v="1"/>
    <x v="4"/>
    <x v="73"/>
    <x v="38"/>
    <n v="352475"/>
    <n v="-1375"/>
    <n v="1654"/>
    <x v="70"/>
    <n v="16238"/>
  </r>
  <r>
    <x v="1"/>
    <x v="5"/>
    <x v="74"/>
    <x v="39"/>
    <n v="350803"/>
    <n v="-35"/>
    <n v="-3199"/>
    <x v="71"/>
    <n v="3819"/>
  </r>
  <r>
    <x v="1"/>
    <x v="6"/>
    <x v="75"/>
    <x v="40"/>
    <n v="350188"/>
    <n v="-15477"/>
    <n v="1454"/>
    <x v="72"/>
    <n v="-2024"/>
  </r>
  <r>
    <x v="1"/>
    <x v="7"/>
    <x v="76"/>
    <x v="41"/>
    <n v="339214"/>
    <n v="1285"/>
    <n v="1003"/>
    <x v="73"/>
    <n v="1499"/>
  </r>
  <r>
    <x v="1"/>
    <x v="8"/>
    <x v="77"/>
    <x v="42"/>
    <n v="333308"/>
    <n v="-263"/>
    <n v="5383"/>
    <x v="74"/>
    <n v="-558"/>
  </r>
  <r>
    <x v="1"/>
    <x v="9"/>
    <x v="78"/>
    <x v="43"/>
    <n v="315757"/>
    <n v="-6502"/>
    <n v="1573"/>
    <x v="75"/>
    <n v="-7318"/>
  </r>
  <r>
    <x v="1"/>
    <x v="10"/>
    <x v="79"/>
    <x v="44"/>
    <n v="305351"/>
    <n v="6897"/>
    <n v="-4690"/>
    <x v="76"/>
    <n v="8502"/>
  </r>
  <r>
    <x v="1"/>
    <x v="11"/>
    <x v="80"/>
    <x v="45"/>
    <n v="300547"/>
    <n v="3797"/>
    <n v="1339"/>
    <x v="77"/>
    <n v="490"/>
  </r>
  <r>
    <x v="1"/>
    <x v="12"/>
    <x v="81"/>
    <x v="46"/>
    <n v="289385"/>
    <n v="-8631"/>
    <n v="-5768"/>
    <x v="78"/>
    <n v="-6384"/>
  </r>
  <r>
    <x v="1"/>
    <x v="13"/>
    <x v="82"/>
    <x v="47"/>
    <n v="299979"/>
    <n v="20225"/>
    <n v="1828"/>
    <x v="79"/>
    <n v="12170"/>
  </r>
  <r>
    <x v="1"/>
    <x v="14"/>
    <x v="83"/>
    <x v="48"/>
    <n v="270539"/>
    <n v="5169"/>
    <n v="1001"/>
    <x v="80"/>
    <n v="1876"/>
  </r>
  <r>
    <x v="1"/>
    <x v="15"/>
    <x v="84"/>
    <x v="49"/>
    <n v="263335"/>
    <n v="-11622"/>
    <n v="3235"/>
    <x v="81"/>
    <n v="916"/>
  </r>
  <r>
    <x v="1"/>
    <x v="16"/>
    <x v="85"/>
    <x v="50"/>
    <n v="266343"/>
    <n v="-329"/>
    <n v="157"/>
    <x v="82"/>
    <n v="-1128"/>
  </r>
  <r>
    <x v="1"/>
    <x v="17"/>
    <x v="86"/>
    <x v="51"/>
    <n v="260249"/>
    <n v="9"/>
    <n v="-62"/>
    <x v="83"/>
    <n v="345"/>
  </r>
  <r>
    <x v="1"/>
    <x v="18"/>
    <x v="87"/>
    <x v="52"/>
    <n v="260005"/>
    <n v="-1320"/>
    <n v="-5257"/>
    <x v="84"/>
    <n v="-748"/>
  </r>
  <r>
    <x v="1"/>
    <x v="19"/>
    <x v="88"/>
    <x v="53"/>
    <n v="263951"/>
    <n v="-8309"/>
    <n v="818"/>
    <x v="85"/>
    <n v="-5271"/>
  </r>
  <r>
    <x v="1"/>
    <x v="20"/>
    <x v="89"/>
    <x v="54"/>
    <n v="261575"/>
    <n v="-733"/>
    <n v="-2586"/>
    <x v="86"/>
    <n v="-471"/>
  </r>
  <r>
    <x v="1"/>
    <x v="21"/>
    <x v="90"/>
    <x v="55"/>
    <n v="234125"/>
    <n v="-12982"/>
    <n v="-390"/>
    <x v="87"/>
    <n v="-3609"/>
  </r>
  <r>
    <x v="1"/>
    <x v="22"/>
    <x v="91"/>
    <x v="56"/>
    <n v="251844"/>
    <n v="-2371"/>
    <n v="4631"/>
    <x v="88"/>
    <n v="-915"/>
  </r>
  <r>
    <x v="1"/>
    <x v="23"/>
    <x v="92"/>
    <x v="57"/>
    <n v="233019"/>
    <n v="-2890"/>
    <n v="3167"/>
    <x v="89"/>
    <n v="4450"/>
  </r>
  <r>
    <x v="1"/>
    <x v="24"/>
    <x v="93"/>
    <x v="58"/>
    <n v="226409"/>
    <n v="-14031"/>
    <n v="-1890"/>
    <x v="90"/>
    <n v="-8077"/>
  </r>
  <r>
    <x v="1"/>
    <x v="25"/>
    <x v="94"/>
    <x v="59"/>
    <n v="249956"/>
    <n v="2731"/>
    <n v="-5703"/>
    <x v="91"/>
    <n v="5785"/>
  </r>
  <r>
    <x v="1"/>
    <x v="26"/>
    <x v="95"/>
    <x v="60"/>
    <n v="255397"/>
    <n v="-2908"/>
    <n v="-3830"/>
    <x v="92"/>
    <n v="445"/>
  </r>
  <r>
    <x v="1"/>
    <x v="27"/>
    <x v="96"/>
    <x v="61"/>
    <n v="257855"/>
    <n v="-3846"/>
    <n v="-2879"/>
    <x v="93"/>
    <n v="-10587"/>
  </r>
  <r>
    <x v="1"/>
    <x v="28"/>
    <x v="97"/>
    <x v="62"/>
    <n v="260317"/>
    <n v="9253"/>
    <n v="-5199"/>
    <x v="94"/>
    <n v="-308"/>
  </r>
  <r>
    <x v="1"/>
    <x v="29"/>
    <x v="98"/>
    <x v="63"/>
    <n v="263788"/>
    <n v="-5578"/>
    <n v="-2434"/>
    <x v="95"/>
    <n v="-4235"/>
  </r>
  <r>
    <x v="1"/>
    <x v="30"/>
    <x v="99"/>
    <x v="64"/>
    <n v="260572"/>
    <n v="-5337"/>
    <n v="-534"/>
    <x v="96"/>
    <n v="13654"/>
  </r>
  <r>
    <x v="1"/>
    <x v="31"/>
    <x v="100"/>
    <x v="65"/>
    <n v="274659"/>
    <n v="-3603"/>
    <n v="2860"/>
    <x v="97"/>
    <n v="4029"/>
  </r>
  <r>
    <x v="1"/>
    <x v="32"/>
    <x v="101"/>
    <x v="66"/>
    <n v="272566"/>
    <n v="-1261"/>
    <n v="-5666"/>
    <x v="98"/>
    <n v="7477"/>
  </r>
  <r>
    <x v="1"/>
    <x v="33"/>
    <x v="102"/>
    <x v="33"/>
    <n v="280232"/>
    <s v="n.a."/>
    <s v="n.a."/>
    <x v="99"/>
    <n v="1537"/>
  </r>
  <r>
    <x v="1"/>
    <x v="34"/>
    <x v="103"/>
    <x v="33"/>
    <n v="301885"/>
    <s v="n.a."/>
    <s v="n.a."/>
    <x v="100"/>
    <n v="5141"/>
  </r>
  <r>
    <x v="1"/>
    <x v="35"/>
    <x v="104"/>
    <x v="33"/>
    <n v="290220"/>
    <s v="n.a."/>
    <s v="n.a."/>
    <x v="101"/>
    <n v="-3137"/>
  </r>
  <r>
    <x v="1"/>
    <x v="36"/>
    <x v="105"/>
    <x v="33"/>
    <n v="279930"/>
    <s v="n.a."/>
    <s v="n.a."/>
    <x v="102"/>
    <n v="1585"/>
  </r>
  <r>
    <x v="1"/>
    <x v="37"/>
    <x v="106"/>
    <x v="33"/>
    <n v="279303"/>
    <s v="n.a."/>
    <s v="n.a."/>
    <x v="103"/>
    <n v="-530"/>
  </r>
  <r>
    <x v="1"/>
    <x v="38"/>
    <x v="107"/>
    <x v="33"/>
    <n v="241570"/>
    <s v="n.a."/>
    <s v="n.a."/>
    <x v="104"/>
    <n v="4712"/>
  </r>
  <r>
    <x v="1"/>
    <x v="39"/>
    <x v="108"/>
    <x v="33"/>
    <n v="243890"/>
    <s v="n.a."/>
    <s v="n.a."/>
    <x v="105"/>
    <n v="465"/>
  </r>
  <r>
    <x v="1"/>
    <x v="40"/>
    <x v="109"/>
    <x v="33"/>
    <n v="232430"/>
    <s v="n.a."/>
    <s v="n.a."/>
    <x v="106"/>
    <n v="2297"/>
  </r>
  <r>
    <x v="1"/>
    <x v="41"/>
    <x v="110"/>
    <x v="33"/>
    <n v="229459"/>
    <s v="n.a."/>
    <s v="n.a."/>
    <x v="107"/>
    <n v="-145"/>
  </r>
  <r>
    <x v="1"/>
    <x v="42"/>
    <x v="111"/>
    <x v="33"/>
    <n v="216722"/>
    <s v="n.a."/>
    <s v="n.a."/>
    <x v="108"/>
    <n v="-1926"/>
  </r>
  <r>
    <x v="1"/>
    <x v="43"/>
    <x v="112"/>
    <x v="33"/>
    <n v="223655"/>
    <s v="n.a."/>
    <s v="n.a."/>
    <x v="109"/>
    <n v="2603"/>
  </r>
  <r>
    <x v="1"/>
    <x v="44"/>
    <x v="113"/>
    <x v="33"/>
    <n v="220154"/>
    <s v="n.a."/>
    <s v="n.a."/>
    <x v="110"/>
    <n v="-5385"/>
  </r>
  <r>
    <x v="1"/>
    <x v="45"/>
    <x v="114"/>
    <x v="33"/>
    <n v="199372"/>
    <s v="n.a."/>
    <s v="n.a."/>
    <x v="111"/>
    <n v="2314"/>
  </r>
  <r>
    <x v="1"/>
    <x v="46"/>
    <x v="115"/>
    <x v="33"/>
    <n v="230336"/>
    <s v="n.a."/>
    <s v="n.a."/>
    <x v="112"/>
    <n v="8001"/>
  </r>
  <r>
    <x v="1"/>
    <x v="47"/>
    <x v="116"/>
    <x v="33"/>
    <n v="191585"/>
    <s v="n.a."/>
    <s v="n.a."/>
    <x v="113"/>
    <n v="-1892"/>
  </r>
  <r>
    <x v="1"/>
    <x v="48"/>
    <x v="117"/>
    <x v="33"/>
    <n v="190581"/>
    <s v="n.a."/>
    <s v="n.a."/>
    <x v="114"/>
    <n v="-154"/>
  </r>
  <r>
    <x v="1"/>
    <x v="49"/>
    <x v="118"/>
    <x v="33"/>
    <n v="185516"/>
    <s v="n.a."/>
    <s v="n.a."/>
    <x v="115"/>
    <n v="2827"/>
  </r>
  <r>
    <x v="1"/>
    <x v="50"/>
    <x v="119"/>
    <x v="33"/>
    <n v="195213"/>
    <s v="n.a."/>
    <s v="n.a."/>
    <x v="116"/>
    <n v="1350"/>
  </r>
  <r>
    <x v="1"/>
    <x v="51"/>
    <x v="120"/>
    <x v="33"/>
    <n v="189289"/>
    <s v="n.a."/>
    <s v="n.a."/>
    <x v="117"/>
    <n v="-359"/>
  </r>
  <r>
    <x v="1"/>
    <x v="52"/>
    <x v="121"/>
    <x v="33"/>
    <n v="196965"/>
    <s v="n.a."/>
    <s v="n.a."/>
    <x v="118"/>
    <n v="-1488"/>
  </r>
  <r>
    <x v="1"/>
    <x v="53"/>
    <x v="122"/>
    <x v="33"/>
    <n v="203426"/>
    <s v="n.a."/>
    <s v="n.a."/>
    <x v="119"/>
    <n v="2517"/>
  </r>
  <r>
    <x v="1"/>
    <x v="54"/>
    <x v="123"/>
    <x v="33"/>
    <n v="204320"/>
    <s v="n.a."/>
    <s v="n.a."/>
    <x v="120"/>
    <n v="-3108"/>
  </r>
  <r>
    <x v="1"/>
    <x v="55"/>
    <x v="124"/>
    <x v="33"/>
    <n v="202223"/>
    <s v="n.a."/>
    <s v="n.a."/>
    <x v="121"/>
    <n v="-789"/>
  </r>
  <r>
    <x v="1"/>
    <x v="56"/>
    <x v="125"/>
    <x v="33"/>
    <n v="202319"/>
    <s v="n.a."/>
    <s v="n.a."/>
    <x v="122"/>
    <n v="-5898"/>
  </r>
  <r>
    <x v="1"/>
    <x v="57"/>
    <x v="126"/>
    <x v="33"/>
    <n v="207898"/>
    <s v="n.a."/>
    <s v="n.a."/>
    <x v="123"/>
    <n v="-7878"/>
  </r>
  <r>
    <x v="1"/>
    <x v="58"/>
    <x v="127"/>
    <x v="33"/>
    <n v="205293"/>
    <s v="n.a."/>
    <s v="n.a."/>
    <x v="124"/>
    <n v="6651"/>
  </r>
  <r>
    <x v="1"/>
    <x v="59"/>
    <x v="128"/>
    <x v="33"/>
    <n v="198999"/>
    <s v="n.a."/>
    <s v="n.a."/>
    <x v="125"/>
    <n v="4790"/>
  </r>
  <r>
    <x v="1"/>
    <x v="60"/>
    <x v="129"/>
    <x v="33"/>
    <n v="202787"/>
    <s v="n.a."/>
    <s v="n.a."/>
    <x v="126"/>
    <n v="-6979"/>
  </r>
  <r>
    <x v="1"/>
    <x v="61"/>
    <x v="130"/>
    <x v="33"/>
    <n v="174373"/>
    <s v="n.a."/>
    <s v="n.a."/>
    <x v="127"/>
    <n v="601"/>
  </r>
  <r>
    <x v="1"/>
    <x v="62"/>
    <x v="131"/>
    <x v="33"/>
    <n v="171827"/>
    <s v="n.a."/>
    <s v="n.a."/>
    <x v="128"/>
    <n v="1042"/>
  </r>
  <r>
    <x v="1"/>
    <x v="63"/>
    <x v="132"/>
    <x v="33"/>
    <n v="169771"/>
    <s v="n.a."/>
    <s v="n.a."/>
    <x v="129"/>
    <n v="-1103"/>
  </r>
  <r>
    <x v="1"/>
    <x v="64"/>
    <x v="133"/>
    <x v="33"/>
    <n v="175650"/>
    <s v="n.a."/>
    <s v="n.a."/>
    <x v="130"/>
    <n v="7196"/>
  </r>
  <r>
    <x v="1"/>
    <x v="65"/>
    <x v="134"/>
    <x v="33"/>
    <n v="176128"/>
    <s v="n.a."/>
    <s v="n.a."/>
    <x v="131"/>
    <n v="996"/>
  </r>
  <r>
    <x v="1"/>
    <x v="66"/>
    <x v="135"/>
    <x v="33"/>
    <n v="175203"/>
    <s v="n.a."/>
    <s v="n.a."/>
    <x v="132"/>
    <n v="9246"/>
  </r>
  <r>
    <x v="1"/>
    <x v="67"/>
    <x v="136"/>
    <x v="33"/>
    <n v="180372"/>
    <s v="n.a."/>
    <s v="n.a."/>
    <x v="133"/>
    <n v="2030"/>
  </r>
  <r>
    <x v="1"/>
    <x v="68"/>
    <x v="137"/>
    <x v="33"/>
    <n v="194332"/>
    <s v="n.a."/>
    <s v="n.a."/>
    <x v="134"/>
    <n v="1747"/>
  </r>
  <r>
    <x v="1"/>
    <x v="69"/>
    <x v="138"/>
    <x v="33"/>
    <n v="184587"/>
    <s v="n.a."/>
    <s v="n.a."/>
    <x v="135"/>
    <n v="733"/>
  </r>
  <r>
    <x v="2"/>
    <x v="0"/>
    <x v="139"/>
    <x v="67"/>
    <n v="475"/>
    <n v="265"/>
    <n v="0"/>
    <x v="136"/>
    <n v="29"/>
  </r>
  <r>
    <x v="2"/>
    <x v="1"/>
    <x v="140"/>
    <x v="68"/>
    <n v="425"/>
    <n v="-24"/>
    <n v="-16"/>
    <x v="137"/>
    <n v="-62"/>
  </r>
  <r>
    <x v="2"/>
    <x v="2"/>
    <x v="139"/>
    <x v="69"/>
    <n v="443"/>
    <n v="363"/>
    <n v="2"/>
    <x v="138"/>
    <n v="9"/>
  </r>
  <r>
    <x v="2"/>
    <x v="3"/>
    <x v="141"/>
    <x v="70"/>
    <n v="430"/>
    <n v="20"/>
    <n v="-1"/>
    <x v="139"/>
    <n v="-29"/>
  </r>
  <r>
    <x v="2"/>
    <x v="4"/>
    <x v="142"/>
    <x v="71"/>
    <n v="426"/>
    <n v="35"/>
    <n v="1"/>
    <x v="140"/>
    <n v="-10"/>
  </r>
  <r>
    <x v="2"/>
    <x v="5"/>
    <x v="143"/>
    <x v="72"/>
    <n v="440"/>
    <n v="-6"/>
    <n v="4"/>
    <x v="141"/>
    <n v="122"/>
  </r>
  <r>
    <x v="2"/>
    <x v="6"/>
    <x v="144"/>
    <x v="73"/>
    <n v="429"/>
    <n v="-27"/>
    <n v="0"/>
    <x v="142"/>
    <n v="-70"/>
  </r>
  <r>
    <x v="2"/>
    <x v="7"/>
    <x v="145"/>
    <x v="74"/>
    <n v="422"/>
    <n v="-9"/>
    <n v="2"/>
    <x v="143"/>
    <n v="113"/>
  </r>
  <r>
    <x v="2"/>
    <x v="8"/>
    <x v="146"/>
    <x v="75"/>
    <n v="423"/>
    <n v="-1"/>
    <n v="3"/>
    <x v="144"/>
    <n v="-9"/>
  </r>
  <r>
    <x v="2"/>
    <x v="9"/>
    <x v="147"/>
    <x v="76"/>
    <n v="429"/>
    <n v="-36"/>
    <n v="1"/>
    <x v="145"/>
    <n v="-35"/>
  </r>
  <r>
    <x v="2"/>
    <x v="10"/>
    <x v="148"/>
    <x v="77"/>
    <n v="459"/>
    <n v="11"/>
    <n v="-12"/>
    <x v="146"/>
    <n v="12"/>
  </r>
  <r>
    <x v="2"/>
    <x v="11"/>
    <x v="149"/>
    <x v="78"/>
    <n v="459"/>
    <n v="27"/>
    <n v="1"/>
    <x v="147"/>
    <n v="-54"/>
  </r>
  <r>
    <x v="2"/>
    <x v="12"/>
    <x v="150"/>
    <x v="79"/>
    <n v="430"/>
    <n v="15"/>
    <n v="-5"/>
    <x v="148"/>
    <n v="-109"/>
  </r>
  <r>
    <x v="2"/>
    <x v="13"/>
    <x v="151"/>
    <x v="80"/>
    <n v="423"/>
    <n v="1"/>
    <n v="1"/>
    <x v="149"/>
    <n v="100"/>
  </r>
  <r>
    <x v="2"/>
    <x v="14"/>
    <x v="152"/>
    <x v="81"/>
    <n v="423"/>
    <n v="96"/>
    <n v="0"/>
    <x v="150"/>
    <n v="-77"/>
  </r>
  <r>
    <x v="2"/>
    <x v="15"/>
    <x v="153"/>
    <x v="82"/>
    <n v="301"/>
    <n v="13"/>
    <n v="4"/>
    <x v="151"/>
    <n v="24"/>
  </r>
  <r>
    <x v="2"/>
    <x v="16"/>
    <x v="144"/>
    <x v="83"/>
    <n v="323"/>
    <n v="18"/>
    <n v="1"/>
    <x v="152"/>
    <n v="90"/>
  </r>
  <r>
    <x v="2"/>
    <x v="17"/>
    <x v="154"/>
    <x v="84"/>
    <n v="327"/>
    <n v="12"/>
    <n v="3"/>
    <x v="153"/>
    <n v="-4"/>
  </r>
  <r>
    <x v="2"/>
    <x v="18"/>
    <x v="155"/>
    <x v="85"/>
    <n v="321"/>
    <n v="27"/>
    <n v="-4"/>
    <x v="154"/>
    <n v="47"/>
  </r>
  <r>
    <x v="2"/>
    <x v="19"/>
    <x v="156"/>
    <x v="86"/>
    <n v="281"/>
    <n v="13"/>
    <n v="2"/>
    <x v="155"/>
    <n v="-26"/>
  </r>
  <r>
    <x v="2"/>
    <x v="20"/>
    <x v="157"/>
    <x v="87"/>
    <n v="263"/>
    <n v="14"/>
    <n v="-2"/>
    <x v="156"/>
    <n v="132"/>
  </r>
  <r>
    <x v="2"/>
    <x v="21"/>
    <x v="158"/>
    <x v="88"/>
    <n v="271"/>
    <n v="-27"/>
    <n v="0"/>
    <x v="157"/>
    <n v="-56"/>
  </r>
  <r>
    <x v="2"/>
    <x v="22"/>
    <x v="159"/>
    <x v="89"/>
    <n v="259"/>
    <n v="28"/>
    <n v="7"/>
    <x v="158"/>
    <n v="44"/>
  </r>
  <r>
    <x v="2"/>
    <x v="23"/>
    <x v="160"/>
    <x v="90"/>
    <n v="173"/>
    <n v="0"/>
    <n v="3"/>
    <x v="159"/>
    <n v="29"/>
  </r>
  <r>
    <x v="2"/>
    <x v="24"/>
    <x v="161"/>
    <x v="91"/>
    <n v="166"/>
    <n v="8"/>
    <n v="0"/>
    <x v="160"/>
    <n v="3"/>
  </r>
  <r>
    <x v="2"/>
    <x v="25"/>
    <x v="162"/>
    <x v="92"/>
    <n v="177"/>
    <n v="12"/>
    <n v="1"/>
    <x v="161"/>
    <n v="-15"/>
  </r>
  <r>
    <x v="2"/>
    <x v="26"/>
    <x v="163"/>
    <x v="93"/>
    <n v="166"/>
    <n v="14"/>
    <n v="0"/>
    <x v="162"/>
    <n v="-1"/>
  </r>
  <r>
    <x v="2"/>
    <x v="27"/>
    <x v="164"/>
    <x v="94"/>
    <n v="159"/>
    <n v="15"/>
    <n v="8"/>
    <x v="163"/>
    <n v="-11"/>
  </r>
  <r>
    <x v="2"/>
    <x v="28"/>
    <x v="165"/>
    <x v="95"/>
    <n v="154"/>
    <n v="4"/>
    <n v="-1"/>
    <x v="164"/>
    <n v="32"/>
  </r>
  <r>
    <x v="2"/>
    <x v="29"/>
    <x v="166"/>
    <x v="96"/>
    <n v="151"/>
    <n v="27"/>
    <n v="3"/>
    <x v="165"/>
    <n v="-10"/>
  </r>
  <r>
    <x v="2"/>
    <x v="30"/>
    <x v="167"/>
    <x v="97"/>
    <n v="143"/>
    <n v="2"/>
    <n v="-1"/>
    <x v="166"/>
    <n v="2"/>
  </r>
  <r>
    <x v="2"/>
    <x v="31"/>
    <x v="168"/>
    <x v="98"/>
    <n v="127"/>
    <n v="-2"/>
    <n v="2"/>
    <x v="167"/>
    <n v="17"/>
  </r>
  <r>
    <x v="2"/>
    <x v="32"/>
    <x v="169"/>
    <x v="99"/>
    <n v="127"/>
    <n v="4"/>
    <n v="0"/>
    <x v="168"/>
    <n v="1"/>
  </r>
  <r>
    <x v="2"/>
    <x v="33"/>
    <x v="170"/>
    <x v="33"/>
    <n v="123"/>
    <s v="n.a."/>
    <s v="n.a."/>
    <x v="169"/>
    <n v="6"/>
  </r>
  <r>
    <x v="2"/>
    <x v="34"/>
    <x v="171"/>
    <x v="33"/>
    <n v="124"/>
    <s v="n.a."/>
    <s v="n.a."/>
    <x v="170"/>
    <n v="-3"/>
  </r>
  <r>
    <x v="2"/>
    <x v="35"/>
    <x v="172"/>
    <x v="33"/>
    <n v="114"/>
    <s v="n.a."/>
    <s v="n.a."/>
    <x v="171"/>
    <n v="3"/>
  </r>
  <r>
    <x v="2"/>
    <x v="36"/>
    <x v="173"/>
    <x v="33"/>
    <n v="114"/>
    <s v="n.a."/>
    <s v="n.a."/>
    <x v="170"/>
    <n v="-3"/>
  </r>
  <r>
    <x v="2"/>
    <x v="37"/>
    <x v="174"/>
    <x v="33"/>
    <n v="117"/>
    <s v="n.a."/>
    <s v="n.a."/>
    <x v="171"/>
    <n v="7"/>
  </r>
  <r>
    <x v="2"/>
    <x v="38"/>
    <x v="175"/>
    <x v="33"/>
    <n v="130"/>
    <s v="n.a."/>
    <s v="n.a."/>
    <x v="172"/>
    <n v="20"/>
  </r>
  <r>
    <x v="2"/>
    <x v="39"/>
    <x v="176"/>
    <x v="33"/>
    <n v="127"/>
    <s v="n.a."/>
    <s v="n.a."/>
    <x v="173"/>
    <n v="9"/>
  </r>
  <r>
    <x v="2"/>
    <x v="40"/>
    <x v="177"/>
    <x v="33"/>
    <n v="134"/>
    <s v="n.a."/>
    <s v="n.a."/>
    <x v="174"/>
    <n v="4"/>
  </r>
  <r>
    <x v="2"/>
    <x v="41"/>
    <x v="178"/>
    <x v="33"/>
    <n v="132"/>
    <s v="n.a."/>
    <s v="n.a."/>
    <x v="175"/>
    <n v="-11"/>
  </r>
  <r>
    <x v="2"/>
    <x v="42"/>
    <x v="179"/>
    <x v="33"/>
    <n v="120"/>
    <s v="n.a."/>
    <s v="n.a."/>
    <x v="176"/>
    <n v="51"/>
  </r>
  <r>
    <x v="2"/>
    <x v="43"/>
    <x v="180"/>
    <x v="33"/>
    <n v="123"/>
    <s v="n.a."/>
    <s v="n.a."/>
    <x v="177"/>
    <n v="58"/>
  </r>
  <r>
    <x v="2"/>
    <x v="44"/>
    <x v="181"/>
    <x v="33"/>
    <n v="117"/>
    <s v="n.a."/>
    <s v="n.a."/>
    <x v="178"/>
    <n v="-15"/>
  </r>
  <r>
    <x v="2"/>
    <x v="45"/>
    <x v="182"/>
    <x v="33"/>
    <n v="99"/>
    <s v="n.a."/>
    <s v="n.a."/>
    <x v="179"/>
    <n v="6"/>
  </r>
  <r>
    <x v="2"/>
    <x v="46"/>
    <x v="183"/>
    <x v="33"/>
    <n v="96"/>
    <s v="n.a."/>
    <s v="n.a."/>
    <x v="180"/>
    <n v="6"/>
  </r>
  <r>
    <x v="2"/>
    <x v="47"/>
    <x v="184"/>
    <x v="33"/>
    <n v="100"/>
    <s v="n.a."/>
    <s v="n.a."/>
    <x v="181"/>
    <n v="-15"/>
  </r>
  <r>
    <x v="2"/>
    <x v="48"/>
    <x v="185"/>
    <x v="33"/>
    <n v="108"/>
    <s v="n.a."/>
    <s v="n.a."/>
    <x v="182"/>
    <n v="-3"/>
  </r>
  <r>
    <x v="2"/>
    <x v="49"/>
    <x v="186"/>
    <x v="33"/>
    <n v="111"/>
    <s v="n.a."/>
    <s v="n.a."/>
    <x v="183"/>
    <n v="5"/>
  </r>
  <r>
    <x v="2"/>
    <x v="50"/>
    <x v="187"/>
    <x v="33"/>
    <n v="113"/>
    <s v="n.a."/>
    <s v="n.a."/>
    <x v="184"/>
    <n v="18"/>
  </r>
  <r>
    <x v="2"/>
    <x v="51"/>
    <x v="181"/>
    <x v="33"/>
    <n v="119"/>
    <s v="n.a."/>
    <s v="n.a."/>
    <x v="185"/>
    <n v="-17"/>
  </r>
  <r>
    <x v="2"/>
    <x v="52"/>
    <x v="188"/>
    <x v="33"/>
    <n v="135"/>
    <s v="n.a."/>
    <s v="n.a."/>
    <x v="179"/>
    <n v="10"/>
  </r>
  <r>
    <x v="2"/>
    <x v="53"/>
    <x v="189"/>
    <x v="33"/>
    <n v="136"/>
    <s v="n.a."/>
    <s v="n.a."/>
    <x v="186"/>
    <n v="-9"/>
  </r>
  <r>
    <x v="2"/>
    <x v="54"/>
    <x v="190"/>
    <x v="33"/>
    <n v="134"/>
    <s v="n.a."/>
    <s v="n.a."/>
    <x v="187"/>
    <n v="-7"/>
  </r>
  <r>
    <x v="2"/>
    <x v="55"/>
    <x v="191"/>
    <x v="33"/>
    <n v="130"/>
    <s v="n.a."/>
    <s v="n.a."/>
    <x v="183"/>
    <n v="-3"/>
  </r>
  <r>
    <x v="2"/>
    <x v="56"/>
    <x v="192"/>
    <x v="33"/>
    <n v="120"/>
    <s v="n.a."/>
    <s v="n.a."/>
    <x v="188"/>
    <n v="1"/>
  </r>
  <r>
    <x v="2"/>
    <x v="57"/>
    <x v="193"/>
    <x v="33"/>
    <n v="112"/>
    <s v="n.a."/>
    <s v="n.a."/>
    <x v="189"/>
    <n v="11"/>
  </r>
  <r>
    <x v="2"/>
    <x v="58"/>
    <x v="194"/>
    <x v="33"/>
    <n v="84"/>
    <s v="n.a."/>
    <s v="n.a."/>
    <x v="190"/>
    <n v="2"/>
  </r>
  <r>
    <x v="2"/>
    <x v="59"/>
    <x v="195"/>
    <x v="33"/>
    <n v="89"/>
    <s v="n.a."/>
    <s v="n.a."/>
    <x v="180"/>
    <n v="0"/>
  </r>
  <r>
    <x v="2"/>
    <x v="60"/>
    <x v="182"/>
    <x v="33"/>
    <n v="107"/>
    <s v="n.a."/>
    <s v="n.a."/>
    <x v="180"/>
    <n v="8"/>
  </r>
  <r>
    <x v="2"/>
    <x v="61"/>
    <x v="196"/>
    <x v="33"/>
    <n v="108"/>
    <s v="n.a."/>
    <s v="n.a."/>
    <x v="178"/>
    <n v="-3"/>
  </r>
  <r>
    <x v="2"/>
    <x v="62"/>
    <x v="196"/>
    <x v="33"/>
    <n v="105"/>
    <s v="n.a."/>
    <s v="n.a."/>
    <x v="191"/>
    <n v="-5"/>
  </r>
  <r>
    <x v="2"/>
    <x v="63"/>
    <x v="197"/>
    <x v="33"/>
    <n v="100"/>
    <s v="n.a."/>
    <s v="n.a."/>
    <x v="180"/>
    <n v="5"/>
  </r>
  <r>
    <x v="2"/>
    <x v="64"/>
    <x v="195"/>
    <x v="33"/>
    <n v="94"/>
    <s v="n.a."/>
    <s v="n.a."/>
    <x v="191"/>
    <n v="5"/>
  </r>
  <r>
    <x v="2"/>
    <x v="65"/>
    <x v="198"/>
    <x v="33"/>
    <n v="113"/>
    <s v="n.a."/>
    <s v="n.a."/>
    <x v="192"/>
    <n v="-99"/>
  </r>
  <r>
    <x v="2"/>
    <x v="66"/>
    <x v="199"/>
    <x v="33"/>
    <n v="109"/>
    <s v="n.a."/>
    <s v="n.a."/>
    <x v="193"/>
    <n v="2"/>
  </r>
  <r>
    <x v="2"/>
    <x v="67"/>
    <x v="200"/>
    <x v="33"/>
    <n v="107"/>
    <s v="n.a."/>
    <s v="n.a."/>
    <x v="194"/>
    <n v="61"/>
  </r>
  <r>
    <x v="2"/>
    <x v="68"/>
    <x v="201"/>
    <x v="33"/>
    <n v="126"/>
    <s v="n.a."/>
    <s v="n.a."/>
    <x v="195"/>
    <n v="4"/>
  </r>
  <r>
    <x v="2"/>
    <x v="69"/>
    <x v="202"/>
    <x v="33"/>
    <n v="120"/>
    <s v="n.a."/>
    <s v="n.a."/>
    <x v="196"/>
    <n v="19"/>
  </r>
  <r>
    <x v="3"/>
    <x v="0"/>
    <x v="203"/>
    <x v="100"/>
    <n v="7827"/>
    <n v="-361"/>
    <n v="57"/>
    <x v="197"/>
    <n v="-72"/>
  </r>
  <r>
    <x v="3"/>
    <x v="1"/>
    <x v="204"/>
    <x v="101"/>
    <n v="8544"/>
    <n v="346"/>
    <n v="26"/>
    <x v="198"/>
    <n v="91"/>
  </r>
  <r>
    <x v="3"/>
    <x v="2"/>
    <x v="205"/>
    <x v="102"/>
    <n v="8549"/>
    <n v="-378"/>
    <n v="71"/>
    <x v="199"/>
    <n v="-140"/>
  </r>
  <r>
    <x v="3"/>
    <x v="3"/>
    <x v="206"/>
    <x v="103"/>
    <n v="8848"/>
    <n v="210"/>
    <n v="-37"/>
    <x v="200"/>
    <n v="-698"/>
  </r>
  <r>
    <x v="3"/>
    <x v="4"/>
    <x v="207"/>
    <x v="104"/>
    <n v="8854"/>
    <n v="-758"/>
    <n v="84"/>
    <x v="201"/>
    <n v="85"/>
  </r>
  <r>
    <x v="3"/>
    <x v="5"/>
    <x v="208"/>
    <x v="105"/>
    <n v="9609"/>
    <n v="-1083"/>
    <n v="-51"/>
    <x v="202"/>
    <n v="-458"/>
  </r>
  <r>
    <x v="3"/>
    <x v="6"/>
    <x v="209"/>
    <x v="106"/>
    <n v="10770"/>
    <n v="-283"/>
    <n v="54"/>
    <x v="203"/>
    <n v="-161"/>
  </r>
  <r>
    <x v="3"/>
    <x v="7"/>
    <x v="210"/>
    <x v="107"/>
    <n v="10906"/>
    <n v="310"/>
    <n v="67"/>
    <x v="204"/>
    <n v="1392"/>
  </r>
  <r>
    <x v="3"/>
    <x v="8"/>
    <x v="211"/>
    <x v="108"/>
    <n v="10386"/>
    <n v="465"/>
    <n v="110"/>
    <x v="205"/>
    <n v="-1434"/>
  </r>
  <r>
    <x v="3"/>
    <x v="9"/>
    <x v="212"/>
    <x v="109"/>
    <n v="9954"/>
    <n v="-530"/>
    <n v="-140"/>
    <x v="206"/>
    <n v="-157"/>
  </r>
  <r>
    <x v="3"/>
    <x v="10"/>
    <x v="213"/>
    <x v="110"/>
    <n v="10727"/>
    <n v="390"/>
    <n v="-21"/>
    <x v="207"/>
    <n v="851"/>
  </r>
  <r>
    <x v="3"/>
    <x v="11"/>
    <x v="214"/>
    <x v="111"/>
    <n v="10483"/>
    <n v="-143"/>
    <n v="-334"/>
    <x v="208"/>
    <n v="267"/>
  </r>
  <r>
    <x v="3"/>
    <x v="12"/>
    <x v="215"/>
    <x v="112"/>
    <n v="10828"/>
    <n v="121"/>
    <n v="87"/>
    <x v="209"/>
    <n v="-236"/>
  </r>
  <r>
    <x v="3"/>
    <x v="13"/>
    <x v="216"/>
    <x v="113"/>
    <n v="10891"/>
    <n v="398"/>
    <n v="-31"/>
    <x v="210"/>
    <n v="-598"/>
  </r>
  <r>
    <x v="3"/>
    <x v="14"/>
    <x v="217"/>
    <x v="114"/>
    <n v="10533"/>
    <n v="97"/>
    <n v="-6"/>
    <x v="211"/>
    <n v="-741"/>
  </r>
  <r>
    <x v="3"/>
    <x v="15"/>
    <x v="218"/>
    <x v="115"/>
    <n v="10370"/>
    <n v="214"/>
    <n v="391"/>
    <x v="212"/>
    <n v="120"/>
  </r>
  <r>
    <x v="3"/>
    <x v="16"/>
    <x v="219"/>
    <x v="116"/>
    <n v="9706"/>
    <n v="-343"/>
    <n v="225"/>
    <x v="213"/>
    <n v="-410"/>
  </r>
  <r>
    <x v="3"/>
    <x v="17"/>
    <x v="220"/>
    <x v="117"/>
    <n v="9948"/>
    <n v="-640"/>
    <n v="-162"/>
    <x v="214"/>
    <n v="502"/>
  </r>
  <r>
    <x v="3"/>
    <x v="18"/>
    <x v="221"/>
    <x v="118"/>
    <n v="10883"/>
    <n v="-448"/>
    <n v="-132"/>
    <x v="215"/>
    <n v="791"/>
  </r>
  <r>
    <x v="3"/>
    <x v="19"/>
    <x v="222"/>
    <x v="119"/>
    <n v="11493"/>
    <n v="1182"/>
    <n v="-78"/>
    <x v="216"/>
    <n v="801"/>
  </r>
  <r>
    <x v="3"/>
    <x v="20"/>
    <x v="223"/>
    <x v="120"/>
    <n v="10476"/>
    <n v="65"/>
    <n v="-201"/>
    <x v="217"/>
    <n v="546"/>
  </r>
  <r>
    <x v="3"/>
    <x v="21"/>
    <x v="224"/>
    <x v="121"/>
    <n v="10690"/>
    <n v="-541"/>
    <n v="-374"/>
    <x v="218"/>
    <n v="-310"/>
  </r>
  <r>
    <x v="3"/>
    <x v="22"/>
    <x v="225"/>
    <x v="122"/>
    <n v="11716"/>
    <n v="563"/>
    <n v="277"/>
    <x v="219"/>
    <n v="345"/>
  </r>
  <r>
    <x v="3"/>
    <x v="23"/>
    <x v="226"/>
    <x v="123"/>
    <n v="11244"/>
    <n v="-307"/>
    <n v="460"/>
    <x v="220"/>
    <n v="37"/>
  </r>
  <r>
    <x v="3"/>
    <x v="24"/>
    <x v="227"/>
    <x v="124"/>
    <n v="11220"/>
    <n v="819"/>
    <n v="-433"/>
    <x v="58"/>
    <n v="-194"/>
  </r>
  <r>
    <x v="3"/>
    <x v="25"/>
    <x v="228"/>
    <x v="125"/>
    <n v="11328"/>
    <n v="-249"/>
    <n v="-227"/>
    <x v="221"/>
    <n v="-725"/>
  </r>
  <r>
    <x v="3"/>
    <x v="26"/>
    <x v="229"/>
    <x v="126"/>
    <n v="11959"/>
    <n v="8"/>
    <n v="-20"/>
    <x v="222"/>
    <n v="-459"/>
  </r>
  <r>
    <x v="3"/>
    <x v="27"/>
    <x v="230"/>
    <x v="127"/>
    <n v="11839"/>
    <n v="-115"/>
    <n v="234"/>
    <x v="223"/>
    <n v="-105"/>
  </r>
  <r>
    <x v="3"/>
    <x v="28"/>
    <x v="231"/>
    <x v="128"/>
    <n v="11578"/>
    <n v="143"/>
    <n v="-176"/>
    <x v="224"/>
    <n v="121"/>
  </r>
  <r>
    <x v="3"/>
    <x v="29"/>
    <x v="232"/>
    <x v="129"/>
    <n v="11705"/>
    <n v="51"/>
    <n v="-104"/>
    <x v="225"/>
    <n v="-266"/>
  </r>
  <r>
    <x v="3"/>
    <x v="30"/>
    <x v="233"/>
    <x v="130"/>
    <n v="12106"/>
    <n v="463"/>
    <n v="-68"/>
    <x v="226"/>
    <n v="-113"/>
  </r>
  <r>
    <x v="3"/>
    <x v="31"/>
    <x v="234"/>
    <x v="131"/>
    <n v="11535"/>
    <n v="69"/>
    <n v="116"/>
    <x v="227"/>
    <n v="1294"/>
  </r>
  <r>
    <x v="3"/>
    <x v="32"/>
    <x v="235"/>
    <x v="132"/>
    <n v="11271"/>
    <n v="-265"/>
    <n v="191"/>
    <x v="228"/>
    <n v="-7"/>
  </r>
  <r>
    <x v="3"/>
    <x v="33"/>
    <x v="236"/>
    <x v="33"/>
    <n v="11655"/>
    <s v="n.a."/>
    <s v="n.a."/>
    <x v="229"/>
    <n v="-31"/>
  </r>
  <r>
    <x v="3"/>
    <x v="34"/>
    <x v="237"/>
    <x v="33"/>
    <n v="10901"/>
    <s v="n.a."/>
    <s v="n.a."/>
    <x v="198"/>
    <n v="-126"/>
  </r>
  <r>
    <x v="3"/>
    <x v="35"/>
    <x v="238"/>
    <x v="33"/>
    <n v="10946"/>
    <s v="n.a."/>
    <s v="n.a."/>
    <x v="230"/>
    <n v="465"/>
  </r>
  <r>
    <x v="3"/>
    <x v="36"/>
    <x v="239"/>
    <x v="33"/>
    <n v="10266"/>
    <s v="n.a."/>
    <s v="n.a."/>
    <x v="231"/>
    <n v="-30"/>
  </r>
  <r>
    <x v="3"/>
    <x v="37"/>
    <x v="240"/>
    <x v="33"/>
    <n v="12952"/>
    <s v="n.a."/>
    <s v="n.a."/>
    <x v="232"/>
    <n v="251"/>
  </r>
  <r>
    <x v="3"/>
    <x v="38"/>
    <x v="241"/>
    <x v="33"/>
    <n v="13172"/>
    <s v="n.a."/>
    <s v="n.a."/>
    <x v="233"/>
    <n v="94"/>
  </r>
  <r>
    <x v="3"/>
    <x v="39"/>
    <x v="242"/>
    <x v="33"/>
    <n v="14074"/>
    <s v="n.a."/>
    <s v="n.a."/>
    <x v="234"/>
    <n v="20"/>
  </r>
  <r>
    <x v="3"/>
    <x v="40"/>
    <x v="243"/>
    <x v="33"/>
    <n v="13964"/>
    <s v="n.a."/>
    <s v="n.a."/>
    <x v="235"/>
    <n v="-83"/>
  </r>
  <r>
    <x v="3"/>
    <x v="41"/>
    <x v="244"/>
    <x v="33"/>
    <n v="13625"/>
    <s v="n.a."/>
    <s v="n.a."/>
    <x v="236"/>
    <n v="95"/>
  </r>
  <r>
    <x v="3"/>
    <x v="42"/>
    <x v="245"/>
    <x v="33"/>
    <n v="14988"/>
    <s v="n.a."/>
    <s v="n.a."/>
    <x v="237"/>
    <n v="-225"/>
  </r>
  <r>
    <x v="3"/>
    <x v="43"/>
    <x v="246"/>
    <x v="33"/>
    <n v="13541"/>
    <s v="n.a."/>
    <s v="n.a."/>
    <x v="238"/>
    <n v="217"/>
  </r>
  <r>
    <x v="3"/>
    <x v="44"/>
    <x v="247"/>
    <x v="33"/>
    <n v="13832"/>
    <s v="n.a."/>
    <s v="n.a."/>
    <x v="239"/>
    <n v="15"/>
  </r>
  <r>
    <x v="3"/>
    <x v="45"/>
    <x v="248"/>
    <x v="33"/>
    <n v="14308"/>
    <s v="n.a."/>
    <s v="n.a."/>
    <x v="240"/>
    <n v="109"/>
  </r>
  <r>
    <x v="3"/>
    <x v="46"/>
    <x v="249"/>
    <x v="33"/>
    <n v="14164"/>
    <s v="n.a."/>
    <s v="n.a."/>
    <x v="241"/>
    <n v="164"/>
  </r>
  <r>
    <x v="3"/>
    <x v="47"/>
    <x v="250"/>
    <x v="33"/>
    <n v="14482"/>
    <s v="n.a."/>
    <s v="n.a."/>
    <x v="242"/>
    <n v="-102"/>
  </r>
  <r>
    <x v="3"/>
    <x v="48"/>
    <x v="251"/>
    <x v="33"/>
    <n v="14632"/>
    <s v="n.a."/>
    <s v="n.a."/>
    <x v="243"/>
    <n v="95"/>
  </r>
  <r>
    <x v="3"/>
    <x v="49"/>
    <x v="252"/>
    <x v="33"/>
    <n v="14850"/>
    <s v="n.a."/>
    <s v="n.a."/>
    <x v="244"/>
    <n v="-152"/>
  </r>
  <r>
    <x v="3"/>
    <x v="50"/>
    <x v="253"/>
    <x v="33"/>
    <n v="14947"/>
    <s v="n.a."/>
    <s v="n.a."/>
    <x v="245"/>
    <n v="70"/>
  </r>
  <r>
    <x v="3"/>
    <x v="51"/>
    <x v="254"/>
    <x v="33"/>
    <n v="16761"/>
    <s v="n.a."/>
    <s v="n.a."/>
    <x v="246"/>
    <n v="-91"/>
  </r>
  <r>
    <x v="3"/>
    <x v="52"/>
    <x v="255"/>
    <x v="33"/>
    <n v="16897"/>
    <s v="n.a."/>
    <s v="n.a."/>
    <x v="247"/>
    <n v="105"/>
  </r>
  <r>
    <x v="3"/>
    <x v="53"/>
    <x v="256"/>
    <x v="33"/>
    <n v="16851"/>
    <s v="n.a."/>
    <s v="n.a."/>
    <x v="248"/>
    <n v="-181"/>
  </r>
  <r>
    <x v="3"/>
    <x v="54"/>
    <x v="257"/>
    <x v="33"/>
    <n v="15890"/>
    <s v="n.a."/>
    <s v="n.a."/>
    <x v="249"/>
    <n v="-455"/>
  </r>
  <r>
    <x v="3"/>
    <x v="55"/>
    <x v="258"/>
    <x v="33"/>
    <n v="15735"/>
    <s v="n.a."/>
    <s v="n.a."/>
    <x v="250"/>
    <n v="82"/>
  </r>
  <r>
    <x v="3"/>
    <x v="56"/>
    <x v="259"/>
    <x v="33"/>
    <n v="16766"/>
    <s v="n.a."/>
    <s v="n.a."/>
    <x v="251"/>
    <n v="-77"/>
  </r>
  <r>
    <x v="3"/>
    <x v="57"/>
    <x v="260"/>
    <x v="33"/>
    <n v="16709"/>
    <s v="n.a."/>
    <s v="n.a."/>
    <x v="252"/>
    <n v="-22"/>
  </r>
  <r>
    <x v="3"/>
    <x v="58"/>
    <x v="261"/>
    <x v="33"/>
    <n v="15681"/>
    <s v="n.a."/>
    <s v="n.a."/>
    <x v="253"/>
    <n v="-191"/>
  </r>
  <r>
    <x v="3"/>
    <x v="59"/>
    <x v="262"/>
    <x v="33"/>
    <n v="15519"/>
    <s v="n.a."/>
    <s v="n.a."/>
    <x v="254"/>
    <n v="-764"/>
  </r>
  <r>
    <x v="3"/>
    <x v="60"/>
    <x v="263"/>
    <x v="33"/>
    <n v="15645"/>
    <s v="n.a."/>
    <s v="n.a."/>
    <x v="255"/>
    <n v="-1078"/>
  </r>
  <r>
    <x v="3"/>
    <x v="61"/>
    <x v="264"/>
    <x v="33"/>
    <n v="14282"/>
    <s v="n.a."/>
    <s v="n.a."/>
    <x v="256"/>
    <n v="-428"/>
  </r>
  <r>
    <x v="3"/>
    <x v="62"/>
    <x v="265"/>
    <x v="33"/>
    <n v="13884"/>
    <s v="n.a."/>
    <s v="n.a."/>
    <x v="257"/>
    <n v="-351"/>
  </r>
  <r>
    <x v="3"/>
    <x v="63"/>
    <x v="266"/>
    <x v="33"/>
    <n v="15148"/>
    <s v="n.a."/>
    <s v="n.a."/>
    <x v="258"/>
    <n v="421"/>
  </r>
  <r>
    <x v="3"/>
    <x v="64"/>
    <x v="267"/>
    <x v="33"/>
    <n v="14046"/>
    <s v="n.a."/>
    <s v="n.a."/>
    <x v="259"/>
    <n v="2072"/>
  </r>
  <r>
    <x v="3"/>
    <x v="65"/>
    <x v="268"/>
    <x v="33"/>
    <n v="13666"/>
    <s v="n.a."/>
    <s v="n.a."/>
    <x v="260"/>
    <n v="139"/>
  </r>
  <r>
    <x v="3"/>
    <x v="66"/>
    <x v="269"/>
    <x v="33"/>
    <n v="14634"/>
    <s v="n.a."/>
    <s v="n.a."/>
    <x v="261"/>
    <n v="244"/>
  </r>
  <r>
    <x v="3"/>
    <x v="67"/>
    <x v="270"/>
    <x v="33"/>
    <n v="15691"/>
    <s v="n.a."/>
    <s v="n.a."/>
    <x v="262"/>
    <n v="500"/>
  </r>
  <r>
    <x v="3"/>
    <x v="68"/>
    <x v="271"/>
    <x v="33"/>
    <n v="18043"/>
    <s v="n.a."/>
    <s v="n.a."/>
    <x v="241"/>
    <n v="22"/>
  </r>
  <r>
    <x v="3"/>
    <x v="69"/>
    <x v="272"/>
    <x v="33"/>
    <n v="18079"/>
    <s v="n.a."/>
    <s v="n.a."/>
    <x v="263"/>
    <n v="78"/>
  </r>
  <r>
    <x v="4"/>
    <x v="0"/>
    <x v="273"/>
    <x v="90"/>
    <n v="9535"/>
    <n v="-125"/>
    <n v="-36"/>
    <x v="264"/>
    <n v="155"/>
  </r>
  <r>
    <x v="4"/>
    <x v="1"/>
    <x v="274"/>
    <x v="133"/>
    <n v="9880"/>
    <n v="-199"/>
    <n v="45"/>
    <x v="265"/>
    <n v="-36"/>
  </r>
  <r>
    <x v="4"/>
    <x v="2"/>
    <x v="275"/>
    <x v="134"/>
    <n v="10035"/>
    <n v="826"/>
    <n v="69"/>
    <x v="266"/>
    <n v="-136"/>
  </r>
  <r>
    <x v="4"/>
    <x v="3"/>
    <x v="276"/>
    <x v="135"/>
    <n v="9147"/>
    <n v="115"/>
    <n v="-51"/>
    <x v="267"/>
    <n v="17"/>
  </r>
  <r>
    <x v="4"/>
    <x v="4"/>
    <x v="277"/>
    <x v="18"/>
    <n v="9102"/>
    <n v="179"/>
    <n v="72"/>
    <x v="264"/>
    <n v="18"/>
  </r>
  <r>
    <x v="4"/>
    <x v="5"/>
    <x v="278"/>
    <x v="136"/>
    <n v="8857"/>
    <n v="-144"/>
    <n v="-120"/>
    <x v="268"/>
    <n v="-24"/>
  </r>
  <r>
    <x v="4"/>
    <x v="6"/>
    <x v="279"/>
    <x v="137"/>
    <n v="9133"/>
    <n v="174"/>
    <n v="52"/>
    <x v="136"/>
    <n v="115"/>
  </r>
  <r>
    <x v="4"/>
    <x v="7"/>
    <x v="280"/>
    <x v="138"/>
    <n v="8886"/>
    <n v="499"/>
    <n v="106"/>
    <x v="269"/>
    <n v="20"/>
  </r>
  <r>
    <x v="4"/>
    <x v="8"/>
    <x v="281"/>
    <x v="139"/>
    <n v="8280"/>
    <n v="354"/>
    <n v="80"/>
    <x v="270"/>
    <n v="37"/>
  </r>
  <r>
    <x v="4"/>
    <x v="9"/>
    <x v="282"/>
    <x v="140"/>
    <n v="7836"/>
    <n v="1164"/>
    <n v="16"/>
    <x v="271"/>
    <n v="-6"/>
  </r>
  <r>
    <x v="4"/>
    <x v="10"/>
    <x v="283"/>
    <x v="141"/>
    <n v="6713"/>
    <n v="-17"/>
    <n v="-92"/>
    <x v="272"/>
    <n v="-50"/>
  </r>
  <r>
    <x v="4"/>
    <x v="11"/>
    <x v="284"/>
    <x v="142"/>
    <n v="6871"/>
    <n v="259"/>
    <n v="-120"/>
    <x v="273"/>
    <n v="-45"/>
  </r>
  <r>
    <x v="4"/>
    <x v="12"/>
    <x v="285"/>
    <x v="143"/>
    <n v="6737"/>
    <n v="86"/>
    <n v="-173"/>
    <x v="274"/>
    <n v="1"/>
  </r>
  <r>
    <x v="4"/>
    <x v="13"/>
    <x v="286"/>
    <x v="144"/>
    <n v="6824"/>
    <n v="89"/>
    <n v="59"/>
    <x v="274"/>
    <n v="76"/>
  </r>
  <r>
    <x v="4"/>
    <x v="14"/>
    <x v="287"/>
    <x v="145"/>
    <n v="6608"/>
    <n v="33"/>
    <n v="79"/>
    <x v="275"/>
    <n v="32"/>
  </r>
  <r>
    <x v="4"/>
    <x v="15"/>
    <x v="288"/>
    <x v="146"/>
    <n v="6500"/>
    <n v="137"/>
    <n v="100"/>
    <x v="276"/>
    <n v="-87"/>
  </r>
  <r>
    <x v="4"/>
    <x v="16"/>
    <x v="289"/>
    <x v="147"/>
    <n v="6264"/>
    <n v="-25"/>
    <n v="64"/>
    <x v="277"/>
    <n v="-9"/>
  </r>
  <r>
    <x v="4"/>
    <x v="17"/>
    <x v="290"/>
    <x v="148"/>
    <n v="6250"/>
    <n v="66"/>
    <n v="65"/>
    <x v="278"/>
    <n v="-22"/>
  </r>
  <r>
    <x v="4"/>
    <x v="18"/>
    <x v="291"/>
    <x v="149"/>
    <n v="6098"/>
    <n v="-168"/>
    <n v="-134"/>
    <x v="156"/>
    <n v="21"/>
  </r>
  <r>
    <x v="4"/>
    <x v="19"/>
    <x v="292"/>
    <x v="150"/>
    <n v="6367"/>
    <n v="-162"/>
    <n v="26"/>
    <x v="279"/>
    <n v="-27"/>
  </r>
  <r>
    <x v="4"/>
    <x v="20"/>
    <x v="293"/>
    <x v="151"/>
    <n v="6305"/>
    <n v="-90"/>
    <n v="-89"/>
    <x v="280"/>
    <n v="6"/>
  </r>
  <r>
    <x v="4"/>
    <x v="21"/>
    <x v="294"/>
    <x v="152"/>
    <n v="6593"/>
    <n v="276"/>
    <n v="-21"/>
    <x v="156"/>
    <n v="-94"/>
  </r>
  <r>
    <x v="4"/>
    <x v="22"/>
    <x v="295"/>
    <x v="153"/>
    <n v="6324"/>
    <n v="24"/>
    <n v="144"/>
    <x v="138"/>
    <n v="21"/>
  </r>
  <r>
    <x v="4"/>
    <x v="23"/>
    <x v="296"/>
    <x v="154"/>
    <n v="6264"/>
    <n v="-124"/>
    <n v="141"/>
    <x v="267"/>
    <n v="-433"/>
  </r>
  <r>
    <x v="4"/>
    <x v="24"/>
    <x v="297"/>
    <x v="155"/>
    <n v="6248"/>
    <n v="-17"/>
    <n v="-50"/>
    <x v="281"/>
    <n v="-56"/>
  </r>
  <r>
    <x v="4"/>
    <x v="25"/>
    <x v="298"/>
    <x v="156"/>
    <n v="6279"/>
    <n v="-300"/>
    <n v="25"/>
    <x v="282"/>
    <n v="11"/>
  </r>
  <r>
    <x v="4"/>
    <x v="26"/>
    <x v="299"/>
    <x v="157"/>
    <n v="6643"/>
    <n v="230"/>
    <n v="-57"/>
    <x v="283"/>
    <n v="-124"/>
  </r>
  <r>
    <x v="4"/>
    <x v="27"/>
    <x v="300"/>
    <x v="158"/>
    <n v="6466"/>
    <n v="39"/>
    <n v="-68"/>
    <x v="284"/>
    <n v="357"/>
  </r>
  <r>
    <x v="4"/>
    <x v="28"/>
    <x v="301"/>
    <x v="159"/>
    <n v="6482"/>
    <n v="-63"/>
    <n v="-57"/>
    <x v="285"/>
    <n v="488"/>
  </r>
  <r>
    <x v="4"/>
    <x v="29"/>
    <x v="302"/>
    <x v="160"/>
    <n v="6584"/>
    <n v="33"/>
    <n v="-141"/>
    <x v="171"/>
    <n v="75"/>
  </r>
  <r>
    <x v="4"/>
    <x v="30"/>
    <x v="303"/>
    <x v="161"/>
    <n v="6693"/>
    <n v="250"/>
    <n v="15"/>
    <x v="286"/>
    <n v="-70"/>
  </r>
  <r>
    <x v="4"/>
    <x v="31"/>
    <x v="304"/>
    <x v="162"/>
    <n v="6426"/>
    <n v="104"/>
    <n v="173"/>
    <x v="287"/>
    <n v="-70"/>
  </r>
  <r>
    <x v="4"/>
    <x v="32"/>
    <x v="305"/>
    <x v="163"/>
    <n v="6129"/>
    <n v="265"/>
    <n v="-226"/>
    <x v="288"/>
    <n v="-91"/>
  </r>
  <r>
    <x v="4"/>
    <x v="33"/>
    <x v="306"/>
    <x v="33"/>
    <n v="6108"/>
    <s v="n.a."/>
    <s v="n.a."/>
    <x v="289"/>
    <n v="170"/>
  </r>
  <r>
    <x v="4"/>
    <x v="34"/>
    <x v="307"/>
    <x v="33"/>
    <n v="5626"/>
    <s v="n.a."/>
    <s v="n.a."/>
    <x v="290"/>
    <n v="-124"/>
  </r>
  <r>
    <x v="4"/>
    <x v="35"/>
    <x v="30"/>
    <x v="33"/>
    <n v="5397"/>
    <s v="n.a."/>
    <s v="n.a."/>
    <x v="291"/>
    <n v="22"/>
  </r>
  <r>
    <x v="4"/>
    <x v="36"/>
    <x v="308"/>
    <x v="33"/>
    <n v="5328"/>
    <s v="n.a."/>
    <s v="n.a."/>
    <x v="292"/>
    <n v="37"/>
  </r>
  <r>
    <x v="4"/>
    <x v="37"/>
    <x v="309"/>
    <x v="33"/>
    <n v="5446"/>
    <s v="n.a."/>
    <s v="n.a."/>
    <x v="293"/>
    <n v="-34"/>
  </r>
  <r>
    <x v="4"/>
    <x v="38"/>
    <x v="310"/>
    <x v="33"/>
    <n v="5604"/>
    <s v="n.a."/>
    <s v="n.a."/>
    <x v="294"/>
    <n v="149"/>
  </r>
  <r>
    <x v="4"/>
    <x v="39"/>
    <x v="311"/>
    <x v="33"/>
    <n v="5632"/>
    <s v="n.a."/>
    <s v="n.a."/>
    <x v="295"/>
    <n v="11"/>
  </r>
  <r>
    <x v="4"/>
    <x v="40"/>
    <x v="312"/>
    <x v="33"/>
    <n v="5531"/>
    <s v="n.a."/>
    <s v="n.a."/>
    <x v="296"/>
    <n v="-96"/>
  </r>
  <r>
    <x v="4"/>
    <x v="41"/>
    <x v="313"/>
    <x v="33"/>
    <n v="5935"/>
    <s v="n.a."/>
    <s v="n.a."/>
    <x v="160"/>
    <n v="-162"/>
  </r>
  <r>
    <x v="4"/>
    <x v="42"/>
    <x v="314"/>
    <x v="33"/>
    <n v="6664"/>
    <s v="n.a."/>
    <s v="n.a."/>
    <x v="297"/>
    <n v="-119"/>
  </r>
  <r>
    <x v="4"/>
    <x v="43"/>
    <x v="315"/>
    <x v="33"/>
    <n v="6859"/>
    <s v="n.a."/>
    <s v="n.a."/>
    <x v="298"/>
    <n v="-106"/>
  </r>
  <r>
    <x v="4"/>
    <x v="44"/>
    <x v="316"/>
    <x v="33"/>
    <n v="7226"/>
    <s v="n.a."/>
    <s v="n.a."/>
    <x v="299"/>
    <n v="-15"/>
  </r>
  <r>
    <x v="4"/>
    <x v="45"/>
    <x v="317"/>
    <x v="33"/>
    <n v="7617"/>
    <s v="n.a."/>
    <s v="n.a."/>
    <x v="300"/>
    <n v="-41"/>
  </r>
  <r>
    <x v="4"/>
    <x v="46"/>
    <x v="318"/>
    <x v="33"/>
    <n v="7793"/>
    <s v="n.a."/>
    <s v="n.a."/>
    <x v="301"/>
    <n v="-151"/>
  </r>
  <r>
    <x v="4"/>
    <x v="47"/>
    <x v="319"/>
    <x v="33"/>
    <n v="6303"/>
    <s v="n.a."/>
    <s v="n.a."/>
    <x v="28"/>
    <n v="143"/>
  </r>
  <r>
    <x v="4"/>
    <x v="48"/>
    <x v="320"/>
    <x v="33"/>
    <n v="6293"/>
    <s v="n.a."/>
    <s v="n.a."/>
    <x v="302"/>
    <n v="96"/>
  </r>
  <r>
    <x v="4"/>
    <x v="49"/>
    <x v="321"/>
    <x v="33"/>
    <n v="5880"/>
    <s v="n.a."/>
    <s v="n.a."/>
    <x v="303"/>
    <n v="-4"/>
  </r>
  <r>
    <x v="4"/>
    <x v="50"/>
    <x v="322"/>
    <x v="33"/>
    <n v="5934"/>
    <s v="n.a."/>
    <s v="n.a."/>
    <x v="304"/>
    <n v="-35"/>
  </r>
  <r>
    <x v="4"/>
    <x v="51"/>
    <x v="323"/>
    <x v="33"/>
    <n v="5793"/>
    <s v="n.a."/>
    <s v="n.a."/>
    <x v="305"/>
    <n v="3"/>
  </r>
  <r>
    <x v="4"/>
    <x v="52"/>
    <x v="324"/>
    <x v="33"/>
    <n v="5740"/>
    <s v="n.a."/>
    <s v="n.a."/>
    <x v="306"/>
    <n v="110"/>
  </r>
  <r>
    <x v="4"/>
    <x v="53"/>
    <x v="321"/>
    <x v="33"/>
    <n v="5955"/>
    <s v="n.a."/>
    <s v="n.a."/>
    <x v="41"/>
    <n v="-247"/>
  </r>
  <r>
    <x v="4"/>
    <x v="54"/>
    <x v="325"/>
    <x v="33"/>
    <n v="5238"/>
    <s v="n.a."/>
    <s v="n.a."/>
    <x v="307"/>
    <n v="-118"/>
  </r>
  <r>
    <x v="4"/>
    <x v="55"/>
    <x v="326"/>
    <x v="33"/>
    <n v="4664"/>
    <s v="n.a."/>
    <s v="n.a."/>
    <x v="308"/>
    <n v="6"/>
  </r>
  <r>
    <x v="4"/>
    <x v="56"/>
    <x v="327"/>
    <x v="33"/>
    <n v="4410"/>
    <s v="n.a."/>
    <s v="n.a."/>
    <x v="309"/>
    <n v="114"/>
  </r>
  <r>
    <x v="4"/>
    <x v="57"/>
    <x v="328"/>
    <x v="33"/>
    <n v="4970"/>
    <s v="n.a."/>
    <s v="n.a."/>
    <x v="310"/>
    <n v="574"/>
  </r>
  <r>
    <x v="4"/>
    <x v="58"/>
    <x v="329"/>
    <x v="33"/>
    <n v="5879"/>
    <s v="n.a."/>
    <s v="n.a."/>
    <x v="311"/>
    <n v="-14"/>
  </r>
  <r>
    <x v="4"/>
    <x v="59"/>
    <x v="330"/>
    <x v="33"/>
    <n v="6094"/>
    <s v="n.a."/>
    <s v="n.a."/>
    <x v="312"/>
    <n v="-103"/>
  </r>
  <r>
    <x v="4"/>
    <x v="60"/>
    <x v="331"/>
    <x v="33"/>
    <n v="5842"/>
    <s v="n.a."/>
    <s v="n.a."/>
    <x v="313"/>
    <n v="77"/>
  </r>
  <r>
    <x v="4"/>
    <x v="61"/>
    <x v="332"/>
    <x v="33"/>
    <n v="5697"/>
    <s v="n.a."/>
    <s v="n.a."/>
    <x v="314"/>
    <n v="-31"/>
  </r>
  <r>
    <x v="4"/>
    <x v="62"/>
    <x v="333"/>
    <x v="33"/>
    <n v="5177"/>
    <s v="n.a."/>
    <s v="n.a."/>
    <x v="315"/>
    <n v="-103"/>
  </r>
  <r>
    <x v="4"/>
    <x v="63"/>
    <x v="334"/>
    <x v="33"/>
    <n v="5304"/>
    <s v="n.a."/>
    <s v="n.a."/>
    <x v="279"/>
    <n v="-145"/>
  </r>
  <r>
    <x v="4"/>
    <x v="64"/>
    <x v="335"/>
    <x v="33"/>
    <n v="5081"/>
    <s v="n.a."/>
    <s v="n.a."/>
    <x v="316"/>
    <n v="-55"/>
  </r>
  <r>
    <x v="4"/>
    <x v="65"/>
    <x v="336"/>
    <x v="33"/>
    <n v="5041"/>
    <s v="n.a."/>
    <s v="n.a."/>
    <x v="317"/>
    <n v="331"/>
  </r>
  <r>
    <x v="4"/>
    <x v="66"/>
    <x v="337"/>
    <x v="33"/>
    <n v="5231"/>
    <s v="n.a."/>
    <s v="n.a."/>
    <x v="161"/>
    <n v="97"/>
  </r>
  <r>
    <x v="4"/>
    <x v="67"/>
    <x v="338"/>
    <x v="33"/>
    <n v="5485"/>
    <s v="n.a."/>
    <s v="n.a."/>
    <x v="318"/>
    <n v="9"/>
  </r>
  <r>
    <x v="4"/>
    <x v="68"/>
    <x v="339"/>
    <x v="33"/>
    <n v="6022"/>
    <s v="n.a."/>
    <s v="n.a."/>
    <x v="319"/>
    <n v="8"/>
  </r>
  <r>
    <x v="4"/>
    <x v="69"/>
    <x v="340"/>
    <x v="33"/>
    <n v="6086"/>
    <s v="n.a."/>
    <s v="n.a."/>
    <x v="320"/>
    <n v="-61"/>
  </r>
  <r>
    <x v="5"/>
    <x v="0"/>
    <x v="341"/>
    <x v="164"/>
    <n v="369453"/>
    <n v="14365"/>
    <n v="-3219"/>
    <x v="321"/>
    <n v="3043"/>
  </r>
  <r>
    <x v="5"/>
    <x v="1"/>
    <x v="342"/>
    <x v="165"/>
    <n v="358662"/>
    <n v="-10072"/>
    <n v="4398"/>
    <x v="322"/>
    <n v="-1756"/>
  </r>
  <r>
    <x v="5"/>
    <x v="2"/>
    <x v="343"/>
    <x v="166"/>
    <n v="370738"/>
    <n v="4627"/>
    <n v="748"/>
    <x v="323"/>
    <n v="-962"/>
  </r>
  <r>
    <x v="5"/>
    <x v="3"/>
    <x v="344"/>
    <x v="167"/>
    <n v="371528"/>
    <n v="16308"/>
    <n v="-472"/>
    <x v="324"/>
    <n v="2334"/>
  </r>
  <r>
    <x v="5"/>
    <x v="4"/>
    <x v="345"/>
    <x v="168"/>
    <n v="356650"/>
    <n v="11498"/>
    <n v="-6650"/>
    <x v="325"/>
    <n v="-4550"/>
  </r>
  <r>
    <x v="5"/>
    <x v="5"/>
    <x v="346"/>
    <x v="169"/>
    <n v="352422"/>
    <n v="9766"/>
    <n v="715"/>
    <x v="326"/>
    <n v="-145"/>
  </r>
  <r>
    <x v="5"/>
    <x v="6"/>
    <x v="347"/>
    <x v="170"/>
    <n v="337731"/>
    <n v="-1994"/>
    <n v="4010"/>
    <x v="327"/>
    <n v="5673"/>
  </r>
  <r>
    <x v="5"/>
    <x v="7"/>
    <x v="348"/>
    <x v="171"/>
    <n v="345902"/>
    <n v="15931"/>
    <n v="-6189"/>
    <x v="328"/>
    <n v="-4585"/>
  </r>
  <r>
    <x v="5"/>
    <x v="8"/>
    <x v="349"/>
    <x v="172"/>
    <n v="332291"/>
    <n v="1424"/>
    <n v="5585"/>
    <x v="329"/>
    <n v="5484"/>
  </r>
  <r>
    <x v="5"/>
    <x v="9"/>
    <x v="350"/>
    <x v="173"/>
    <n v="319137"/>
    <n v="-8411"/>
    <n v="7842"/>
    <x v="330"/>
    <n v="-231"/>
  </r>
  <r>
    <x v="5"/>
    <x v="10"/>
    <x v="351"/>
    <x v="174"/>
    <n v="315814"/>
    <n v="11740"/>
    <n v="-1661"/>
    <x v="331"/>
    <n v="-8115"/>
  </r>
  <r>
    <x v="5"/>
    <x v="11"/>
    <x v="352"/>
    <x v="175"/>
    <n v="307890"/>
    <n v="4057"/>
    <n v="-378"/>
    <x v="332"/>
    <n v="5899"/>
  </r>
  <r>
    <x v="5"/>
    <x v="12"/>
    <x v="353"/>
    <x v="176"/>
    <n v="311447"/>
    <n v="5726"/>
    <n v="-3885"/>
    <x v="333"/>
    <n v="2054"/>
  </r>
  <r>
    <x v="5"/>
    <x v="13"/>
    <x v="354"/>
    <x v="177"/>
    <n v="312285"/>
    <n v="11752"/>
    <n v="170"/>
    <x v="334"/>
    <n v="-2220"/>
  </r>
  <r>
    <x v="5"/>
    <x v="14"/>
    <x v="355"/>
    <x v="178"/>
    <n v="293618"/>
    <n v="13823"/>
    <n v="3014"/>
    <x v="335"/>
    <n v="-1196"/>
  </r>
  <r>
    <x v="5"/>
    <x v="15"/>
    <x v="356"/>
    <x v="179"/>
    <n v="271058"/>
    <n v="-9279"/>
    <n v="1064"/>
    <x v="336"/>
    <n v="2389"/>
  </r>
  <r>
    <x v="5"/>
    <x v="16"/>
    <x v="357"/>
    <x v="180"/>
    <n v="287711"/>
    <n v="18451"/>
    <n v="970"/>
    <x v="337"/>
    <n v="-5510"/>
  </r>
  <r>
    <x v="5"/>
    <x v="17"/>
    <x v="358"/>
    <x v="181"/>
    <n v="259839"/>
    <n v="5361"/>
    <n v="1524"/>
    <x v="338"/>
    <n v="-2132"/>
  </r>
  <r>
    <x v="5"/>
    <x v="18"/>
    <x v="359"/>
    <x v="182"/>
    <n v="251298"/>
    <n v="1470"/>
    <n v="-2018"/>
    <x v="339"/>
    <n v="6199"/>
  </r>
  <r>
    <x v="5"/>
    <x v="19"/>
    <x v="360"/>
    <x v="183"/>
    <n v="252782"/>
    <n v="-2666"/>
    <n v="-44"/>
    <x v="340"/>
    <n v="-2449"/>
  </r>
  <r>
    <x v="5"/>
    <x v="20"/>
    <x v="361"/>
    <x v="184"/>
    <n v="249442"/>
    <n v="10436"/>
    <n v="345"/>
    <x v="341"/>
    <n v="4959"/>
  </r>
  <r>
    <x v="5"/>
    <x v="21"/>
    <x v="362"/>
    <x v="185"/>
    <n v="239751"/>
    <n v="16499"/>
    <n v="-162"/>
    <x v="342"/>
    <n v="-1342"/>
  </r>
  <r>
    <x v="5"/>
    <x v="22"/>
    <x v="363"/>
    <x v="186"/>
    <n v="218703"/>
    <n v="-5164"/>
    <n v="1397"/>
    <x v="343"/>
    <n v="-968"/>
  </r>
  <r>
    <x v="5"/>
    <x v="23"/>
    <x v="364"/>
    <x v="187"/>
    <n v="225752"/>
    <n v="45063"/>
    <n v="1971"/>
    <x v="344"/>
    <n v="-2158"/>
  </r>
  <r>
    <x v="5"/>
    <x v="24"/>
    <x v="365"/>
    <x v="188"/>
    <n v="201345"/>
    <n v="9691"/>
    <n v="93"/>
    <x v="345"/>
    <n v="-3217"/>
  </r>
  <r>
    <x v="5"/>
    <x v="25"/>
    <x v="366"/>
    <x v="189"/>
    <n v="191343"/>
    <n v="340"/>
    <n v="-7065"/>
    <x v="346"/>
    <n v="4032"/>
  </r>
  <r>
    <x v="5"/>
    <x v="26"/>
    <x v="367"/>
    <x v="190"/>
    <n v="197080"/>
    <n v="-5084"/>
    <n v="3964"/>
    <x v="347"/>
    <n v="-2583"/>
  </r>
  <r>
    <x v="5"/>
    <x v="27"/>
    <x v="368"/>
    <x v="191"/>
    <n v="196428"/>
    <n v="3330"/>
    <n v="-1308"/>
    <x v="348"/>
    <n v="3594"/>
  </r>
  <r>
    <x v="5"/>
    <x v="28"/>
    <x v="369"/>
    <x v="192"/>
    <n v="188557"/>
    <n v="39496"/>
    <n v="243"/>
    <x v="349"/>
    <n v="-14708"/>
  </r>
  <r>
    <x v="5"/>
    <x v="29"/>
    <x v="370"/>
    <x v="193"/>
    <n v="168001"/>
    <n v="-9043"/>
    <n v="-701"/>
    <x v="350"/>
    <n v="15461"/>
  </r>
  <r>
    <x v="5"/>
    <x v="30"/>
    <x v="371"/>
    <x v="194"/>
    <n v="168733"/>
    <n v="27024"/>
    <n v="-178"/>
    <x v="351"/>
    <n v="-114"/>
  </r>
  <r>
    <x v="5"/>
    <x v="31"/>
    <x v="372"/>
    <x v="195"/>
    <n v="155253"/>
    <n v="6574"/>
    <n v="390"/>
    <x v="352"/>
    <n v="-88"/>
  </r>
  <r>
    <x v="5"/>
    <x v="32"/>
    <x v="373"/>
    <x v="196"/>
    <n v="152451"/>
    <n v="-12238"/>
    <n v="566"/>
    <x v="353"/>
    <n v="4377"/>
  </r>
  <r>
    <x v="5"/>
    <x v="33"/>
    <x v="374"/>
    <x v="33"/>
    <n v="164057"/>
    <s v="n.a."/>
    <s v="n.a."/>
    <x v="354"/>
    <n v="-690"/>
  </r>
  <r>
    <x v="5"/>
    <x v="34"/>
    <x v="375"/>
    <x v="33"/>
    <n v="165284"/>
    <s v="n.a."/>
    <s v="n.a."/>
    <x v="355"/>
    <n v="-1274"/>
  </r>
  <r>
    <x v="5"/>
    <x v="35"/>
    <x v="376"/>
    <x v="33"/>
    <n v="178452"/>
    <s v="n.a."/>
    <s v="n.a."/>
    <x v="356"/>
    <n v="353"/>
  </r>
  <r>
    <x v="5"/>
    <x v="36"/>
    <x v="377"/>
    <x v="33"/>
    <n v="201467"/>
    <s v="n.a."/>
    <s v="n.a."/>
    <x v="357"/>
    <n v="901"/>
  </r>
  <r>
    <x v="5"/>
    <x v="37"/>
    <x v="378"/>
    <x v="33"/>
    <n v="191703"/>
    <s v="n.a."/>
    <s v="n.a."/>
    <x v="358"/>
    <n v="-5568"/>
  </r>
  <r>
    <x v="5"/>
    <x v="38"/>
    <x v="379"/>
    <x v="33"/>
    <n v="212141"/>
    <s v="n.a."/>
    <s v="n.a."/>
    <x v="359"/>
    <n v="999"/>
  </r>
  <r>
    <x v="5"/>
    <x v="39"/>
    <x v="380"/>
    <x v="33"/>
    <n v="212248"/>
    <s v="n.a."/>
    <s v="n.a."/>
    <x v="360"/>
    <n v="2483"/>
  </r>
  <r>
    <x v="5"/>
    <x v="40"/>
    <x v="381"/>
    <x v="33"/>
    <n v="219159"/>
    <s v="n.a."/>
    <s v="n.a."/>
    <x v="361"/>
    <n v="-2031"/>
  </r>
  <r>
    <x v="5"/>
    <x v="41"/>
    <x v="382"/>
    <x v="33"/>
    <n v="223396"/>
    <s v="n.a."/>
    <s v="n.a."/>
    <x v="362"/>
    <n v="-2392"/>
  </r>
  <r>
    <x v="5"/>
    <x v="42"/>
    <x v="383"/>
    <x v="33"/>
    <n v="221332"/>
    <s v="n.a."/>
    <s v="n.a."/>
    <x v="363"/>
    <n v="-1274"/>
  </r>
  <r>
    <x v="5"/>
    <x v="43"/>
    <x v="384"/>
    <x v="33"/>
    <n v="223225"/>
    <s v="n.a."/>
    <s v="n.a."/>
    <x v="364"/>
    <n v="-2375"/>
  </r>
  <r>
    <x v="5"/>
    <x v="44"/>
    <x v="385"/>
    <x v="33"/>
    <n v="213510"/>
    <s v="n.a."/>
    <s v="n.a."/>
    <x v="365"/>
    <n v="6333"/>
  </r>
  <r>
    <x v="5"/>
    <x v="45"/>
    <x v="386"/>
    <x v="33"/>
    <n v="214075"/>
    <s v="n.a."/>
    <s v="n.a."/>
    <x v="366"/>
    <n v="3142"/>
  </r>
  <r>
    <x v="5"/>
    <x v="46"/>
    <x v="387"/>
    <x v="33"/>
    <n v="208207"/>
    <s v="n.a."/>
    <s v="n.a."/>
    <x v="367"/>
    <n v="-2902"/>
  </r>
  <r>
    <x v="5"/>
    <x v="47"/>
    <x v="388"/>
    <x v="33"/>
    <n v="208672"/>
    <s v="n.a."/>
    <s v="n.a."/>
    <x v="368"/>
    <n v="-3069"/>
  </r>
  <r>
    <x v="5"/>
    <x v="48"/>
    <x v="389"/>
    <x v="33"/>
    <n v="218035"/>
    <s v="n.a."/>
    <s v="n.a."/>
    <x v="369"/>
    <n v="6011"/>
  </r>
  <r>
    <x v="5"/>
    <x v="49"/>
    <x v="390"/>
    <x v="33"/>
    <n v="226286"/>
    <s v="n.a."/>
    <s v="n.a."/>
    <x v="370"/>
    <n v="-6679"/>
  </r>
  <r>
    <x v="5"/>
    <x v="50"/>
    <x v="391"/>
    <x v="33"/>
    <n v="215700"/>
    <s v="n.a."/>
    <s v="n.a."/>
    <x v="371"/>
    <n v="-2618"/>
  </r>
  <r>
    <x v="5"/>
    <x v="51"/>
    <x v="392"/>
    <x v="33"/>
    <n v="210969"/>
    <s v="n.a."/>
    <s v="n.a."/>
    <x v="372"/>
    <n v="5792"/>
  </r>
  <r>
    <x v="5"/>
    <x v="52"/>
    <x v="393"/>
    <x v="33"/>
    <n v="207524"/>
    <s v="n.a."/>
    <s v="n.a."/>
    <x v="373"/>
    <n v="4942"/>
  </r>
  <r>
    <x v="5"/>
    <x v="53"/>
    <x v="394"/>
    <x v="33"/>
    <n v="94537"/>
    <s v="n.a."/>
    <s v="n.a."/>
    <x v="374"/>
    <n v="870"/>
  </r>
  <r>
    <x v="5"/>
    <x v="54"/>
    <x v="395"/>
    <x v="33"/>
    <n v="93853"/>
    <s v="n.a."/>
    <s v="n.a."/>
    <x v="375"/>
    <n v="-912"/>
  </r>
  <r>
    <x v="5"/>
    <x v="55"/>
    <x v="396"/>
    <x v="33"/>
    <n v="100125"/>
    <s v="n.a."/>
    <s v="n.a."/>
    <x v="376"/>
    <n v="361"/>
  </r>
  <r>
    <x v="5"/>
    <x v="56"/>
    <x v="397"/>
    <x v="33"/>
    <n v="94766"/>
    <s v="n.a."/>
    <s v="n.a."/>
    <x v="377"/>
    <n v="-1323"/>
  </r>
  <r>
    <x v="5"/>
    <x v="57"/>
    <x v="398"/>
    <x v="33"/>
    <n v="106257"/>
    <s v="n.a."/>
    <s v="n.a."/>
    <x v="378"/>
    <n v="727"/>
  </r>
  <r>
    <x v="5"/>
    <x v="58"/>
    <x v="399"/>
    <x v="33"/>
    <n v="96754"/>
    <s v="n.a."/>
    <s v="n.a."/>
    <x v="379"/>
    <n v="-2795"/>
  </r>
  <r>
    <x v="5"/>
    <x v="59"/>
    <x v="400"/>
    <x v="33"/>
    <n v="115065"/>
    <s v="n.a."/>
    <s v="n.a."/>
    <x v="380"/>
    <n v="-1171"/>
  </r>
  <r>
    <x v="5"/>
    <x v="60"/>
    <x v="401"/>
    <x v="33"/>
    <n v="118464"/>
    <s v="n.a."/>
    <s v="n.a."/>
    <x v="381"/>
    <n v="-198"/>
  </r>
  <r>
    <x v="5"/>
    <x v="61"/>
    <x v="402"/>
    <x v="33"/>
    <n v="116391"/>
    <s v="n.a."/>
    <s v="n.a."/>
    <x v="382"/>
    <n v="-3547"/>
  </r>
  <r>
    <x v="5"/>
    <x v="62"/>
    <x v="403"/>
    <x v="33"/>
    <n v="111064"/>
    <s v="n.a."/>
    <s v="n.a."/>
    <x v="383"/>
    <n v="426"/>
  </r>
  <r>
    <x v="5"/>
    <x v="63"/>
    <x v="404"/>
    <x v="33"/>
    <n v="108200"/>
    <s v="n.a."/>
    <s v="n.a."/>
    <x v="384"/>
    <n v="-2216"/>
  </r>
  <r>
    <x v="5"/>
    <x v="64"/>
    <x v="405"/>
    <x v="33"/>
    <n v="120123"/>
    <s v="n.a."/>
    <s v="n.a."/>
    <x v="385"/>
    <n v="1708"/>
  </r>
  <r>
    <x v="5"/>
    <x v="65"/>
    <x v="406"/>
    <x v="33"/>
    <n v="108193"/>
    <s v="n.a."/>
    <s v="n.a."/>
    <x v="386"/>
    <n v="2965"/>
  </r>
  <r>
    <x v="5"/>
    <x v="66"/>
    <x v="407"/>
    <x v="33"/>
    <n v="118361"/>
    <s v="n.a."/>
    <s v="n.a."/>
    <x v="387"/>
    <n v="1948"/>
  </r>
  <r>
    <x v="5"/>
    <x v="67"/>
    <x v="408"/>
    <x v="33"/>
    <n v="138631"/>
    <s v="n.a."/>
    <s v="n.a."/>
    <x v="388"/>
    <n v="-559"/>
  </r>
  <r>
    <x v="5"/>
    <x v="68"/>
    <x v="409"/>
    <x v="33"/>
    <n v="129667"/>
    <s v="n.a."/>
    <s v="n.a."/>
    <x v="389"/>
    <n v="1920"/>
  </r>
  <r>
    <x v="5"/>
    <x v="69"/>
    <x v="410"/>
    <x v="33"/>
    <n v="117931"/>
    <s v="n.a."/>
    <s v="n.a."/>
    <x v="390"/>
    <n v="594"/>
  </r>
  <r>
    <x v="6"/>
    <x v="0"/>
    <x v="411"/>
    <x v="197"/>
    <n v="83039"/>
    <n v="-2414"/>
    <n v="522"/>
    <x v="391"/>
    <n v="6661"/>
  </r>
  <r>
    <x v="6"/>
    <x v="1"/>
    <x v="412"/>
    <x v="198"/>
    <n v="84644"/>
    <n v="7872"/>
    <n v="-580"/>
    <x v="392"/>
    <n v="2531"/>
  </r>
  <r>
    <x v="6"/>
    <x v="2"/>
    <x v="413"/>
    <x v="199"/>
    <n v="78256"/>
    <n v="-3958"/>
    <n v="675"/>
    <x v="393"/>
    <n v="-3832"/>
  </r>
  <r>
    <x v="6"/>
    <x v="3"/>
    <x v="414"/>
    <x v="200"/>
    <n v="80899"/>
    <n v="3662"/>
    <n v="405"/>
    <x v="394"/>
    <n v="4618"/>
  </r>
  <r>
    <x v="6"/>
    <x v="4"/>
    <x v="415"/>
    <x v="201"/>
    <n v="78358"/>
    <n v="-1528"/>
    <n v="464"/>
    <x v="395"/>
    <n v="-463"/>
  </r>
  <r>
    <x v="6"/>
    <x v="5"/>
    <x v="416"/>
    <x v="202"/>
    <n v="79193"/>
    <n v="-4095"/>
    <n v="-691"/>
    <x v="396"/>
    <n v="-3241"/>
  </r>
  <r>
    <x v="6"/>
    <x v="6"/>
    <x v="417"/>
    <x v="203"/>
    <n v="84476"/>
    <n v="-2917"/>
    <n v="153"/>
    <x v="397"/>
    <n v="1694"/>
  </r>
  <r>
    <x v="6"/>
    <x v="7"/>
    <x v="418"/>
    <x v="204"/>
    <n v="87145"/>
    <n v="3264"/>
    <n v="-117"/>
    <x v="398"/>
    <n v="3351"/>
  </r>
  <r>
    <x v="6"/>
    <x v="8"/>
    <x v="419"/>
    <x v="205"/>
    <n v="82910"/>
    <n v="2530"/>
    <n v="1338"/>
    <x v="399"/>
    <n v="-4599"/>
  </r>
  <r>
    <x v="6"/>
    <x v="9"/>
    <x v="420"/>
    <x v="206"/>
    <n v="80050"/>
    <n v="1950"/>
    <n v="392"/>
    <x v="400"/>
    <n v="3172"/>
  </r>
  <r>
    <x v="6"/>
    <x v="10"/>
    <x v="421"/>
    <x v="207"/>
    <n v="74734"/>
    <n v="1578"/>
    <n v="-945"/>
    <x v="401"/>
    <n v="-1088"/>
  </r>
  <r>
    <x v="6"/>
    <x v="11"/>
    <x v="422"/>
    <x v="208"/>
    <n v="76527"/>
    <n v="158"/>
    <n v="496"/>
    <x v="402"/>
    <n v="-1239"/>
  </r>
  <r>
    <x v="6"/>
    <x v="12"/>
    <x v="423"/>
    <x v="209"/>
    <n v="77719"/>
    <n v="-563"/>
    <n v="-733"/>
    <x v="403"/>
    <n v="1570"/>
  </r>
  <r>
    <x v="6"/>
    <x v="13"/>
    <x v="424"/>
    <x v="210"/>
    <n v="80723"/>
    <n v="3832"/>
    <n v="391"/>
    <x v="404"/>
    <n v="106"/>
  </r>
  <r>
    <x v="6"/>
    <x v="14"/>
    <x v="425"/>
    <x v="190"/>
    <n v="76124"/>
    <n v="-9383"/>
    <n v="840"/>
    <x v="405"/>
    <n v="1716"/>
  </r>
  <r>
    <x v="6"/>
    <x v="15"/>
    <x v="426"/>
    <x v="211"/>
    <n v="83685"/>
    <n v="7654"/>
    <n v="800"/>
    <x v="406"/>
    <n v="8049"/>
  </r>
  <r>
    <x v="6"/>
    <x v="16"/>
    <x v="427"/>
    <x v="212"/>
    <n v="77660"/>
    <n v="557"/>
    <n v="-535"/>
    <x v="407"/>
    <n v="-887"/>
  </r>
  <r>
    <x v="6"/>
    <x v="17"/>
    <x v="428"/>
    <x v="213"/>
    <n v="77219"/>
    <n v="-1755"/>
    <n v="528"/>
    <x v="408"/>
    <n v="408"/>
  </r>
  <r>
    <x v="6"/>
    <x v="18"/>
    <x v="429"/>
    <x v="214"/>
    <n v="78192"/>
    <n v="-761"/>
    <n v="-1105"/>
    <x v="409"/>
    <n v="818"/>
  </r>
  <r>
    <x v="6"/>
    <x v="19"/>
    <x v="430"/>
    <x v="215"/>
    <n v="81251"/>
    <n v="580"/>
    <n v="-85"/>
    <x v="410"/>
    <n v="-1019"/>
  </r>
  <r>
    <x v="6"/>
    <x v="20"/>
    <x v="431"/>
    <x v="216"/>
    <n v="81456"/>
    <n v="1094"/>
    <n v="-870"/>
    <x v="411"/>
    <n v="1870"/>
  </r>
  <r>
    <x v="6"/>
    <x v="21"/>
    <x v="432"/>
    <x v="217"/>
    <n v="82348"/>
    <n v="4322"/>
    <n v="38"/>
    <x v="412"/>
    <n v="-1267"/>
  </r>
  <r>
    <x v="6"/>
    <x v="22"/>
    <x v="433"/>
    <x v="218"/>
    <n v="78119"/>
    <n v="-233"/>
    <n v="1277"/>
    <x v="413"/>
    <n v="884"/>
  </r>
  <r>
    <x v="6"/>
    <x v="23"/>
    <x v="434"/>
    <x v="219"/>
    <n v="73751"/>
    <n v="-2160"/>
    <n v="1766"/>
    <x v="414"/>
    <n v="-45"/>
  </r>
  <r>
    <x v="6"/>
    <x v="24"/>
    <x v="435"/>
    <x v="220"/>
    <n v="75344"/>
    <n v="4687"/>
    <n v="-510"/>
    <x v="415"/>
    <n v="305"/>
  </r>
  <r>
    <x v="6"/>
    <x v="25"/>
    <x v="436"/>
    <x v="221"/>
    <n v="72520"/>
    <n v="-545"/>
    <n v="-1305"/>
    <x v="416"/>
    <n v="-939"/>
  </r>
  <r>
    <x v="6"/>
    <x v="26"/>
    <x v="437"/>
    <x v="222"/>
    <n v="75311"/>
    <n v="86"/>
    <n v="69"/>
    <x v="417"/>
    <n v="921"/>
  </r>
  <r>
    <x v="6"/>
    <x v="27"/>
    <x v="438"/>
    <x v="223"/>
    <n v="76156"/>
    <n v="2564"/>
    <n v="-105"/>
    <x v="418"/>
    <n v="-308"/>
  </r>
  <r>
    <x v="6"/>
    <x v="28"/>
    <x v="439"/>
    <x v="224"/>
    <n v="75169"/>
    <n v="2292"/>
    <n v="66"/>
    <x v="419"/>
    <n v="-1"/>
  </r>
  <r>
    <x v="6"/>
    <x v="29"/>
    <x v="440"/>
    <x v="225"/>
    <n v="71600"/>
    <n v="593"/>
    <n v="-278"/>
    <x v="420"/>
    <n v="3329"/>
  </r>
  <r>
    <x v="6"/>
    <x v="30"/>
    <x v="441"/>
    <x v="226"/>
    <n v="70269"/>
    <n v="765"/>
    <n v="-908"/>
    <x v="421"/>
    <n v="894"/>
  </r>
  <r>
    <x v="6"/>
    <x v="31"/>
    <x v="442"/>
    <x v="227"/>
    <n v="69314"/>
    <n v="1969"/>
    <n v="1100"/>
    <x v="422"/>
    <n v="-1000"/>
  </r>
  <r>
    <x v="6"/>
    <x v="32"/>
    <x v="443"/>
    <x v="228"/>
    <n v="70290"/>
    <n v="3276"/>
    <n v="-1289"/>
    <x v="423"/>
    <n v="-733"/>
  </r>
  <r>
    <x v="6"/>
    <x v="33"/>
    <x v="444"/>
    <x v="33"/>
    <n v="67735"/>
    <s v="n.a."/>
    <s v="n.a."/>
    <x v="424"/>
    <n v="-2060"/>
  </r>
  <r>
    <x v="6"/>
    <x v="34"/>
    <x v="445"/>
    <x v="33"/>
    <n v="68125"/>
    <s v="n.a."/>
    <s v="n.a."/>
    <x v="425"/>
    <n v="2053"/>
  </r>
  <r>
    <x v="6"/>
    <x v="35"/>
    <x v="446"/>
    <x v="33"/>
    <n v="69789"/>
    <s v="n.a."/>
    <s v="n.a."/>
    <x v="426"/>
    <n v="1121"/>
  </r>
  <r>
    <x v="6"/>
    <x v="36"/>
    <x v="447"/>
    <x v="33"/>
    <n v="77050"/>
    <s v="n.a."/>
    <s v="n.a."/>
    <x v="427"/>
    <n v="70"/>
  </r>
  <r>
    <x v="6"/>
    <x v="37"/>
    <x v="448"/>
    <x v="33"/>
    <n v="75112"/>
    <s v="n.a."/>
    <s v="n.a."/>
    <x v="428"/>
    <n v="899"/>
  </r>
  <r>
    <x v="6"/>
    <x v="38"/>
    <x v="449"/>
    <x v="33"/>
    <n v="80907"/>
    <s v="n.a."/>
    <s v="n.a."/>
    <x v="429"/>
    <n v="312"/>
  </r>
  <r>
    <x v="6"/>
    <x v="39"/>
    <x v="450"/>
    <x v="33"/>
    <n v="79980"/>
    <s v="n.a."/>
    <s v="n.a."/>
    <x v="430"/>
    <n v="-129"/>
  </r>
  <r>
    <x v="6"/>
    <x v="40"/>
    <x v="451"/>
    <x v="33"/>
    <n v="87687"/>
    <s v="n.a."/>
    <s v="n.a."/>
    <x v="431"/>
    <n v="-1031"/>
  </r>
  <r>
    <x v="6"/>
    <x v="41"/>
    <x v="452"/>
    <x v="33"/>
    <n v="82852"/>
    <s v="n.a."/>
    <s v="n.a."/>
    <x v="432"/>
    <n v="1071"/>
  </r>
  <r>
    <x v="6"/>
    <x v="42"/>
    <x v="453"/>
    <x v="33"/>
    <n v="85158"/>
    <s v="n.a."/>
    <s v="n.a."/>
    <x v="433"/>
    <n v="-414"/>
  </r>
  <r>
    <x v="6"/>
    <x v="43"/>
    <x v="454"/>
    <x v="33"/>
    <n v="85728"/>
    <s v="n.a."/>
    <s v="n.a."/>
    <x v="434"/>
    <n v="-922"/>
  </r>
  <r>
    <x v="6"/>
    <x v="44"/>
    <x v="455"/>
    <x v="33"/>
    <n v="81559"/>
    <s v="n.a."/>
    <s v="n.a."/>
    <x v="435"/>
    <n v="-622"/>
  </r>
  <r>
    <x v="6"/>
    <x v="45"/>
    <x v="456"/>
    <x v="33"/>
    <n v="74645"/>
    <s v="n.a."/>
    <s v="n.a."/>
    <x v="436"/>
    <n v="9"/>
  </r>
  <r>
    <x v="6"/>
    <x v="46"/>
    <x v="457"/>
    <x v="33"/>
    <n v="73759"/>
    <s v="n.a."/>
    <s v="n.a."/>
    <x v="437"/>
    <n v="925"/>
  </r>
  <r>
    <x v="6"/>
    <x v="47"/>
    <x v="458"/>
    <x v="33"/>
    <n v="73587"/>
    <s v="n.a."/>
    <s v="n.a."/>
    <x v="438"/>
    <n v="193"/>
  </r>
  <r>
    <x v="6"/>
    <x v="48"/>
    <x v="459"/>
    <x v="33"/>
    <n v="75316"/>
    <s v="n.a."/>
    <s v="n.a."/>
    <x v="439"/>
    <n v="243"/>
  </r>
  <r>
    <x v="6"/>
    <x v="49"/>
    <x v="460"/>
    <x v="33"/>
    <n v="75311"/>
    <s v="n.a."/>
    <s v="n.a."/>
    <x v="440"/>
    <n v="614"/>
  </r>
  <r>
    <x v="6"/>
    <x v="50"/>
    <x v="461"/>
    <x v="33"/>
    <n v="74807"/>
    <s v="n.a."/>
    <s v="n.a."/>
    <x v="441"/>
    <n v="873"/>
  </r>
  <r>
    <x v="6"/>
    <x v="51"/>
    <x v="462"/>
    <x v="33"/>
    <n v="73705"/>
    <s v="n.a."/>
    <s v="n.a."/>
    <x v="442"/>
    <n v="-632"/>
  </r>
  <r>
    <x v="6"/>
    <x v="52"/>
    <x v="463"/>
    <x v="33"/>
    <n v="75947"/>
    <s v="n.a."/>
    <s v="n.a."/>
    <x v="443"/>
    <n v="-424"/>
  </r>
  <r>
    <x v="6"/>
    <x v="53"/>
    <x v="464"/>
    <x v="33"/>
    <n v="69337"/>
    <s v="n.a."/>
    <s v="n.a."/>
    <x v="444"/>
    <n v="484"/>
  </r>
  <r>
    <x v="6"/>
    <x v="54"/>
    <x v="465"/>
    <x v="33"/>
    <n v="70523"/>
    <s v="n.a."/>
    <s v="n.a."/>
    <x v="445"/>
    <n v="-305"/>
  </r>
  <r>
    <x v="6"/>
    <x v="55"/>
    <x v="466"/>
    <x v="33"/>
    <n v="69999"/>
    <s v="n.a."/>
    <s v="n.a."/>
    <x v="446"/>
    <n v="-341"/>
  </r>
  <r>
    <x v="6"/>
    <x v="56"/>
    <x v="467"/>
    <x v="33"/>
    <n v="65566"/>
    <s v="n.a."/>
    <s v="n.a."/>
    <x v="447"/>
    <n v="286"/>
  </r>
  <r>
    <x v="6"/>
    <x v="57"/>
    <x v="468"/>
    <x v="33"/>
    <n v="67099"/>
    <s v="n.a."/>
    <s v="n.a."/>
    <x v="448"/>
    <n v="-591"/>
  </r>
  <r>
    <x v="6"/>
    <x v="58"/>
    <x v="469"/>
    <x v="33"/>
    <n v="67086"/>
    <s v="n.a."/>
    <s v="n.a."/>
    <x v="449"/>
    <n v="1115"/>
  </r>
  <r>
    <x v="6"/>
    <x v="59"/>
    <x v="470"/>
    <x v="33"/>
    <n v="65826"/>
    <s v="n.a."/>
    <s v="n.a."/>
    <x v="450"/>
    <n v="376"/>
  </r>
  <r>
    <x v="6"/>
    <x v="60"/>
    <x v="471"/>
    <x v="33"/>
    <n v="67392"/>
    <s v="n.a."/>
    <s v="n.a."/>
    <x v="451"/>
    <n v="-628"/>
  </r>
  <r>
    <x v="6"/>
    <x v="61"/>
    <x v="472"/>
    <x v="33"/>
    <n v="67261"/>
    <s v="n.a."/>
    <s v="n.a."/>
    <x v="452"/>
    <n v="-1052"/>
  </r>
  <r>
    <x v="6"/>
    <x v="62"/>
    <x v="473"/>
    <x v="33"/>
    <n v="70256"/>
    <s v="n.a."/>
    <s v="n.a."/>
    <x v="453"/>
    <n v="-1869"/>
  </r>
  <r>
    <x v="6"/>
    <x v="63"/>
    <x v="474"/>
    <x v="33"/>
    <n v="67857"/>
    <s v="n.a."/>
    <s v="n.a."/>
    <x v="454"/>
    <n v="-1767"/>
  </r>
  <r>
    <x v="6"/>
    <x v="64"/>
    <x v="475"/>
    <x v="33"/>
    <n v="67261"/>
    <s v="n.a."/>
    <s v="n.a."/>
    <x v="455"/>
    <n v="1517"/>
  </r>
  <r>
    <x v="6"/>
    <x v="65"/>
    <x v="476"/>
    <x v="33"/>
    <n v="69997"/>
    <s v="n.a."/>
    <s v="n.a."/>
    <x v="456"/>
    <n v="932"/>
  </r>
  <r>
    <x v="6"/>
    <x v="66"/>
    <x v="477"/>
    <x v="33"/>
    <n v="68057"/>
    <s v="n.a."/>
    <s v="n.a."/>
    <x v="457"/>
    <n v="2116"/>
  </r>
  <r>
    <x v="6"/>
    <x v="67"/>
    <x v="478"/>
    <x v="33"/>
    <n v="69748"/>
    <s v="n.a."/>
    <s v="n.a."/>
    <x v="458"/>
    <n v="-2790"/>
  </r>
  <r>
    <x v="6"/>
    <x v="68"/>
    <x v="479"/>
    <x v="33"/>
    <n v="75636"/>
    <s v="n.a."/>
    <s v="n.a."/>
    <x v="459"/>
    <n v="726"/>
  </r>
  <r>
    <x v="6"/>
    <x v="69"/>
    <x v="480"/>
    <x v="33"/>
    <n v="74128"/>
    <s v="n.a."/>
    <s v="n.a."/>
    <x v="460"/>
    <n v="255"/>
  </r>
  <r>
    <x v="7"/>
    <x v="0"/>
    <x v="481"/>
    <x v="33"/>
    <n v="2457"/>
    <n v="6"/>
    <n v="5"/>
    <x v="461"/>
    <s v="n.a."/>
  </r>
  <r>
    <x v="7"/>
    <x v="1"/>
    <x v="481"/>
    <x v="33"/>
    <n v="2445"/>
    <n v="182"/>
    <n v="-4"/>
    <x v="461"/>
    <s v="n.a."/>
  </r>
  <r>
    <x v="7"/>
    <x v="2"/>
    <x v="481"/>
    <x v="33"/>
    <n v="2278"/>
    <n v="-32"/>
    <n v="15"/>
    <x v="461"/>
    <s v="n.a."/>
  </r>
  <r>
    <x v="7"/>
    <x v="3"/>
    <x v="481"/>
    <x v="33"/>
    <n v="2300"/>
    <n v="59"/>
    <n v="-9"/>
    <x v="461"/>
    <s v="n.a."/>
  </r>
  <r>
    <x v="7"/>
    <x v="4"/>
    <x v="481"/>
    <x v="33"/>
    <n v="2247"/>
    <n v="-172"/>
    <n v="14"/>
    <x v="461"/>
    <s v="n.a."/>
  </r>
  <r>
    <x v="7"/>
    <x v="5"/>
    <x v="481"/>
    <x v="33"/>
    <n v="2409"/>
    <n v="153"/>
    <n v="-14"/>
    <x v="461"/>
    <s v="n.a."/>
  </r>
  <r>
    <x v="7"/>
    <x v="6"/>
    <x v="481"/>
    <x v="33"/>
    <n v="2272"/>
    <n v="-4"/>
    <n v="16"/>
    <x v="461"/>
    <s v="n.a."/>
  </r>
  <r>
    <x v="7"/>
    <x v="7"/>
    <x v="481"/>
    <x v="33"/>
    <n v="2262"/>
    <n v="-63"/>
    <n v="5"/>
    <x v="461"/>
    <s v="n.a."/>
  </r>
  <r>
    <x v="7"/>
    <x v="8"/>
    <x v="481"/>
    <x v="33"/>
    <n v="2321"/>
    <n v="-11"/>
    <n v="22"/>
    <x v="461"/>
    <s v="n.a."/>
  </r>
  <r>
    <x v="7"/>
    <x v="9"/>
    <x v="481"/>
    <x v="33"/>
    <n v="2315"/>
    <n v="-48"/>
    <n v="5"/>
    <x v="461"/>
    <s v="n.a."/>
  </r>
  <r>
    <x v="7"/>
    <x v="10"/>
    <x v="481"/>
    <x v="33"/>
    <n v="2357"/>
    <n v="106"/>
    <n v="-16"/>
    <x v="461"/>
    <s v="n.a."/>
  </r>
  <r>
    <x v="7"/>
    <x v="11"/>
    <x v="481"/>
    <x v="33"/>
    <n v="2270"/>
    <n v="-80"/>
    <n v="7"/>
    <x v="461"/>
    <s v="n.a."/>
  </r>
  <r>
    <x v="7"/>
    <x v="12"/>
    <x v="481"/>
    <x v="33"/>
    <n v="2356"/>
    <n v="111"/>
    <n v="-30"/>
    <x v="461"/>
    <s v="n.a."/>
  </r>
  <r>
    <x v="7"/>
    <x v="13"/>
    <x v="481"/>
    <x v="33"/>
    <n v="2302"/>
    <n v="-55"/>
    <n v="13"/>
    <x v="461"/>
    <s v="n.a."/>
  </r>
  <r>
    <x v="7"/>
    <x v="14"/>
    <x v="481"/>
    <x v="33"/>
    <n v="2343"/>
    <n v="-39"/>
    <n v="19"/>
    <x v="461"/>
    <s v="n.a."/>
  </r>
  <r>
    <x v="7"/>
    <x v="15"/>
    <x v="481"/>
    <x v="33"/>
    <n v="2363"/>
    <n v="-19"/>
    <n v="29"/>
    <x v="461"/>
    <s v="n.a."/>
  </r>
  <r>
    <x v="7"/>
    <x v="16"/>
    <x v="481"/>
    <x v="33"/>
    <n v="2356"/>
    <n v="-20"/>
    <n v="14"/>
    <x v="461"/>
    <s v="n.a."/>
  </r>
  <r>
    <x v="7"/>
    <x v="17"/>
    <x v="481"/>
    <x v="33"/>
    <n v="2361"/>
    <n v="-87"/>
    <n v="16"/>
    <x v="461"/>
    <s v="n.a."/>
  </r>
  <r>
    <x v="7"/>
    <x v="18"/>
    <x v="481"/>
    <x v="33"/>
    <n v="2430"/>
    <n v="106"/>
    <n v="-26"/>
    <x v="461"/>
    <s v="n.a."/>
  </r>
  <r>
    <x v="7"/>
    <x v="19"/>
    <x v="481"/>
    <x v="33"/>
    <n v="2353"/>
    <n v="-23"/>
    <n v="6"/>
    <x v="461"/>
    <s v="n.a."/>
  </r>
  <r>
    <x v="7"/>
    <x v="20"/>
    <x v="481"/>
    <x v="33"/>
    <n v="2370"/>
    <n v="155"/>
    <n v="-19"/>
    <x v="461"/>
    <s v="n.a."/>
  </r>
  <r>
    <x v="7"/>
    <x v="21"/>
    <x v="481"/>
    <x v="33"/>
    <n v="2234"/>
    <n v="66"/>
    <n v="8"/>
    <x v="461"/>
    <s v="n.a."/>
  </r>
  <r>
    <x v="7"/>
    <x v="22"/>
    <x v="481"/>
    <x v="33"/>
    <n v="1836"/>
    <n v="-104"/>
    <n v="28"/>
    <x v="461"/>
    <s v="n.a."/>
  </r>
  <r>
    <x v="7"/>
    <x v="23"/>
    <x v="481"/>
    <x v="33"/>
    <n v="2814"/>
    <n v="-2"/>
    <n v="33"/>
    <x v="461"/>
    <s v="n.a."/>
  </r>
  <r>
    <x v="7"/>
    <x v="24"/>
    <x v="481"/>
    <x v="33"/>
    <n v="2782"/>
    <n v="-13"/>
    <n v="-10"/>
    <x v="461"/>
    <s v="n.a."/>
  </r>
  <r>
    <x v="7"/>
    <x v="25"/>
    <x v="481"/>
    <x v="33"/>
    <n v="2806"/>
    <n v="96"/>
    <n v="-27"/>
    <x v="461"/>
    <s v="n.a."/>
  </r>
  <r>
    <x v="7"/>
    <x v="26"/>
    <x v="481"/>
    <x v="33"/>
    <n v="2742"/>
    <n v="-136"/>
    <n v="-4"/>
    <x v="461"/>
    <s v="n.a."/>
  </r>
  <r>
    <x v="7"/>
    <x v="27"/>
    <x v="481"/>
    <x v="33"/>
    <n v="2939"/>
    <n v="-170"/>
    <n v="1"/>
    <x v="461"/>
    <s v="n.a."/>
  </r>
  <r>
    <x v="7"/>
    <x v="28"/>
    <x v="481"/>
    <x v="33"/>
    <n v="3108"/>
    <n v="521"/>
    <n v="-13"/>
    <x v="461"/>
    <s v="n.a."/>
  </r>
  <r>
    <x v="7"/>
    <x v="29"/>
    <x v="481"/>
    <x v="33"/>
    <n v="2599"/>
    <n v="322"/>
    <n v="-8"/>
    <x v="461"/>
    <s v="n.a."/>
  </r>
  <r>
    <x v="7"/>
    <x v="30"/>
    <x v="481"/>
    <x v="33"/>
    <n v="2286"/>
    <n v="-410"/>
    <n v="7"/>
    <x v="461"/>
    <s v="n.a."/>
  </r>
  <r>
    <x v="7"/>
    <x v="31"/>
    <x v="481"/>
    <x v="33"/>
    <n v="2688"/>
    <n v="-117"/>
    <n v="41"/>
    <x v="461"/>
    <s v="n.a."/>
  </r>
  <r>
    <x v="7"/>
    <x v="32"/>
    <x v="481"/>
    <x v="33"/>
    <n v="2762"/>
    <n v="323"/>
    <n v="-20"/>
    <x v="461"/>
    <s v="n.a."/>
  </r>
  <r>
    <x v="7"/>
    <x v="33"/>
    <x v="481"/>
    <x v="33"/>
    <n v="2460"/>
    <s v="n.a."/>
    <s v="n.a."/>
    <x v="461"/>
    <s v="n.a."/>
  </r>
  <r>
    <x v="7"/>
    <x v="34"/>
    <x v="481"/>
    <x v="33"/>
    <n v="2548"/>
    <s v="n.a."/>
    <s v="n.a."/>
    <x v="461"/>
    <s v="n.a."/>
  </r>
  <r>
    <x v="7"/>
    <x v="35"/>
    <x v="481"/>
    <x v="33"/>
    <n v="2576"/>
    <s v="n.a."/>
    <s v="n.a."/>
    <x v="461"/>
    <s v="n.a."/>
  </r>
  <r>
    <x v="7"/>
    <x v="36"/>
    <x v="481"/>
    <x v="33"/>
    <n v="2600"/>
    <s v="n.a."/>
    <s v="n.a."/>
    <x v="461"/>
    <s v="n.a."/>
  </r>
  <r>
    <x v="7"/>
    <x v="37"/>
    <x v="481"/>
    <x v="33"/>
    <n v="2419"/>
    <s v="n.a."/>
    <s v="n.a."/>
    <x v="461"/>
    <s v="n.a."/>
  </r>
  <r>
    <x v="7"/>
    <x v="38"/>
    <x v="481"/>
    <x v="33"/>
    <n v="2222"/>
    <s v="n.a."/>
    <s v="n.a."/>
    <x v="461"/>
    <s v="n.a."/>
  </r>
  <r>
    <x v="7"/>
    <x v="39"/>
    <x v="481"/>
    <x v="33"/>
    <n v="2045"/>
    <s v="n.a."/>
    <s v="n.a."/>
    <x v="461"/>
    <s v="n.a."/>
  </r>
  <r>
    <x v="7"/>
    <x v="40"/>
    <x v="481"/>
    <x v="33"/>
    <n v="2012"/>
    <s v="n.a."/>
    <s v="n.a."/>
    <x v="461"/>
    <s v="n.a."/>
  </r>
  <r>
    <x v="7"/>
    <x v="41"/>
    <x v="481"/>
    <x v="33"/>
    <n v="1891"/>
    <s v="n.a."/>
    <s v="n.a."/>
    <x v="461"/>
    <s v="n.a."/>
  </r>
  <r>
    <x v="7"/>
    <x v="42"/>
    <x v="481"/>
    <x v="33"/>
    <n v="1904"/>
    <s v="n.a."/>
    <s v="n.a."/>
    <x v="461"/>
    <s v="n.a."/>
  </r>
  <r>
    <x v="7"/>
    <x v="43"/>
    <x v="481"/>
    <x v="33"/>
    <n v="2057"/>
    <s v="n.a."/>
    <s v="n.a."/>
    <x v="461"/>
    <s v="n.a."/>
  </r>
  <r>
    <x v="7"/>
    <x v="44"/>
    <x v="481"/>
    <x v="33"/>
    <n v="1701"/>
    <s v="n.a."/>
    <s v="n.a."/>
    <x v="461"/>
    <s v="n.a."/>
  </r>
  <r>
    <x v="7"/>
    <x v="45"/>
    <x v="481"/>
    <x v="33"/>
    <n v="1441"/>
    <s v="n.a."/>
    <s v="n.a."/>
    <x v="461"/>
    <s v="n.a."/>
  </r>
  <r>
    <x v="7"/>
    <x v="46"/>
    <x v="481"/>
    <x v="33"/>
    <n v="1221"/>
    <s v="n.a."/>
    <s v="n.a."/>
    <x v="461"/>
    <s v="n.a."/>
  </r>
  <r>
    <x v="7"/>
    <x v="47"/>
    <x v="481"/>
    <x v="33"/>
    <n v="1352"/>
    <s v="n.a."/>
    <s v="n.a."/>
    <x v="461"/>
    <s v="n.a."/>
  </r>
  <r>
    <x v="7"/>
    <x v="48"/>
    <x v="481"/>
    <x v="33"/>
    <n v="1373"/>
    <s v="n.a."/>
    <s v="n.a."/>
    <x v="461"/>
    <s v="n.a."/>
  </r>
  <r>
    <x v="7"/>
    <x v="49"/>
    <x v="481"/>
    <x v="33"/>
    <n v="1425"/>
    <s v="n.a."/>
    <s v="n.a."/>
    <x v="461"/>
    <s v="n.a."/>
  </r>
  <r>
    <x v="7"/>
    <x v="50"/>
    <x v="481"/>
    <x v="33"/>
    <n v="1382"/>
    <s v="n.a."/>
    <s v="n.a."/>
    <x v="461"/>
    <s v="n.a."/>
  </r>
  <r>
    <x v="7"/>
    <x v="51"/>
    <x v="481"/>
    <x v="33"/>
    <n v="1288"/>
    <s v="n.a."/>
    <s v="n.a."/>
    <x v="461"/>
    <s v="n.a."/>
  </r>
  <r>
    <x v="7"/>
    <x v="52"/>
    <x v="481"/>
    <x v="33"/>
    <n v="1298"/>
    <s v="n.a."/>
    <s v="n.a."/>
    <x v="461"/>
    <s v="n.a."/>
  </r>
  <r>
    <x v="7"/>
    <x v="53"/>
    <x v="481"/>
    <x v="33"/>
    <n v="1084"/>
    <s v="n.a."/>
    <s v="n.a."/>
    <x v="461"/>
    <s v="n.a."/>
  </r>
  <r>
    <x v="7"/>
    <x v="54"/>
    <x v="481"/>
    <x v="33"/>
    <n v="1188"/>
    <s v="n.a."/>
    <s v="n.a."/>
    <x v="461"/>
    <s v="n.a."/>
  </r>
  <r>
    <x v="7"/>
    <x v="55"/>
    <x v="481"/>
    <x v="33"/>
    <n v="1370"/>
    <s v="n.a."/>
    <s v="n.a."/>
    <x v="461"/>
    <s v="n.a."/>
  </r>
  <r>
    <x v="7"/>
    <x v="56"/>
    <x v="481"/>
    <x v="33"/>
    <n v="1358"/>
    <s v="n.a."/>
    <s v="n.a."/>
    <x v="461"/>
    <s v="n.a."/>
  </r>
  <r>
    <x v="7"/>
    <x v="57"/>
    <x v="481"/>
    <x v="33"/>
    <n v="1431"/>
    <s v="n.a."/>
    <s v="n.a."/>
    <x v="461"/>
    <s v="n.a."/>
  </r>
  <r>
    <x v="7"/>
    <x v="58"/>
    <x v="481"/>
    <x v="33"/>
    <n v="1558"/>
    <s v="n.a."/>
    <s v="n.a."/>
    <x v="461"/>
    <s v="n.a."/>
  </r>
  <r>
    <x v="7"/>
    <x v="59"/>
    <x v="481"/>
    <x v="33"/>
    <n v="1659"/>
    <s v="n.a."/>
    <s v="n.a."/>
    <x v="461"/>
    <s v="n.a."/>
  </r>
  <r>
    <x v="7"/>
    <x v="60"/>
    <x v="481"/>
    <x v="33"/>
    <n v="1614"/>
    <s v="n.a."/>
    <s v="n.a."/>
    <x v="461"/>
    <s v="n.a."/>
  </r>
  <r>
    <x v="7"/>
    <x v="61"/>
    <x v="481"/>
    <x v="33"/>
    <n v="1388"/>
    <s v="n.a."/>
    <s v="n.a."/>
    <x v="461"/>
    <s v="n.a."/>
  </r>
  <r>
    <x v="7"/>
    <x v="62"/>
    <x v="481"/>
    <x v="33"/>
    <n v="1691"/>
    <s v="n.a."/>
    <s v="n.a."/>
    <x v="461"/>
    <s v="n.a."/>
  </r>
  <r>
    <x v="7"/>
    <x v="63"/>
    <x v="481"/>
    <x v="33"/>
    <n v="1784"/>
    <s v="n.a."/>
    <s v="n.a."/>
    <x v="461"/>
    <s v="n.a."/>
  </r>
  <r>
    <x v="7"/>
    <x v="64"/>
    <x v="481"/>
    <x v="33"/>
    <n v="1768"/>
    <s v="n.a."/>
    <s v="n.a."/>
    <x v="461"/>
    <s v="n.a."/>
  </r>
  <r>
    <x v="7"/>
    <x v="65"/>
    <x v="481"/>
    <x v="33"/>
    <n v="1993"/>
    <s v="n.a."/>
    <s v="n.a."/>
    <x v="461"/>
    <s v="n.a."/>
  </r>
  <r>
    <x v="7"/>
    <x v="66"/>
    <x v="481"/>
    <x v="33"/>
    <n v="2013"/>
    <s v="n.a."/>
    <s v="n.a."/>
    <x v="461"/>
    <s v="n.a."/>
  </r>
  <r>
    <x v="7"/>
    <x v="67"/>
    <x v="481"/>
    <x v="33"/>
    <n v="2171"/>
    <s v="n.a."/>
    <s v="n.a."/>
    <x v="461"/>
    <s v="n.a."/>
  </r>
  <r>
    <x v="7"/>
    <x v="68"/>
    <x v="481"/>
    <x v="33"/>
    <n v="2209"/>
    <s v="n.a."/>
    <s v="n.a."/>
    <x v="461"/>
    <s v="n.a."/>
  </r>
  <r>
    <x v="7"/>
    <x v="69"/>
    <x v="481"/>
    <x v="33"/>
    <n v="2149"/>
    <s v="n.a."/>
    <s v="n.a."/>
    <x v="461"/>
    <s v="n.a."/>
  </r>
  <r>
    <x v="8"/>
    <x v="0"/>
    <x v="482"/>
    <x v="229"/>
    <n v="237250"/>
    <n v="451"/>
    <n v="4575"/>
    <x v="462"/>
    <n v="-2185"/>
  </r>
  <r>
    <x v="8"/>
    <x v="1"/>
    <x v="483"/>
    <x v="230"/>
    <n v="235303"/>
    <n v="4696"/>
    <n v="3085"/>
    <x v="463"/>
    <n v="-8750"/>
  </r>
  <r>
    <x v="8"/>
    <x v="2"/>
    <x v="484"/>
    <x v="231"/>
    <n v="229679"/>
    <n v="533"/>
    <n v="1818"/>
    <x v="464"/>
    <n v="14736"/>
  </r>
  <r>
    <x v="8"/>
    <x v="3"/>
    <x v="485"/>
    <x v="232"/>
    <n v="224787"/>
    <n v="4908"/>
    <n v="-7512"/>
    <x v="465"/>
    <n v="2249"/>
  </r>
  <r>
    <x v="8"/>
    <x v="4"/>
    <x v="486"/>
    <x v="233"/>
    <n v="220390"/>
    <n v="-721"/>
    <n v="2629"/>
    <x v="466"/>
    <n v="-7228"/>
  </r>
  <r>
    <x v="8"/>
    <x v="5"/>
    <x v="487"/>
    <x v="234"/>
    <n v="223016"/>
    <n v="1826"/>
    <n v="-5070"/>
    <x v="467"/>
    <n v="-1596"/>
  </r>
  <r>
    <x v="8"/>
    <x v="6"/>
    <x v="488"/>
    <x v="235"/>
    <n v="233972"/>
    <n v="1659"/>
    <n v="-610"/>
    <x v="468"/>
    <n v="-2482"/>
  </r>
  <r>
    <x v="8"/>
    <x v="7"/>
    <x v="489"/>
    <x v="236"/>
    <n v="220888"/>
    <n v="-398"/>
    <n v="-1297"/>
    <x v="469"/>
    <n v="-10117"/>
  </r>
  <r>
    <x v="8"/>
    <x v="8"/>
    <x v="490"/>
    <x v="237"/>
    <n v="220524"/>
    <n v="-3333"/>
    <n v="3723"/>
    <x v="470"/>
    <n v="6509"/>
  </r>
  <r>
    <x v="8"/>
    <x v="9"/>
    <x v="491"/>
    <x v="238"/>
    <n v="217696"/>
    <n v="-1643"/>
    <n v="960"/>
    <x v="471"/>
    <n v="-3435"/>
  </r>
  <r>
    <x v="8"/>
    <x v="10"/>
    <x v="492"/>
    <x v="239"/>
    <n v="223973"/>
    <n v="-983"/>
    <n v="406"/>
    <x v="472"/>
    <n v="-3219"/>
  </r>
  <r>
    <x v="8"/>
    <x v="11"/>
    <x v="493"/>
    <x v="240"/>
    <n v="224484"/>
    <n v="2244"/>
    <n v="4612"/>
    <x v="473"/>
    <n v="1243"/>
  </r>
  <r>
    <x v="8"/>
    <x v="12"/>
    <x v="494"/>
    <x v="241"/>
    <n v="219327"/>
    <n v="-25680"/>
    <n v="-3204"/>
    <x v="474"/>
    <n v="12156"/>
  </r>
  <r>
    <x v="8"/>
    <x v="13"/>
    <x v="495"/>
    <x v="242"/>
    <n v="250984"/>
    <n v="-417"/>
    <n v="1739"/>
    <x v="475"/>
    <n v="2359"/>
  </r>
  <r>
    <x v="8"/>
    <x v="14"/>
    <x v="496"/>
    <x v="243"/>
    <n v="248007"/>
    <n v="3976"/>
    <n v="1201"/>
    <x v="476"/>
    <n v="5018"/>
  </r>
  <r>
    <x v="8"/>
    <x v="15"/>
    <x v="497"/>
    <x v="244"/>
    <n v="243301"/>
    <n v="-2527"/>
    <n v="1866"/>
    <x v="477"/>
    <n v="4603"/>
  </r>
  <r>
    <x v="8"/>
    <x v="16"/>
    <x v="498"/>
    <x v="245"/>
    <n v="242851"/>
    <n v="523"/>
    <n v="17726"/>
    <x v="478"/>
    <n v="-2613"/>
  </r>
  <r>
    <x v="8"/>
    <x v="17"/>
    <x v="499"/>
    <x v="246"/>
    <n v="240934"/>
    <n v="5500"/>
    <n v="4488"/>
    <x v="479"/>
    <n v="909"/>
  </r>
  <r>
    <x v="8"/>
    <x v="18"/>
    <x v="500"/>
    <x v="247"/>
    <n v="235043"/>
    <n v="636"/>
    <n v="8036"/>
    <x v="480"/>
    <n v="-8703"/>
  </r>
  <r>
    <x v="8"/>
    <x v="19"/>
    <x v="501"/>
    <x v="248"/>
    <n v="236964"/>
    <n v="3106"/>
    <n v="2633"/>
    <x v="481"/>
    <n v="-5734"/>
  </r>
  <r>
    <x v="8"/>
    <x v="20"/>
    <x v="502"/>
    <x v="249"/>
    <n v="231758"/>
    <n v="6204"/>
    <n v="5034"/>
    <x v="482"/>
    <n v="5144"/>
  </r>
  <r>
    <x v="8"/>
    <x v="21"/>
    <x v="503"/>
    <x v="250"/>
    <n v="230328"/>
    <n v="-1171"/>
    <n v="-868"/>
    <x v="483"/>
    <n v="-10762"/>
  </r>
  <r>
    <x v="8"/>
    <x v="22"/>
    <x v="504"/>
    <x v="251"/>
    <n v="234606"/>
    <n v="117"/>
    <n v="5157"/>
    <x v="484"/>
    <n v="9825"/>
  </r>
  <r>
    <x v="8"/>
    <x v="23"/>
    <x v="505"/>
    <x v="252"/>
    <n v="199477"/>
    <n v="4335"/>
    <n v="6826"/>
    <x v="485"/>
    <n v="8625"/>
  </r>
  <r>
    <x v="8"/>
    <x v="24"/>
    <x v="506"/>
    <x v="253"/>
    <n v="191311"/>
    <n v="2643"/>
    <n v="-2476"/>
    <x v="486"/>
    <n v="6194"/>
  </r>
  <r>
    <x v="8"/>
    <x v="25"/>
    <x v="507"/>
    <x v="254"/>
    <n v="188962"/>
    <n v="1056"/>
    <n v="-4695"/>
    <x v="487"/>
    <n v="748"/>
  </r>
  <r>
    <x v="8"/>
    <x v="26"/>
    <x v="508"/>
    <x v="255"/>
    <n v="191788"/>
    <n v="2703"/>
    <n v="-1634"/>
    <x v="488"/>
    <n v="22754"/>
  </r>
  <r>
    <x v="8"/>
    <x v="27"/>
    <x v="509"/>
    <x v="256"/>
    <n v="190227"/>
    <n v="-4448"/>
    <n v="-1721"/>
    <x v="489"/>
    <n v="-8609"/>
  </r>
  <r>
    <x v="8"/>
    <x v="28"/>
    <x v="510"/>
    <x v="257"/>
    <n v="195794"/>
    <n v="4172"/>
    <n v="-2093"/>
    <x v="490"/>
    <n v="30012"/>
  </r>
  <r>
    <x v="8"/>
    <x v="29"/>
    <x v="511"/>
    <x v="258"/>
    <n v="189181"/>
    <n v="-2150"/>
    <n v="-2558"/>
    <x v="491"/>
    <n v="5684"/>
  </r>
  <r>
    <x v="8"/>
    <x v="30"/>
    <x v="512"/>
    <x v="259"/>
    <n v="194610"/>
    <n v="1907"/>
    <n v="991"/>
    <x v="492"/>
    <n v="-7390"/>
  </r>
  <r>
    <x v="8"/>
    <x v="31"/>
    <x v="513"/>
    <x v="260"/>
    <n v="193124"/>
    <n v="918"/>
    <n v="7074"/>
    <x v="493"/>
    <n v="-8639"/>
  </r>
  <r>
    <x v="8"/>
    <x v="32"/>
    <x v="514"/>
    <x v="261"/>
    <n v="185039"/>
    <n v="3307"/>
    <n v="-4523"/>
    <x v="494"/>
    <n v="-1624"/>
  </r>
  <r>
    <x v="8"/>
    <x v="33"/>
    <x v="515"/>
    <x v="33"/>
    <n v="185591"/>
    <s v="n.a."/>
    <s v="n.a."/>
    <x v="495"/>
    <n v="2024"/>
  </r>
  <r>
    <x v="8"/>
    <x v="34"/>
    <x v="516"/>
    <x v="33"/>
    <n v="186297"/>
    <s v="n.a."/>
    <s v="n.a."/>
    <x v="496"/>
    <n v="-5666"/>
  </r>
  <r>
    <x v="8"/>
    <x v="35"/>
    <x v="517"/>
    <x v="33"/>
    <n v="180391"/>
    <s v="n.a."/>
    <s v="n.a."/>
    <x v="497"/>
    <n v="-1896"/>
  </r>
  <r>
    <x v="8"/>
    <x v="36"/>
    <x v="518"/>
    <x v="33"/>
    <n v="182129"/>
    <s v="n.a."/>
    <s v="n.a."/>
    <x v="498"/>
    <n v="-23415"/>
  </r>
  <r>
    <x v="8"/>
    <x v="37"/>
    <x v="519"/>
    <x v="33"/>
    <n v="179021"/>
    <s v="n.a."/>
    <s v="n.a."/>
    <x v="499"/>
    <n v="3964"/>
  </r>
  <r>
    <x v="8"/>
    <x v="38"/>
    <x v="520"/>
    <x v="33"/>
    <n v="193128"/>
    <s v="n.a."/>
    <s v="n.a."/>
    <x v="500"/>
    <n v="1478"/>
  </r>
  <r>
    <x v="8"/>
    <x v="39"/>
    <x v="521"/>
    <x v="33"/>
    <n v="196581"/>
    <s v="n.a."/>
    <s v="n.a."/>
    <x v="501"/>
    <n v="-13787"/>
  </r>
  <r>
    <x v="8"/>
    <x v="40"/>
    <x v="522"/>
    <x v="33"/>
    <n v="190692"/>
    <s v="n.a."/>
    <s v="n.a."/>
    <x v="502"/>
    <n v="822"/>
  </r>
  <r>
    <x v="8"/>
    <x v="41"/>
    <x v="523"/>
    <x v="33"/>
    <n v="194660"/>
    <s v="n.a."/>
    <s v="n.a."/>
    <x v="503"/>
    <n v="-19183"/>
  </r>
  <r>
    <x v="8"/>
    <x v="42"/>
    <x v="524"/>
    <x v="33"/>
    <n v="196333"/>
    <s v="n.a."/>
    <s v="n.a."/>
    <x v="504"/>
    <n v="-6126"/>
  </r>
  <r>
    <x v="8"/>
    <x v="43"/>
    <x v="525"/>
    <x v="33"/>
    <n v="196484"/>
    <s v="n.a."/>
    <s v="n.a."/>
    <x v="505"/>
    <n v="317"/>
  </r>
  <r>
    <x v="8"/>
    <x v="44"/>
    <x v="526"/>
    <x v="33"/>
    <n v="195752"/>
    <s v="n.a."/>
    <s v="n.a."/>
    <x v="506"/>
    <n v="1566"/>
  </r>
  <r>
    <x v="8"/>
    <x v="45"/>
    <x v="527"/>
    <x v="33"/>
    <n v="191108"/>
    <s v="n.a."/>
    <s v="n.a."/>
    <x v="507"/>
    <n v="-11445"/>
  </r>
  <r>
    <x v="8"/>
    <x v="46"/>
    <x v="528"/>
    <x v="33"/>
    <n v="205695"/>
    <s v="n.a."/>
    <s v="n.a."/>
    <x v="508"/>
    <n v="-5268"/>
  </r>
  <r>
    <x v="8"/>
    <x v="47"/>
    <x v="500"/>
    <x v="33"/>
    <n v="195955"/>
    <s v="n.a."/>
    <s v="n.a."/>
    <x v="509"/>
    <n v="5910"/>
  </r>
  <r>
    <x v="8"/>
    <x v="48"/>
    <x v="529"/>
    <x v="33"/>
    <n v="195941"/>
    <s v="n.a."/>
    <s v="n.a."/>
    <x v="510"/>
    <n v="9689"/>
  </r>
  <r>
    <x v="8"/>
    <x v="49"/>
    <x v="530"/>
    <x v="33"/>
    <n v="191099"/>
    <s v="n.a."/>
    <s v="n.a."/>
    <x v="511"/>
    <n v="-6868"/>
  </r>
  <r>
    <x v="8"/>
    <x v="50"/>
    <x v="531"/>
    <x v="33"/>
    <n v="201038"/>
    <s v="n.a."/>
    <s v="n.a."/>
    <x v="512"/>
    <n v="1712"/>
  </r>
  <r>
    <x v="8"/>
    <x v="51"/>
    <x v="532"/>
    <x v="33"/>
    <n v="196220"/>
    <s v="n.a."/>
    <s v="n.a."/>
    <x v="513"/>
    <n v="-6416"/>
  </r>
  <r>
    <x v="8"/>
    <x v="52"/>
    <x v="533"/>
    <x v="33"/>
    <n v="192683"/>
    <s v="n.a."/>
    <s v="n.a."/>
    <x v="514"/>
    <n v="16227"/>
  </r>
  <r>
    <x v="8"/>
    <x v="53"/>
    <x v="534"/>
    <x v="33"/>
    <n v="191077"/>
    <s v="n.a."/>
    <s v="n.a."/>
    <x v="515"/>
    <n v="-3362"/>
  </r>
  <r>
    <x v="8"/>
    <x v="54"/>
    <x v="535"/>
    <x v="33"/>
    <n v="189870"/>
    <s v="n.a."/>
    <s v="n.a."/>
    <x v="516"/>
    <n v="-9171"/>
  </r>
  <r>
    <x v="8"/>
    <x v="55"/>
    <x v="536"/>
    <x v="33"/>
    <n v="183439"/>
    <s v="n.a."/>
    <s v="n.a."/>
    <x v="517"/>
    <n v="-6525"/>
  </r>
  <r>
    <x v="8"/>
    <x v="56"/>
    <x v="537"/>
    <x v="33"/>
    <n v="183123"/>
    <s v="n.a."/>
    <s v="n.a."/>
    <x v="518"/>
    <n v="2146"/>
  </r>
  <r>
    <x v="8"/>
    <x v="57"/>
    <x v="538"/>
    <x v="33"/>
    <n v="182894"/>
    <s v="n.a."/>
    <s v="n.a."/>
    <x v="519"/>
    <n v="-3198"/>
  </r>
  <r>
    <x v="8"/>
    <x v="58"/>
    <x v="539"/>
    <x v="33"/>
    <n v="184223"/>
    <s v="n.a."/>
    <s v="n.a."/>
    <x v="520"/>
    <n v="2824"/>
  </r>
  <r>
    <x v="8"/>
    <x v="59"/>
    <x v="540"/>
    <x v="33"/>
    <n v="183059"/>
    <s v="n.a."/>
    <s v="n.a."/>
    <x v="521"/>
    <n v="6121"/>
  </r>
  <r>
    <x v="8"/>
    <x v="60"/>
    <x v="541"/>
    <x v="33"/>
    <n v="191289"/>
    <s v="n.a."/>
    <s v="n.a."/>
    <x v="522"/>
    <n v="3861"/>
  </r>
  <r>
    <x v="8"/>
    <x v="61"/>
    <x v="542"/>
    <x v="33"/>
    <n v="194587"/>
    <s v="n.a."/>
    <s v="n.a."/>
    <x v="523"/>
    <n v="-15903"/>
  </r>
  <r>
    <x v="8"/>
    <x v="62"/>
    <x v="543"/>
    <x v="33"/>
    <n v="198150"/>
    <s v="n.a."/>
    <s v="n.a."/>
    <x v="524"/>
    <n v="4485"/>
  </r>
  <r>
    <x v="8"/>
    <x v="63"/>
    <x v="544"/>
    <x v="33"/>
    <n v="198180"/>
    <s v="n.a."/>
    <s v="n.a."/>
    <x v="525"/>
    <n v="3499"/>
  </r>
  <r>
    <x v="8"/>
    <x v="64"/>
    <x v="545"/>
    <x v="33"/>
    <n v="201143"/>
    <s v="n.a."/>
    <s v="n.a."/>
    <x v="526"/>
    <n v="13363"/>
  </r>
  <r>
    <x v="8"/>
    <x v="65"/>
    <x v="546"/>
    <x v="33"/>
    <n v="208532"/>
    <s v="n.a."/>
    <s v="n.a."/>
    <x v="527"/>
    <n v="18849"/>
  </r>
  <r>
    <x v="8"/>
    <x v="66"/>
    <x v="547"/>
    <x v="33"/>
    <n v="204485"/>
    <s v="n.a."/>
    <s v="n.a."/>
    <x v="528"/>
    <n v="41719"/>
  </r>
  <r>
    <x v="8"/>
    <x v="67"/>
    <x v="548"/>
    <x v="33"/>
    <n v="216495"/>
    <s v="n.a."/>
    <s v="n.a."/>
    <x v="529"/>
    <n v="13201"/>
  </r>
  <r>
    <x v="8"/>
    <x v="68"/>
    <x v="549"/>
    <x v="33"/>
    <n v="240862"/>
    <s v="n.a."/>
    <s v="n.a."/>
    <x v="530"/>
    <n v="2130"/>
  </r>
  <r>
    <x v="8"/>
    <x v="69"/>
    <x v="550"/>
    <x v="33"/>
    <n v="231941"/>
    <s v="n.a."/>
    <s v="n.a."/>
    <x v="531"/>
    <n v="-14064"/>
  </r>
  <r>
    <x v="9"/>
    <x v="0"/>
    <x v="551"/>
    <x v="262"/>
    <n v="62076"/>
    <n v="946"/>
    <n v="254"/>
    <x v="532"/>
    <n v="822"/>
  </r>
  <r>
    <x v="9"/>
    <x v="1"/>
    <x v="552"/>
    <x v="263"/>
    <n v="60367"/>
    <n v="1603"/>
    <n v="49"/>
    <x v="533"/>
    <n v="-1032"/>
  </r>
  <r>
    <x v="9"/>
    <x v="2"/>
    <x v="553"/>
    <x v="264"/>
    <n v="59486"/>
    <n v="2391"/>
    <n v="-78"/>
    <x v="534"/>
    <n v="-2138"/>
  </r>
  <r>
    <x v="9"/>
    <x v="3"/>
    <x v="554"/>
    <x v="265"/>
    <n v="57001"/>
    <n v="1419"/>
    <n v="-100"/>
    <x v="535"/>
    <n v="977"/>
  </r>
  <r>
    <x v="9"/>
    <x v="4"/>
    <x v="555"/>
    <x v="266"/>
    <n v="56127"/>
    <n v="-1496"/>
    <n v="252"/>
    <x v="536"/>
    <n v="1235"/>
  </r>
  <r>
    <x v="9"/>
    <x v="5"/>
    <x v="556"/>
    <x v="267"/>
    <n v="57434"/>
    <n v="985"/>
    <n v="-602"/>
    <x v="537"/>
    <n v="-284"/>
  </r>
  <r>
    <x v="9"/>
    <x v="6"/>
    <x v="557"/>
    <x v="268"/>
    <n v="57146"/>
    <n v="2152"/>
    <n v="98"/>
    <x v="538"/>
    <n v="-1289"/>
  </r>
  <r>
    <x v="9"/>
    <x v="7"/>
    <x v="558"/>
    <x v="269"/>
    <n v="54724"/>
    <n v="11"/>
    <n v="416"/>
    <x v="539"/>
    <n v="558"/>
  </r>
  <r>
    <x v="9"/>
    <x v="8"/>
    <x v="559"/>
    <x v="270"/>
    <n v="54336"/>
    <n v="960"/>
    <n v="516"/>
    <x v="540"/>
    <n v="-1170"/>
  </r>
  <r>
    <x v="9"/>
    <x v="9"/>
    <x v="560"/>
    <x v="271"/>
    <n v="53131"/>
    <n v="-1337"/>
    <n v="-30"/>
    <x v="541"/>
    <n v="-314"/>
  </r>
  <r>
    <x v="9"/>
    <x v="10"/>
    <x v="561"/>
    <x v="272"/>
    <n v="53978"/>
    <n v="3332"/>
    <n v="-475"/>
    <x v="542"/>
    <n v="-1815"/>
  </r>
  <r>
    <x v="9"/>
    <x v="11"/>
    <x v="562"/>
    <x v="273"/>
    <n v="51679"/>
    <n v="1910"/>
    <n v="155"/>
    <x v="543"/>
    <n v="-505"/>
  </r>
  <r>
    <x v="9"/>
    <x v="12"/>
    <x v="563"/>
    <x v="274"/>
    <n v="49963"/>
    <n v="1143"/>
    <n v="-830"/>
    <x v="544"/>
    <n v="-731"/>
  </r>
  <r>
    <x v="9"/>
    <x v="13"/>
    <x v="564"/>
    <x v="275"/>
    <n v="49802"/>
    <n v="83"/>
    <n v="-116"/>
    <x v="545"/>
    <n v="166"/>
  </r>
  <r>
    <x v="9"/>
    <x v="14"/>
    <x v="565"/>
    <x v="276"/>
    <n v="47689"/>
    <n v="713"/>
    <n v="782"/>
    <x v="546"/>
    <n v="742"/>
  </r>
  <r>
    <x v="9"/>
    <x v="15"/>
    <x v="566"/>
    <x v="277"/>
    <n v="46775"/>
    <n v="573"/>
    <n v="833"/>
    <x v="547"/>
    <n v="-471"/>
  </r>
  <r>
    <x v="9"/>
    <x v="16"/>
    <x v="567"/>
    <x v="278"/>
    <n v="46375"/>
    <n v="1336"/>
    <n v="273"/>
    <x v="548"/>
    <n v="-349"/>
  </r>
  <r>
    <x v="9"/>
    <x v="17"/>
    <x v="568"/>
    <x v="279"/>
    <n v="44852"/>
    <n v="510"/>
    <n v="-174"/>
    <x v="549"/>
    <n v="3442"/>
  </r>
  <r>
    <x v="9"/>
    <x v="18"/>
    <x v="569"/>
    <x v="280"/>
    <n v="43959"/>
    <n v="3812"/>
    <n v="-324"/>
    <x v="550"/>
    <n v="2586"/>
  </r>
  <r>
    <x v="9"/>
    <x v="19"/>
    <x v="570"/>
    <x v="281"/>
    <n v="40896"/>
    <n v="-1109"/>
    <n v="279"/>
    <x v="551"/>
    <n v="-427"/>
  </r>
  <r>
    <x v="9"/>
    <x v="20"/>
    <x v="571"/>
    <x v="282"/>
    <n v="41718"/>
    <n v="19"/>
    <n v="-694"/>
    <x v="552"/>
    <n v="44"/>
  </r>
  <r>
    <x v="9"/>
    <x v="21"/>
    <x v="572"/>
    <x v="283"/>
    <n v="42181"/>
    <n v="530"/>
    <n v="267"/>
    <x v="553"/>
    <n v="138"/>
  </r>
  <r>
    <x v="9"/>
    <x v="22"/>
    <x v="573"/>
    <x v="284"/>
    <n v="41647"/>
    <n v="254"/>
    <n v="749"/>
    <x v="554"/>
    <n v="178"/>
  </r>
  <r>
    <x v="9"/>
    <x v="23"/>
    <x v="574"/>
    <x v="285"/>
    <n v="41582"/>
    <n v="-589"/>
    <n v="846"/>
    <x v="555"/>
    <n v="69"/>
  </r>
  <r>
    <x v="9"/>
    <x v="24"/>
    <x v="575"/>
    <x v="286"/>
    <n v="41281"/>
    <n v="-611"/>
    <n v="-200"/>
    <x v="556"/>
    <n v="288"/>
  </r>
  <r>
    <x v="9"/>
    <x v="25"/>
    <x v="576"/>
    <x v="287"/>
    <n v="42566"/>
    <n v="264"/>
    <n v="-292"/>
    <x v="557"/>
    <n v="-28"/>
  </r>
  <r>
    <x v="9"/>
    <x v="26"/>
    <x v="577"/>
    <x v="288"/>
    <n v="42790"/>
    <n v="177"/>
    <n v="-406"/>
    <x v="558"/>
    <n v="-479"/>
  </r>
  <r>
    <x v="9"/>
    <x v="27"/>
    <x v="578"/>
    <x v="289"/>
    <n v="43003"/>
    <n v="-2440"/>
    <n v="5"/>
    <x v="559"/>
    <n v="696"/>
  </r>
  <r>
    <x v="9"/>
    <x v="28"/>
    <x v="579"/>
    <x v="290"/>
    <n v="44339"/>
    <n v="1959"/>
    <n v="-537"/>
    <x v="560"/>
    <n v="-3846"/>
  </r>
  <r>
    <x v="9"/>
    <x v="29"/>
    <x v="580"/>
    <x v="291"/>
    <n v="42877"/>
    <n v="880"/>
    <n v="-486"/>
    <x v="561"/>
    <n v="4864"/>
  </r>
  <r>
    <x v="9"/>
    <x v="30"/>
    <x v="581"/>
    <x v="292"/>
    <n v="41717"/>
    <n v="2778"/>
    <n v="-41"/>
    <x v="20"/>
    <n v="210"/>
  </r>
  <r>
    <x v="9"/>
    <x v="31"/>
    <x v="582"/>
    <x v="293"/>
    <n v="38267"/>
    <n v="-1026"/>
    <n v="477"/>
    <x v="562"/>
    <n v="-373"/>
  </r>
  <r>
    <x v="9"/>
    <x v="32"/>
    <x v="583"/>
    <x v="294"/>
    <n v="38463"/>
    <n v="-630"/>
    <n v="151"/>
    <x v="563"/>
    <n v="-4"/>
  </r>
  <r>
    <x v="9"/>
    <x v="33"/>
    <x v="584"/>
    <x v="33"/>
    <n v="38582"/>
    <s v="n.a."/>
    <s v="n.a."/>
    <x v="564"/>
    <n v="623"/>
  </r>
  <r>
    <x v="9"/>
    <x v="34"/>
    <x v="585"/>
    <x v="33"/>
    <n v="38172"/>
    <s v="n.a."/>
    <s v="n.a."/>
    <x v="565"/>
    <n v="-90"/>
  </r>
  <r>
    <x v="9"/>
    <x v="35"/>
    <x v="586"/>
    <x v="33"/>
    <n v="36982"/>
    <s v="n.a."/>
    <s v="n.a."/>
    <x v="566"/>
    <n v="359"/>
  </r>
  <r>
    <x v="9"/>
    <x v="36"/>
    <x v="587"/>
    <x v="33"/>
    <n v="36033"/>
    <s v="n.a."/>
    <s v="n.a."/>
    <x v="239"/>
    <n v="-272"/>
  </r>
  <r>
    <x v="9"/>
    <x v="37"/>
    <x v="588"/>
    <x v="33"/>
    <n v="35801"/>
    <s v="n.a."/>
    <s v="n.a."/>
    <x v="567"/>
    <n v="-409"/>
  </r>
  <r>
    <x v="9"/>
    <x v="38"/>
    <x v="589"/>
    <x v="33"/>
    <n v="36470"/>
    <s v="n.a."/>
    <s v="n.a."/>
    <x v="568"/>
    <n v="-55"/>
  </r>
  <r>
    <x v="9"/>
    <x v="39"/>
    <x v="590"/>
    <x v="33"/>
    <n v="38756"/>
    <s v="n.a."/>
    <s v="n.a."/>
    <x v="569"/>
    <n v="-100"/>
  </r>
  <r>
    <x v="9"/>
    <x v="40"/>
    <x v="591"/>
    <x v="33"/>
    <n v="38799"/>
    <s v="n.a."/>
    <s v="n.a."/>
    <x v="570"/>
    <n v="269"/>
  </r>
  <r>
    <x v="9"/>
    <x v="41"/>
    <x v="592"/>
    <x v="33"/>
    <n v="40595"/>
    <s v="n.a."/>
    <s v="n.a."/>
    <x v="571"/>
    <n v="-195"/>
  </r>
  <r>
    <x v="9"/>
    <x v="42"/>
    <x v="593"/>
    <x v="33"/>
    <n v="41079"/>
    <s v="n.a."/>
    <s v="n.a."/>
    <x v="572"/>
    <n v="-305"/>
  </r>
  <r>
    <x v="9"/>
    <x v="43"/>
    <x v="594"/>
    <x v="33"/>
    <n v="42418"/>
    <s v="n.a."/>
    <s v="n.a."/>
    <x v="573"/>
    <n v="-256"/>
  </r>
  <r>
    <x v="9"/>
    <x v="44"/>
    <x v="595"/>
    <x v="33"/>
    <n v="43319"/>
    <s v="n.a."/>
    <s v="n.a."/>
    <x v="574"/>
    <n v="396"/>
  </r>
  <r>
    <x v="9"/>
    <x v="45"/>
    <x v="596"/>
    <x v="33"/>
    <n v="40456"/>
    <s v="n.a."/>
    <s v="n.a."/>
    <x v="575"/>
    <n v="183"/>
  </r>
  <r>
    <x v="9"/>
    <x v="46"/>
    <x v="597"/>
    <x v="33"/>
    <n v="40839"/>
    <s v="n.a."/>
    <s v="n.a."/>
    <x v="576"/>
    <n v="-51"/>
  </r>
  <r>
    <x v="9"/>
    <x v="47"/>
    <x v="598"/>
    <x v="33"/>
    <n v="42470"/>
    <s v="n.a."/>
    <s v="n.a."/>
    <x v="577"/>
    <n v="-130"/>
  </r>
  <r>
    <x v="9"/>
    <x v="48"/>
    <x v="599"/>
    <x v="33"/>
    <n v="41876"/>
    <s v="n.a."/>
    <s v="n.a."/>
    <x v="578"/>
    <n v="-19"/>
  </r>
  <r>
    <x v="9"/>
    <x v="49"/>
    <x v="600"/>
    <x v="33"/>
    <n v="40112"/>
    <s v="n.a."/>
    <s v="n.a."/>
    <x v="579"/>
    <n v="50"/>
  </r>
  <r>
    <x v="9"/>
    <x v="50"/>
    <x v="601"/>
    <x v="33"/>
    <n v="39372"/>
    <s v="n.a."/>
    <s v="n.a."/>
    <x v="580"/>
    <n v="99"/>
  </r>
  <r>
    <x v="9"/>
    <x v="51"/>
    <x v="602"/>
    <x v="33"/>
    <n v="40286"/>
    <s v="n.a."/>
    <s v="n.a."/>
    <x v="577"/>
    <n v="-13"/>
  </r>
  <r>
    <x v="9"/>
    <x v="52"/>
    <x v="603"/>
    <x v="33"/>
    <n v="38381"/>
    <s v="n.a."/>
    <s v="n.a."/>
    <x v="581"/>
    <n v="113"/>
  </r>
  <r>
    <x v="9"/>
    <x v="53"/>
    <x v="604"/>
    <x v="33"/>
    <n v="36776"/>
    <s v="n.a."/>
    <s v="n.a."/>
    <x v="582"/>
    <n v="-348"/>
  </r>
  <r>
    <x v="9"/>
    <x v="54"/>
    <x v="605"/>
    <x v="33"/>
    <n v="35867"/>
    <s v="n.a."/>
    <s v="n.a."/>
    <x v="583"/>
    <n v="-127"/>
  </r>
  <r>
    <x v="9"/>
    <x v="55"/>
    <x v="606"/>
    <x v="33"/>
    <n v="34608"/>
    <s v="n.a."/>
    <s v="n.a."/>
    <x v="584"/>
    <n v="-265"/>
  </r>
  <r>
    <x v="9"/>
    <x v="56"/>
    <x v="607"/>
    <x v="33"/>
    <n v="34613"/>
    <s v="n.a."/>
    <s v="n.a."/>
    <x v="585"/>
    <n v="-42"/>
  </r>
  <r>
    <x v="9"/>
    <x v="57"/>
    <x v="608"/>
    <x v="33"/>
    <n v="36091"/>
    <s v="n.a."/>
    <s v="n.a."/>
    <x v="586"/>
    <n v="-60"/>
  </r>
  <r>
    <x v="9"/>
    <x v="58"/>
    <x v="609"/>
    <x v="33"/>
    <n v="36803"/>
    <s v="n.a."/>
    <s v="n.a."/>
    <x v="587"/>
    <n v="128"/>
  </r>
  <r>
    <x v="9"/>
    <x v="59"/>
    <x v="610"/>
    <x v="33"/>
    <n v="39182"/>
    <s v="n.a."/>
    <s v="n.a."/>
    <x v="588"/>
    <n v="-186"/>
  </r>
  <r>
    <x v="9"/>
    <x v="60"/>
    <x v="611"/>
    <x v="33"/>
    <n v="41820"/>
    <s v="n.a."/>
    <s v="n.a."/>
    <x v="589"/>
    <n v="54"/>
  </r>
  <r>
    <x v="9"/>
    <x v="61"/>
    <x v="612"/>
    <x v="33"/>
    <n v="41677"/>
    <s v="n.a."/>
    <s v="n.a."/>
    <x v="590"/>
    <n v="-10"/>
  </r>
  <r>
    <x v="9"/>
    <x v="62"/>
    <x v="613"/>
    <x v="33"/>
    <n v="41155"/>
    <s v="n.a."/>
    <s v="n.a."/>
    <x v="591"/>
    <n v="-292"/>
  </r>
  <r>
    <x v="9"/>
    <x v="63"/>
    <x v="614"/>
    <x v="33"/>
    <n v="40038"/>
    <s v="n.a."/>
    <s v="n.a."/>
    <x v="592"/>
    <n v="-402"/>
  </r>
  <r>
    <x v="9"/>
    <x v="64"/>
    <x v="615"/>
    <x v="33"/>
    <n v="39434"/>
    <s v="n.a."/>
    <s v="n.a."/>
    <x v="593"/>
    <n v="169"/>
  </r>
  <r>
    <x v="9"/>
    <x v="65"/>
    <x v="616"/>
    <x v="33"/>
    <n v="38529"/>
    <s v="n.a."/>
    <s v="n.a."/>
    <x v="594"/>
    <n v="606"/>
  </r>
  <r>
    <x v="9"/>
    <x v="66"/>
    <x v="617"/>
    <x v="33"/>
    <n v="39234"/>
    <s v="n.a."/>
    <s v="n.a."/>
    <x v="595"/>
    <n v="167"/>
  </r>
  <r>
    <x v="9"/>
    <x v="67"/>
    <x v="618"/>
    <x v="33"/>
    <n v="42779"/>
    <s v="n.a."/>
    <s v="n.a."/>
    <x v="596"/>
    <n v="-943"/>
  </r>
  <r>
    <x v="9"/>
    <x v="68"/>
    <x v="619"/>
    <x v="33"/>
    <n v="43819"/>
    <s v="n.a."/>
    <s v="n.a."/>
    <x v="593"/>
    <n v="-764"/>
  </r>
  <r>
    <x v="9"/>
    <x v="69"/>
    <x v="620"/>
    <x v="33"/>
    <n v="40866"/>
    <s v="n.a."/>
    <s v="n.a."/>
    <x v="597"/>
    <n v="-1323"/>
  </r>
  <r>
    <x v="10"/>
    <x v="0"/>
    <x v="621"/>
    <x v="295"/>
    <n v="323823"/>
    <n v="828"/>
    <n v="949"/>
    <x v="598"/>
    <n v="-4977"/>
  </r>
  <r>
    <x v="10"/>
    <x v="1"/>
    <x v="622"/>
    <x v="296"/>
    <n v="320941"/>
    <n v="10666"/>
    <n v="1240"/>
    <x v="599"/>
    <n v="155"/>
  </r>
  <r>
    <x v="10"/>
    <x v="2"/>
    <x v="623"/>
    <x v="297"/>
    <n v="311034"/>
    <n v="14500"/>
    <n v="633"/>
    <x v="600"/>
    <n v="5300"/>
  </r>
  <r>
    <x v="10"/>
    <x v="3"/>
    <x v="624"/>
    <x v="298"/>
    <n v="310355"/>
    <n v="884"/>
    <n v="-936"/>
    <x v="601"/>
    <n v="831"/>
  </r>
  <r>
    <x v="10"/>
    <x v="4"/>
    <x v="625"/>
    <x v="299"/>
    <n v="310760"/>
    <n v="-3357"/>
    <n v="2276"/>
    <x v="602"/>
    <n v="-6227"/>
  </r>
  <r>
    <x v="10"/>
    <x v="5"/>
    <x v="626"/>
    <x v="300"/>
    <n v="312569"/>
    <n v="3695"/>
    <n v="-1157"/>
    <x v="603"/>
    <n v="1443"/>
  </r>
  <r>
    <x v="10"/>
    <x v="6"/>
    <x v="627"/>
    <x v="301"/>
    <n v="312285"/>
    <n v="-7442"/>
    <n v="874"/>
    <x v="604"/>
    <n v="3063"/>
  </r>
  <r>
    <x v="10"/>
    <x v="7"/>
    <x v="628"/>
    <x v="302"/>
    <n v="316873"/>
    <n v="-3795"/>
    <n v="676"/>
    <x v="605"/>
    <n v="1394"/>
  </r>
  <r>
    <x v="10"/>
    <x v="8"/>
    <x v="629"/>
    <x v="303"/>
    <n v="318255"/>
    <n v="4202"/>
    <n v="2816"/>
    <x v="606"/>
    <n v="-5378"/>
  </r>
  <r>
    <x v="10"/>
    <x v="9"/>
    <x v="630"/>
    <x v="304"/>
    <n v="310373"/>
    <n v="-2234"/>
    <n v="662"/>
    <x v="607"/>
    <n v="-11590"/>
  </r>
  <r>
    <x v="10"/>
    <x v="10"/>
    <x v="631"/>
    <x v="305"/>
    <n v="312774"/>
    <n v="-56"/>
    <n v="-348"/>
    <x v="608"/>
    <n v="4836"/>
  </r>
  <r>
    <x v="10"/>
    <x v="11"/>
    <x v="632"/>
    <x v="306"/>
    <n v="311519"/>
    <n v="-4018"/>
    <n v="2779"/>
    <x v="609"/>
    <n v="6401"/>
  </r>
  <r>
    <x v="10"/>
    <x v="12"/>
    <x v="633"/>
    <x v="307"/>
    <n v="313641"/>
    <n v="5104"/>
    <n v="1830"/>
    <x v="610"/>
    <n v="1129"/>
  </r>
  <r>
    <x v="10"/>
    <x v="13"/>
    <x v="634"/>
    <x v="308"/>
    <n v="308392"/>
    <n v="1136"/>
    <n v="13709"/>
    <x v="611"/>
    <n v="-1078"/>
  </r>
  <r>
    <x v="10"/>
    <x v="14"/>
    <x v="635"/>
    <x v="309"/>
    <n v="295903"/>
    <n v="1900"/>
    <n v="6553"/>
    <x v="612"/>
    <n v="-2091"/>
  </r>
  <r>
    <x v="10"/>
    <x v="15"/>
    <x v="636"/>
    <x v="310"/>
    <n v="287406"/>
    <n v="-2936"/>
    <n v="13398"/>
    <x v="613"/>
    <n v="4890"/>
  </r>
  <r>
    <x v="10"/>
    <x v="16"/>
    <x v="637"/>
    <x v="311"/>
    <n v="277147"/>
    <n v="2190"/>
    <n v="5934"/>
    <x v="614"/>
    <n v="-1072"/>
  </r>
  <r>
    <x v="10"/>
    <x v="17"/>
    <x v="638"/>
    <x v="312"/>
    <n v="269175"/>
    <n v="2754"/>
    <n v="4608"/>
    <x v="615"/>
    <n v="-421"/>
  </r>
  <r>
    <x v="10"/>
    <x v="18"/>
    <x v="639"/>
    <x v="313"/>
    <n v="260700"/>
    <n v="2489"/>
    <n v="-1923"/>
    <x v="616"/>
    <n v="-8182"/>
  </r>
  <r>
    <x v="10"/>
    <x v="19"/>
    <x v="640"/>
    <x v="314"/>
    <n v="259511"/>
    <n v="3541"/>
    <n v="4091"/>
    <x v="617"/>
    <n v="3625"/>
  </r>
  <r>
    <x v="10"/>
    <x v="20"/>
    <x v="641"/>
    <x v="315"/>
    <n v="252694"/>
    <n v="6475"/>
    <n v="1754"/>
    <x v="618"/>
    <n v="297"/>
  </r>
  <r>
    <x v="10"/>
    <x v="21"/>
    <x v="642"/>
    <x v="316"/>
    <n v="245259"/>
    <n v="9652"/>
    <n v="1269"/>
    <x v="619"/>
    <n v="-690"/>
  </r>
  <r>
    <x v="10"/>
    <x v="22"/>
    <x v="643"/>
    <x v="317"/>
    <n v="236450"/>
    <n v="2343"/>
    <n v="1031"/>
    <x v="620"/>
    <n v="-1400"/>
  </r>
  <r>
    <x v="10"/>
    <x v="23"/>
    <x v="644"/>
    <x v="318"/>
    <n v="266376"/>
    <n v="7806"/>
    <n v="2678"/>
    <x v="621"/>
    <n v="15148"/>
  </r>
  <r>
    <x v="10"/>
    <x v="24"/>
    <x v="645"/>
    <x v="319"/>
    <n v="255643"/>
    <n v="-16921"/>
    <n v="-1851"/>
    <x v="622"/>
    <n v="-7819"/>
  </r>
  <r>
    <x v="10"/>
    <x v="25"/>
    <x v="646"/>
    <x v="320"/>
    <n v="276107"/>
    <n v="7842"/>
    <n v="-3211"/>
    <x v="623"/>
    <n v="5924"/>
  </r>
  <r>
    <x v="10"/>
    <x v="26"/>
    <x v="647"/>
    <x v="321"/>
    <n v="274166"/>
    <n v="7535"/>
    <n v="-2343"/>
    <x v="624"/>
    <n v="10990"/>
  </r>
  <r>
    <x v="10"/>
    <x v="27"/>
    <x v="648"/>
    <x v="322"/>
    <n v="271372"/>
    <n v="12453"/>
    <n v="-77"/>
    <x v="625"/>
    <n v="6393"/>
  </r>
  <r>
    <x v="10"/>
    <x v="28"/>
    <x v="649"/>
    <x v="323"/>
    <n v="256418"/>
    <n v="-6021"/>
    <n v="-964"/>
    <x v="626"/>
    <n v="5254"/>
  </r>
  <r>
    <x v="10"/>
    <x v="29"/>
    <x v="650"/>
    <x v="324"/>
    <n v="262470"/>
    <n v="1743"/>
    <n v="-1602"/>
    <x v="627"/>
    <n v="2002"/>
  </r>
  <r>
    <x v="10"/>
    <x v="30"/>
    <x v="651"/>
    <x v="325"/>
    <n v="265272"/>
    <n v="3675"/>
    <n v="89"/>
    <x v="628"/>
    <n v="367"/>
  </r>
  <r>
    <x v="10"/>
    <x v="31"/>
    <x v="652"/>
    <x v="326"/>
    <n v="261934"/>
    <n v="-5766"/>
    <n v="4887"/>
    <x v="629"/>
    <n v="14"/>
  </r>
  <r>
    <x v="10"/>
    <x v="32"/>
    <x v="653"/>
    <x v="327"/>
    <n v="260567"/>
    <n v="10340"/>
    <n v="-3625"/>
    <x v="630"/>
    <n v="3099"/>
  </r>
  <r>
    <x v="10"/>
    <x v="33"/>
    <x v="539"/>
    <x v="33"/>
    <n v="254648"/>
    <s v="n.a."/>
    <s v="n.a."/>
    <x v="631"/>
    <n v="-5314"/>
  </r>
  <r>
    <x v="10"/>
    <x v="34"/>
    <x v="654"/>
    <x v="33"/>
    <n v="260500"/>
    <s v="n.a."/>
    <s v="n.a."/>
    <x v="632"/>
    <n v="2770"/>
  </r>
  <r>
    <x v="10"/>
    <x v="35"/>
    <x v="655"/>
    <x v="33"/>
    <n v="245219"/>
    <s v="n.a."/>
    <s v="n.a."/>
    <x v="633"/>
    <n v="3068"/>
  </r>
  <r>
    <x v="10"/>
    <x v="36"/>
    <x v="656"/>
    <x v="33"/>
    <n v="235432"/>
    <s v="n.a."/>
    <s v="n.a."/>
    <x v="634"/>
    <n v="-3020"/>
  </r>
  <r>
    <x v="10"/>
    <x v="37"/>
    <x v="657"/>
    <x v="33"/>
    <n v="233856"/>
    <s v="n.a."/>
    <s v="n.a."/>
    <x v="635"/>
    <n v="-7409"/>
  </r>
  <r>
    <x v="10"/>
    <x v="38"/>
    <x v="658"/>
    <x v="33"/>
    <n v="234952"/>
    <s v="n.a."/>
    <s v="n.a."/>
    <x v="636"/>
    <n v="3652"/>
  </r>
  <r>
    <x v="10"/>
    <x v="39"/>
    <x v="659"/>
    <x v="33"/>
    <n v="236793"/>
    <s v="n.a."/>
    <s v="n.a."/>
    <x v="637"/>
    <n v="-4756"/>
  </r>
  <r>
    <x v="10"/>
    <x v="40"/>
    <x v="660"/>
    <x v="33"/>
    <n v="234755"/>
    <s v="n.a."/>
    <s v="n.a."/>
    <x v="638"/>
    <n v="-5134"/>
  </r>
  <r>
    <x v="10"/>
    <x v="41"/>
    <x v="661"/>
    <x v="33"/>
    <n v="216825"/>
    <s v="n.a."/>
    <s v="n.a."/>
    <x v="639"/>
    <n v="-4592"/>
  </r>
  <r>
    <x v="10"/>
    <x v="42"/>
    <x v="662"/>
    <x v="33"/>
    <n v="211945"/>
    <s v="n.a."/>
    <s v="n.a."/>
    <x v="640"/>
    <n v="-5462"/>
  </r>
  <r>
    <x v="10"/>
    <x v="43"/>
    <x v="663"/>
    <x v="33"/>
    <n v="213486"/>
    <s v="n.a."/>
    <s v="n.a."/>
    <x v="641"/>
    <n v="-16323"/>
  </r>
  <r>
    <x v="10"/>
    <x v="44"/>
    <x v="664"/>
    <x v="33"/>
    <n v="210372"/>
    <s v="n.a."/>
    <s v="n.a."/>
    <x v="642"/>
    <n v="1657"/>
  </r>
  <r>
    <x v="10"/>
    <x v="45"/>
    <x v="665"/>
    <x v="33"/>
    <n v="208622"/>
    <s v="n.a."/>
    <s v="n.a."/>
    <x v="643"/>
    <n v="1957"/>
  </r>
  <r>
    <x v="10"/>
    <x v="46"/>
    <x v="666"/>
    <x v="33"/>
    <n v="225411"/>
    <s v="n.a."/>
    <s v="n.a."/>
    <x v="644"/>
    <n v="-11172"/>
  </r>
  <r>
    <x v="10"/>
    <x v="47"/>
    <x v="667"/>
    <x v="33"/>
    <n v="219695"/>
    <s v="n.a."/>
    <s v="n.a."/>
    <x v="645"/>
    <n v="6659"/>
  </r>
  <r>
    <x v="10"/>
    <x v="48"/>
    <x v="668"/>
    <x v="33"/>
    <n v="207410"/>
    <s v="n.a."/>
    <s v="n.a."/>
    <x v="646"/>
    <n v="3504"/>
  </r>
  <r>
    <x v="10"/>
    <x v="49"/>
    <x v="669"/>
    <x v="33"/>
    <n v="208599"/>
    <s v="n.a."/>
    <s v="n.a."/>
    <x v="647"/>
    <n v="7658"/>
  </r>
  <r>
    <x v="10"/>
    <x v="50"/>
    <x v="670"/>
    <x v="33"/>
    <n v="198412"/>
    <s v="n.a."/>
    <s v="n.a."/>
    <x v="648"/>
    <n v="1543"/>
  </r>
  <r>
    <x v="10"/>
    <x v="51"/>
    <x v="671"/>
    <x v="33"/>
    <n v="197440"/>
    <s v="n.a."/>
    <s v="n.a."/>
    <x v="649"/>
    <n v="-7308"/>
  </r>
  <r>
    <x v="10"/>
    <x v="52"/>
    <x v="672"/>
    <x v="33"/>
    <n v="200566"/>
    <s v="n.a."/>
    <s v="n.a."/>
    <x v="650"/>
    <n v="11932"/>
  </r>
  <r>
    <x v="10"/>
    <x v="53"/>
    <x v="673"/>
    <x v="33"/>
    <n v="197998"/>
    <s v="n.a."/>
    <s v="n.a."/>
    <x v="651"/>
    <n v="-3713"/>
  </r>
  <r>
    <x v="10"/>
    <x v="54"/>
    <x v="674"/>
    <x v="33"/>
    <n v="197094"/>
    <s v="n.a."/>
    <s v="n.a."/>
    <x v="652"/>
    <n v="37"/>
  </r>
  <r>
    <x v="10"/>
    <x v="55"/>
    <x v="675"/>
    <x v="33"/>
    <n v="189538"/>
    <s v="n.a."/>
    <s v="n.a."/>
    <x v="653"/>
    <n v="-2710"/>
  </r>
  <r>
    <x v="10"/>
    <x v="56"/>
    <x v="676"/>
    <x v="33"/>
    <n v="186082"/>
    <s v="n.a."/>
    <s v="n.a."/>
    <x v="654"/>
    <n v="767"/>
  </r>
  <r>
    <x v="10"/>
    <x v="57"/>
    <x v="677"/>
    <x v="33"/>
    <n v="185677"/>
    <s v="n.a."/>
    <s v="n.a."/>
    <x v="655"/>
    <n v="-1686"/>
  </r>
  <r>
    <x v="10"/>
    <x v="58"/>
    <x v="678"/>
    <x v="33"/>
    <n v="190771"/>
    <s v="n.a."/>
    <s v="n.a."/>
    <x v="656"/>
    <n v="8654"/>
  </r>
  <r>
    <x v="10"/>
    <x v="59"/>
    <x v="679"/>
    <x v="33"/>
    <n v="179604"/>
    <s v="n.a."/>
    <s v="n.a."/>
    <x v="657"/>
    <n v="1825"/>
  </r>
  <r>
    <x v="10"/>
    <x v="60"/>
    <x v="680"/>
    <x v="33"/>
    <n v="179769"/>
    <s v="n.a."/>
    <s v="n.a."/>
    <x v="658"/>
    <n v="2924"/>
  </r>
  <r>
    <x v="10"/>
    <x v="61"/>
    <x v="681"/>
    <x v="33"/>
    <n v="178960"/>
    <s v="n.a."/>
    <s v="n.a."/>
    <x v="659"/>
    <n v="-4140"/>
  </r>
  <r>
    <x v="10"/>
    <x v="62"/>
    <x v="682"/>
    <x v="33"/>
    <n v="181211"/>
    <s v="n.a."/>
    <s v="n.a."/>
    <x v="660"/>
    <n v="5291"/>
  </r>
  <r>
    <x v="10"/>
    <x v="63"/>
    <x v="683"/>
    <x v="33"/>
    <n v="182358"/>
    <s v="n.a."/>
    <s v="n.a."/>
    <x v="661"/>
    <n v="-2751"/>
  </r>
  <r>
    <x v="10"/>
    <x v="64"/>
    <x v="684"/>
    <x v="33"/>
    <n v="182240"/>
    <s v="n.a."/>
    <s v="n.a."/>
    <x v="662"/>
    <n v="8036"/>
  </r>
  <r>
    <x v="10"/>
    <x v="65"/>
    <x v="685"/>
    <x v="33"/>
    <n v="185627"/>
    <s v="n.a."/>
    <s v="n.a."/>
    <x v="663"/>
    <n v="7787"/>
  </r>
  <r>
    <x v="10"/>
    <x v="66"/>
    <x v="686"/>
    <x v="33"/>
    <n v="196255"/>
    <s v="n.a."/>
    <s v="n.a."/>
    <x v="664"/>
    <n v="27781"/>
  </r>
  <r>
    <x v="10"/>
    <x v="67"/>
    <x v="687"/>
    <x v="33"/>
    <n v="204648"/>
    <s v="n.a."/>
    <s v="n.a."/>
    <x v="665"/>
    <n v="-3017"/>
  </r>
  <r>
    <x v="10"/>
    <x v="68"/>
    <x v="688"/>
    <x v="33"/>
    <n v="216302"/>
    <s v="n.a."/>
    <s v="n.a."/>
    <x v="666"/>
    <n v="1475"/>
  </r>
  <r>
    <x v="10"/>
    <x v="69"/>
    <x v="689"/>
    <x v="33"/>
    <n v="212181"/>
    <s v="n.a."/>
    <s v="n.a."/>
    <x v="667"/>
    <n v="-7691"/>
  </r>
  <r>
    <x v="11"/>
    <x v="0"/>
    <x v="690"/>
    <x v="328"/>
    <n v="78143"/>
    <n v="1029"/>
    <n v="-3"/>
    <x v="668"/>
    <n v="-236"/>
  </r>
  <r>
    <x v="11"/>
    <x v="1"/>
    <x v="691"/>
    <x v="329"/>
    <n v="76656"/>
    <n v="22"/>
    <n v="541"/>
    <x v="669"/>
    <n v="-153"/>
  </r>
  <r>
    <x v="11"/>
    <x v="2"/>
    <x v="692"/>
    <x v="330"/>
    <n v="77724"/>
    <n v="-3823"/>
    <n v="542"/>
    <x v="670"/>
    <n v="82"/>
  </r>
  <r>
    <x v="11"/>
    <x v="3"/>
    <x v="693"/>
    <x v="331"/>
    <n v="80735"/>
    <n v="3495"/>
    <n v="-521"/>
    <x v="671"/>
    <n v="-198"/>
  </r>
  <r>
    <x v="11"/>
    <x v="4"/>
    <x v="694"/>
    <x v="332"/>
    <n v="79456"/>
    <n v="2014"/>
    <n v="627"/>
    <x v="672"/>
    <n v="134"/>
  </r>
  <r>
    <x v="11"/>
    <x v="5"/>
    <x v="695"/>
    <x v="333"/>
    <n v="77404"/>
    <n v="-3915"/>
    <n v="-1437"/>
    <x v="673"/>
    <n v="-444"/>
  </r>
  <r>
    <x v="11"/>
    <x v="6"/>
    <x v="696"/>
    <x v="334"/>
    <n v="83039"/>
    <n v="-3708"/>
    <n v="-483"/>
    <x v="674"/>
    <n v="-1609"/>
  </r>
  <r>
    <x v="11"/>
    <x v="7"/>
    <x v="697"/>
    <x v="335"/>
    <n v="86759"/>
    <n v="6141"/>
    <n v="-300"/>
    <x v="675"/>
    <n v="1349"/>
  </r>
  <r>
    <x v="11"/>
    <x v="8"/>
    <x v="698"/>
    <x v="336"/>
    <n v="80372"/>
    <n v="2236"/>
    <n v="2219"/>
    <x v="676"/>
    <n v="-594"/>
  </r>
  <r>
    <x v="11"/>
    <x v="9"/>
    <x v="699"/>
    <x v="337"/>
    <n v="75990"/>
    <n v="1828"/>
    <n v="164"/>
    <x v="677"/>
    <n v="-81"/>
  </r>
  <r>
    <x v="11"/>
    <x v="10"/>
    <x v="700"/>
    <x v="338"/>
    <n v="75084"/>
    <n v="-3982"/>
    <n v="-619"/>
    <x v="678"/>
    <n v="45"/>
  </r>
  <r>
    <x v="11"/>
    <x v="11"/>
    <x v="701"/>
    <x v="339"/>
    <n v="80925"/>
    <n v="3850"/>
    <n v="154"/>
    <x v="679"/>
    <n v="-310"/>
  </r>
  <r>
    <x v="11"/>
    <x v="12"/>
    <x v="702"/>
    <x v="340"/>
    <n v="75934"/>
    <n v="-2752"/>
    <n v="-2497"/>
    <x v="680"/>
    <n v="173"/>
  </r>
  <r>
    <x v="11"/>
    <x v="13"/>
    <x v="703"/>
    <x v="341"/>
    <n v="81697"/>
    <n v="6254"/>
    <n v="1006"/>
    <x v="681"/>
    <n v="208"/>
  </r>
  <r>
    <x v="11"/>
    <x v="14"/>
    <x v="704"/>
    <x v="342"/>
    <n v="74906"/>
    <n v="1481"/>
    <n v="718"/>
    <x v="682"/>
    <n v="-104"/>
  </r>
  <r>
    <x v="11"/>
    <x v="15"/>
    <x v="705"/>
    <x v="343"/>
    <n v="72954"/>
    <n v="2965"/>
    <n v="997"/>
    <x v="683"/>
    <n v="270"/>
  </r>
  <r>
    <x v="11"/>
    <x v="16"/>
    <x v="706"/>
    <x v="344"/>
    <n v="68691"/>
    <n v="-886"/>
    <n v="444"/>
    <x v="684"/>
    <n v="416"/>
  </r>
  <r>
    <x v="11"/>
    <x v="17"/>
    <x v="707"/>
    <x v="345"/>
    <n v="69209"/>
    <n v="-227"/>
    <n v="663"/>
    <x v="685"/>
    <n v="-18"/>
  </r>
  <r>
    <x v="11"/>
    <x v="18"/>
    <x v="708"/>
    <x v="346"/>
    <n v="68942"/>
    <n v="5115"/>
    <n v="-1869"/>
    <x v="686"/>
    <n v="-288"/>
  </r>
  <r>
    <x v="11"/>
    <x v="19"/>
    <x v="709"/>
    <x v="347"/>
    <n v="65361"/>
    <n v="-1814"/>
    <n v="562"/>
    <x v="687"/>
    <n v="17"/>
  </r>
  <r>
    <x v="11"/>
    <x v="20"/>
    <x v="710"/>
    <x v="348"/>
    <n v="66644"/>
    <n v="-2"/>
    <n v="-485"/>
    <x v="688"/>
    <n v="143"/>
  </r>
  <r>
    <x v="11"/>
    <x v="21"/>
    <x v="711"/>
    <x v="349"/>
    <n v="69130"/>
    <n v="1061"/>
    <n v="-849"/>
    <x v="689"/>
    <n v="-1487"/>
  </r>
  <r>
    <x v="11"/>
    <x v="22"/>
    <x v="712"/>
    <x v="350"/>
    <n v="69172"/>
    <n v="-1279"/>
    <n v="2250"/>
    <x v="690"/>
    <n v="1394"/>
  </r>
  <r>
    <x v="11"/>
    <x v="23"/>
    <x v="713"/>
    <x v="351"/>
    <n v="68057"/>
    <n v="1730"/>
    <n v="2124"/>
    <x v="691"/>
    <n v="142"/>
  </r>
  <r>
    <x v="11"/>
    <x v="24"/>
    <x v="714"/>
    <x v="352"/>
    <n v="63181"/>
    <n v="238"/>
    <n v="-1291"/>
    <x v="692"/>
    <n v="-1"/>
  </r>
  <r>
    <x v="11"/>
    <x v="25"/>
    <x v="715"/>
    <x v="353"/>
    <n v="65664"/>
    <n v="-1550"/>
    <n v="-1374"/>
    <x v="693"/>
    <n v="-236"/>
  </r>
  <r>
    <x v="11"/>
    <x v="26"/>
    <x v="716"/>
    <x v="354"/>
    <n v="70075"/>
    <n v="4107"/>
    <n v="-441"/>
    <x v="694"/>
    <n v="25"/>
  </r>
  <r>
    <x v="11"/>
    <x v="27"/>
    <x v="717"/>
    <x v="355"/>
    <n v="69232"/>
    <n v="-1546"/>
    <n v="-168"/>
    <x v="695"/>
    <n v="302"/>
  </r>
  <r>
    <x v="11"/>
    <x v="28"/>
    <x v="718"/>
    <x v="356"/>
    <n v="72048"/>
    <n v="181"/>
    <n v="-303"/>
    <x v="696"/>
    <n v="575"/>
  </r>
  <r>
    <x v="11"/>
    <x v="29"/>
    <x v="719"/>
    <x v="357"/>
    <n v="68993"/>
    <n v="44"/>
    <n v="-1375"/>
    <x v="201"/>
    <n v="-274"/>
  </r>
  <r>
    <x v="11"/>
    <x v="30"/>
    <x v="720"/>
    <x v="358"/>
    <n v="71985"/>
    <n v="-2120"/>
    <n v="909"/>
    <x v="697"/>
    <n v="487"/>
  </r>
  <r>
    <x v="11"/>
    <x v="31"/>
    <x v="721"/>
    <x v="359"/>
    <n v="73063"/>
    <n v="1157"/>
    <n v="1226"/>
    <x v="698"/>
    <n v="551"/>
  </r>
  <r>
    <x v="11"/>
    <x v="32"/>
    <x v="722"/>
    <x v="360"/>
    <n v="71225"/>
    <n v="3555"/>
    <n v="-3905"/>
    <x v="699"/>
    <n v="-80"/>
  </r>
  <r>
    <x v="11"/>
    <x v="33"/>
    <x v="723"/>
    <x v="33"/>
    <n v="72174"/>
    <s v="n.a."/>
    <s v="n.a."/>
    <x v="700"/>
    <n v="-95"/>
  </r>
  <r>
    <x v="11"/>
    <x v="34"/>
    <x v="724"/>
    <x v="33"/>
    <n v="65764"/>
    <s v="n.a."/>
    <s v="n.a."/>
    <x v="570"/>
    <n v="24"/>
  </r>
  <r>
    <x v="11"/>
    <x v="35"/>
    <x v="725"/>
    <x v="33"/>
    <n v="70292"/>
    <s v="n.a."/>
    <s v="n.a."/>
    <x v="701"/>
    <n v="383"/>
  </r>
  <r>
    <x v="11"/>
    <x v="36"/>
    <x v="726"/>
    <x v="33"/>
    <n v="62609"/>
    <s v="n.a."/>
    <s v="n.a."/>
    <x v="702"/>
    <n v="69"/>
  </r>
  <r>
    <x v="11"/>
    <x v="37"/>
    <x v="727"/>
    <x v="33"/>
    <n v="65094"/>
    <s v="n.a."/>
    <s v="n.a."/>
    <x v="703"/>
    <n v="-1052"/>
  </r>
  <r>
    <x v="11"/>
    <x v="38"/>
    <x v="728"/>
    <x v="33"/>
    <n v="64109"/>
    <s v="n.a."/>
    <s v="n.a."/>
    <x v="704"/>
    <n v="1106"/>
  </r>
  <r>
    <x v="11"/>
    <x v="39"/>
    <x v="729"/>
    <x v="33"/>
    <n v="65335"/>
    <s v="n.a."/>
    <s v="n.a."/>
    <x v="62"/>
    <n v="189"/>
  </r>
  <r>
    <x v="11"/>
    <x v="40"/>
    <x v="730"/>
    <x v="33"/>
    <n v="63600"/>
    <s v="n.a."/>
    <s v="n.a."/>
    <x v="233"/>
    <n v="-82"/>
  </r>
  <r>
    <x v="11"/>
    <x v="41"/>
    <x v="731"/>
    <x v="33"/>
    <n v="63463"/>
    <s v="n.a."/>
    <s v="n.a."/>
    <x v="705"/>
    <n v="-136"/>
  </r>
  <r>
    <x v="11"/>
    <x v="42"/>
    <x v="732"/>
    <x v="33"/>
    <n v="62016"/>
    <s v="n.a."/>
    <s v="n.a."/>
    <x v="706"/>
    <n v="-310"/>
  </r>
  <r>
    <x v="11"/>
    <x v="43"/>
    <x v="733"/>
    <x v="33"/>
    <n v="63321"/>
    <s v="n.a."/>
    <s v="n.a."/>
    <x v="707"/>
    <n v="-419"/>
  </r>
  <r>
    <x v="11"/>
    <x v="44"/>
    <x v="734"/>
    <x v="33"/>
    <n v="63647"/>
    <s v="n.a."/>
    <s v="n.a."/>
    <x v="708"/>
    <n v="668"/>
  </r>
  <r>
    <x v="11"/>
    <x v="45"/>
    <x v="735"/>
    <x v="33"/>
    <n v="59496"/>
    <s v="n.a."/>
    <s v="n.a."/>
    <x v="709"/>
    <n v="-3677"/>
  </r>
  <r>
    <x v="11"/>
    <x v="46"/>
    <x v="736"/>
    <x v="33"/>
    <n v="64291"/>
    <s v="n.a."/>
    <s v="n.a."/>
    <x v="710"/>
    <n v="1742"/>
  </r>
  <r>
    <x v="11"/>
    <x v="47"/>
    <x v="737"/>
    <x v="33"/>
    <n v="65181"/>
    <s v="n.a."/>
    <s v="n.a."/>
    <x v="711"/>
    <n v="2011"/>
  </r>
  <r>
    <x v="11"/>
    <x v="48"/>
    <x v="738"/>
    <x v="33"/>
    <n v="66557"/>
    <s v="n.a."/>
    <s v="n.a."/>
    <x v="712"/>
    <n v="-261"/>
  </r>
  <r>
    <x v="11"/>
    <x v="49"/>
    <x v="739"/>
    <x v="33"/>
    <n v="65777"/>
    <s v="n.a."/>
    <s v="n.a."/>
    <x v="713"/>
    <n v="274"/>
  </r>
  <r>
    <x v="11"/>
    <x v="50"/>
    <x v="740"/>
    <x v="33"/>
    <n v="64263"/>
    <s v="n.a."/>
    <s v="n.a."/>
    <x v="714"/>
    <n v="30"/>
  </r>
  <r>
    <x v="11"/>
    <x v="51"/>
    <x v="741"/>
    <x v="33"/>
    <n v="67620"/>
    <s v="n.a."/>
    <s v="n.a."/>
    <x v="715"/>
    <n v="-419"/>
  </r>
  <r>
    <x v="11"/>
    <x v="52"/>
    <x v="742"/>
    <x v="33"/>
    <n v="71248"/>
    <s v="n.a."/>
    <s v="n.a."/>
    <x v="716"/>
    <n v="499"/>
  </r>
  <r>
    <x v="11"/>
    <x v="53"/>
    <x v="743"/>
    <x v="33"/>
    <n v="62719"/>
    <s v="n.a."/>
    <s v="n.a."/>
    <x v="717"/>
    <n v="-152"/>
  </r>
  <r>
    <x v="11"/>
    <x v="54"/>
    <x v="744"/>
    <x v="33"/>
    <n v="63912"/>
    <s v="n.a."/>
    <s v="n.a."/>
    <x v="718"/>
    <n v="151"/>
  </r>
  <r>
    <x v="11"/>
    <x v="55"/>
    <x v="745"/>
    <x v="33"/>
    <n v="64870"/>
    <s v="n.a."/>
    <s v="n.a."/>
    <x v="719"/>
    <n v="-1088"/>
  </r>
  <r>
    <x v="11"/>
    <x v="56"/>
    <x v="746"/>
    <x v="33"/>
    <n v="64104"/>
    <s v="n.a."/>
    <s v="n.a."/>
    <x v="720"/>
    <n v="-370"/>
  </r>
  <r>
    <x v="11"/>
    <x v="57"/>
    <x v="747"/>
    <x v="33"/>
    <n v="67359"/>
    <s v="n.a."/>
    <s v="n.a."/>
    <x v="721"/>
    <n v="556"/>
  </r>
  <r>
    <x v="11"/>
    <x v="58"/>
    <x v="748"/>
    <x v="33"/>
    <n v="67814"/>
    <s v="n.a."/>
    <s v="n.a."/>
    <x v="722"/>
    <n v="-360"/>
  </r>
  <r>
    <x v="11"/>
    <x v="59"/>
    <x v="749"/>
    <x v="33"/>
    <n v="69512"/>
    <s v="n.a."/>
    <s v="n.a."/>
    <x v="723"/>
    <n v="-30"/>
  </r>
  <r>
    <x v="11"/>
    <x v="60"/>
    <x v="750"/>
    <x v="33"/>
    <n v="67413"/>
    <s v="n.a."/>
    <s v="n.a."/>
    <x v="724"/>
    <n v="560"/>
  </r>
  <r>
    <x v="11"/>
    <x v="61"/>
    <x v="751"/>
    <x v="33"/>
    <n v="67516"/>
    <s v="n.a."/>
    <s v="n.a."/>
    <x v="725"/>
    <n v="217"/>
  </r>
  <r>
    <x v="11"/>
    <x v="62"/>
    <x v="752"/>
    <x v="33"/>
    <n v="67067"/>
    <s v="n.a."/>
    <s v="n.a."/>
    <x v="726"/>
    <n v="-1773"/>
  </r>
  <r>
    <x v="11"/>
    <x v="63"/>
    <x v="753"/>
    <x v="33"/>
    <n v="67983"/>
    <s v="n.a."/>
    <s v="n.a."/>
    <x v="727"/>
    <n v="1233"/>
  </r>
  <r>
    <x v="11"/>
    <x v="64"/>
    <x v="754"/>
    <x v="33"/>
    <n v="67351"/>
    <s v="n.a."/>
    <s v="n.a."/>
    <x v="728"/>
    <n v="-103"/>
  </r>
  <r>
    <x v="11"/>
    <x v="65"/>
    <x v="755"/>
    <x v="33"/>
    <n v="65750"/>
    <s v="n.a."/>
    <s v="n.a."/>
    <x v="729"/>
    <n v="90"/>
  </r>
  <r>
    <x v="11"/>
    <x v="66"/>
    <x v="756"/>
    <x v="33"/>
    <n v="64182"/>
    <s v="n.a."/>
    <s v="n.a."/>
    <x v="730"/>
    <n v="648"/>
  </r>
  <r>
    <x v="11"/>
    <x v="67"/>
    <x v="757"/>
    <x v="33"/>
    <n v="67735"/>
    <s v="n.a."/>
    <s v="n.a."/>
    <x v="731"/>
    <n v="261"/>
  </r>
  <r>
    <x v="11"/>
    <x v="68"/>
    <x v="758"/>
    <x v="33"/>
    <n v="69781"/>
    <s v="n.a."/>
    <s v="n.a."/>
    <x v="732"/>
    <n v="-147"/>
  </r>
  <r>
    <x v="11"/>
    <x v="69"/>
    <x v="759"/>
    <x v="33"/>
    <n v="66452"/>
    <s v="n.a."/>
    <s v="n.a."/>
    <x v="733"/>
    <n v="-219"/>
  </r>
  <r>
    <x v="12"/>
    <x v="0"/>
    <x v="760"/>
    <x v="361"/>
    <n v="193235"/>
    <n v="-24534"/>
    <n v="689"/>
    <x v="734"/>
    <n v="-170"/>
  </r>
  <r>
    <x v="12"/>
    <x v="1"/>
    <x v="761"/>
    <x v="362"/>
    <n v="215270"/>
    <n v="198"/>
    <n v="1093"/>
    <x v="735"/>
    <n v="175"/>
  </r>
  <r>
    <x v="12"/>
    <x v="2"/>
    <x v="762"/>
    <x v="363"/>
    <n v="214416"/>
    <n v="7607"/>
    <n v="730"/>
    <x v="140"/>
    <n v="35"/>
  </r>
  <r>
    <x v="12"/>
    <x v="3"/>
    <x v="763"/>
    <x v="364"/>
    <n v="207512"/>
    <n v="16266"/>
    <n v="-684"/>
    <x v="736"/>
    <n v="11"/>
  </r>
  <r>
    <x v="12"/>
    <x v="4"/>
    <x v="764"/>
    <x v="172"/>
    <n v="194690"/>
    <n v="6862"/>
    <n v="1575"/>
    <x v="737"/>
    <n v="46"/>
  </r>
  <r>
    <x v="12"/>
    <x v="5"/>
    <x v="765"/>
    <x v="365"/>
    <n v="186933"/>
    <n v="-7788"/>
    <n v="-427"/>
    <x v="738"/>
    <n v="-153"/>
  </r>
  <r>
    <x v="12"/>
    <x v="6"/>
    <x v="766"/>
    <x v="366"/>
    <n v="195310"/>
    <n v="-5468"/>
    <n v="786"/>
    <x v="739"/>
    <n v="166"/>
  </r>
  <r>
    <x v="12"/>
    <x v="7"/>
    <x v="767"/>
    <x v="367"/>
    <n v="199724"/>
    <n v="38170"/>
    <n v="257"/>
    <x v="740"/>
    <n v="-92"/>
  </r>
  <r>
    <x v="12"/>
    <x v="8"/>
    <x v="768"/>
    <x v="368"/>
    <n v="161337"/>
    <n v="-12718"/>
    <n v="1585"/>
    <x v="741"/>
    <n v="45"/>
  </r>
  <r>
    <x v="12"/>
    <x v="9"/>
    <x v="769"/>
    <x v="369"/>
    <n v="172718"/>
    <n v="15689"/>
    <n v="195"/>
    <x v="264"/>
    <n v="-77"/>
  </r>
  <r>
    <x v="12"/>
    <x v="10"/>
    <x v="770"/>
    <x v="370"/>
    <n v="157105"/>
    <n v="-2863"/>
    <n v="-1945"/>
    <x v="41"/>
    <n v="-221"/>
  </r>
  <r>
    <x v="12"/>
    <x v="11"/>
    <x v="771"/>
    <x v="371"/>
    <n v="161809"/>
    <n v="-6134"/>
    <n v="1275"/>
    <x v="742"/>
    <n v="32"/>
  </r>
  <r>
    <x v="12"/>
    <x v="12"/>
    <x v="772"/>
    <x v="372"/>
    <n v="166393"/>
    <n v="-3986"/>
    <n v="-2859"/>
    <x v="743"/>
    <n v="-231"/>
  </r>
  <r>
    <x v="12"/>
    <x v="13"/>
    <x v="773"/>
    <x v="373"/>
    <n v="172577"/>
    <n v="6465"/>
    <n v="1097"/>
    <x v="744"/>
    <n v="195"/>
  </r>
  <r>
    <x v="12"/>
    <x v="14"/>
    <x v="774"/>
    <x v="374"/>
    <n v="165259"/>
    <n v="3609"/>
    <n v="1994"/>
    <x v="745"/>
    <n v="123"/>
  </r>
  <r>
    <x v="12"/>
    <x v="15"/>
    <x v="775"/>
    <x v="375"/>
    <n v="159713"/>
    <n v="910"/>
    <n v="2367"/>
    <x v="746"/>
    <n v="75"/>
  </r>
  <r>
    <x v="12"/>
    <x v="16"/>
    <x v="776"/>
    <x v="376"/>
    <n v="156548"/>
    <n v="9246"/>
    <n v="1671"/>
    <x v="39"/>
    <n v="88"/>
  </r>
  <r>
    <x v="12"/>
    <x v="17"/>
    <x v="777"/>
    <x v="377"/>
    <n v="145631"/>
    <n v="2993"/>
    <n v="687"/>
    <x v="143"/>
    <n v="-20"/>
  </r>
  <r>
    <x v="12"/>
    <x v="18"/>
    <x v="778"/>
    <x v="378"/>
    <n v="141881"/>
    <n v="-7788"/>
    <n v="-2477"/>
    <x v="747"/>
    <n v="-45"/>
  </r>
  <r>
    <x v="12"/>
    <x v="19"/>
    <x v="779"/>
    <x v="379"/>
    <n v="151364"/>
    <n v="10840"/>
    <n v="-339"/>
    <x v="748"/>
    <n v="-13"/>
  </r>
  <r>
    <x v="12"/>
    <x v="20"/>
    <x v="780"/>
    <x v="380"/>
    <n v="140824"/>
    <n v="-5056"/>
    <n v="-3744"/>
    <x v="749"/>
    <n v="23"/>
  </r>
  <r>
    <x v="12"/>
    <x v="21"/>
    <x v="781"/>
    <x v="381"/>
    <n v="149631"/>
    <n v="7827"/>
    <n v="3709"/>
    <x v="54"/>
    <n v="-581"/>
  </r>
  <r>
    <x v="12"/>
    <x v="22"/>
    <x v="782"/>
    <x v="382"/>
    <n v="138186"/>
    <n v="6593"/>
    <n v="1526"/>
    <x v="750"/>
    <n v="185"/>
  </r>
  <r>
    <x v="12"/>
    <x v="23"/>
    <x v="783"/>
    <x v="383"/>
    <n v="112747"/>
    <n v="-10074"/>
    <n v="2091"/>
    <x v="751"/>
    <n v="397"/>
  </r>
  <r>
    <x v="12"/>
    <x v="24"/>
    <x v="784"/>
    <x v="384"/>
    <n v="120740"/>
    <n v="641"/>
    <n v="-1056"/>
    <x v="752"/>
    <n v="122"/>
  </r>
  <r>
    <x v="12"/>
    <x v="25"/>
    <x v="785"/>
    <x v="385"/>
    <n v="121213"/>
    <n v="-3071"/>
    <n v="-1728"/>
    <x v="753"/>
    <n v="38"/>
  </r>
  <r>
    <x v="12"/>
    <x v="26"/>
    <x v="786"/>
    <x v="386"/>
    <n v="125999"/>
    <n v="-663"/>
    <n v="-354"/>
    <x v="754"/>
    <n v="-42"/>
  </r>
  <r>
    <x v="12"/>
    <x v="27"/>
    <x v="787"/>
    <x v="387"/>
    <n v="127095"/>
    <n v="1325"/>
    <n v="-395"/>
    <x v="49"/>
    <n v="46"/>
  </r>
  <r>
    <x v="12"/>
    <x v="28"/>
    <x v="788"/>
    <x v="388"/>
    <n v="126077"/>
    <n v="4642"/>
    <n v="-320"/>
    <x v="755"/>
    <n v="319"/>
  </r>
  <r>
    <x v="12"/>
    <x v="29"/>
    <x v="789"/>
    <x v="389"/>
    <n v="121953"/>
    <n v="-282"/>
    <n v="-531"/>
    <x v="756"/>
    <n v="-1"/>
  </r>
  <r>
    <x v="12"/>
    <x v="30"/>
    <x v="790"/>
    <x v="390"/>
    <n v="122792"/>
    <n v="3049"/>
    <n v="715"/>
    <x v="757"/>
    <n v="-4"/>
  </r>
  <r>
    <x v="12"/>
    <x v="31"/>
    <x v="791"/>
    <x v="391"/>
    <n v="119118"/>
    <n v="1825"/>
    <n v="724"/>
    <x v="758"/>
    <n v="4"/>
  </r>
  <r>
    <x v="12"/>
    <x v="32"/>
    <x v="792"/>
    <x v="392"/>
    <n v="116587"/>
    <n v="13293"/>
    <n v="-1468"/>
    <x v="757"/>
    <n v="-88"/>
  </r>
  <r>
    <x v="12"/>
    <x v="33"/>
    <x v="793"/>
    <x v="33"/>
    <n v="104342"/>
    <s v="n.a."/>
    <s v="n.a."/>
    <x v="759"/>
    <n v="90"/>
  </r>
  <r>
    <x v="12"/>
    <x v="34"/>
    <x v="794"/>
    <x v="33"/>
    <n v="91950"/>
    <s v="n.a."/>
    <s v="n.a."/>
    <x v="760"/>
    <n v="-18"/>
  </r>
  <r>
    <x v="12"/>
    <x v="35"/>
    <x v="795"/>
    <x v="33"/>
    <n v="97697"/>
    <s v="n.a."/>
    <s v="n.a."/>
    <x v="761"/>
    <n v="-18"/>
  </r>
  <r>
    <x v="12"/>
    <x v="36"/>
    <x v="796"/>
    <x v="33"/>
    <n v="95608"/>
    <s v="n.a."/>
    <s v="n.a."/>
    <x v="762"/>
    <n v="-28"/>
  </r>
  <r>
    <x v="12"/>
    <x v="37"/>
    <x v="797"/>
    <x v="33"/>
    <n v="99535"/>
    <s v="n.a."/>
    <s v="n.a."/>
    <x v="179"/>
    <n v="-60"/>
  </r>
  <r>
    <x v="12"/>
    <x v="38"/>
    <x v="798"/>
    <x v="33"/>
    <n v="110975"/>
    <s v="n.a."/>
    <s v="n.a."/>
    <x v="295"/>
    <n v="0"/>
  </r>
  <r>
    <x v="12"/>
    <x v="39"/>
    <x v="799"/>
    <x v="33"/>
    <n v="112391"/>
    <s v="n.a."/>
    <s v="n.a."/>
    <x v="295"/>
    <n v="-2"/>
  </r>
  <r>
    <x v="12"/>
    <x v="40"/>
    <x v="800"/>
    <x v="33"/>
    <n v="112785"/>
    <s v="n.a."/>
    <s v="n.a."/>
    <x v="763"/>
    <n v="-312"/>
  </r>
  <r>
    <x v="12"/>
    <x v="41"/>
    <x v="801"/>
    <x v="33"/>
    <n v="108577"/>
    <s v="n.a."/>
    <s v="n.a."/>
    <x v="764"/>
    <n v="-24"/>
  </r>
  <r>
    <x v="12"/>
    <x v="42"/>
    <x v="802"/>
    <x v="33"/>
    <n v="115146"/>
    <s v="n.a."/>
    <s v="n.a."/>
    <x v="765"/>
    <n v="-94"/>
  </r>
  <r>
    <x v="12"/>
    <x v="43"/>
    <x v="803"/>
    <x v="33"/>
    <n v="116185"/>
    <s v="n.a."/>
    <s v="n.a."/>
    <x v="766"/>
    <n v="-300"/>
  </r>
  <r>
    <x v="12"/>
    <x v="44"/>
    <x v="804"/>
    <x v="33"/>
    <n v="119283"/>
    <s v="n.a."/>
    <s v="n.a."/>
    <x v="767"/>
    <n v="184"/>
  </r>
  <r>
    <x v="12"/>
    <x v="45"/>
    <x v="805"/>
    <x v="33"/>
    <n v="115082"/>
    <s v="n.a."/>
    <s v="n.a."/>
    <x v="768"/>
    <n v="-6"/>
  </r>
  <r>
    <x v="12"/>
    <x v="46"/>
    <x v="806"/>
    <x v="33"/>
    <n v="97644"/>
    <s v="n.a."/>
    <s v="n.a."/>
    <x v="769"/>
    <n v="424"/>
  </r>
  <r>
    <x v="12"/>
    <x v="47"/>
    <x v="807"/>
    <x v="33"/>
    <n v="99944"/>
    <s v="n.a."/>
    <s v="n.a."/>
    <x v="770"/>
    <n v="-10"/>
  </r>
  <r>
    <x v="12"/>
    <x v="48"/>
    <x v="808"/>
    <x v="33"/>
    <n v="104740"/>
    <s v="n.a."/>
    <s v="n.a."/>
    <x v="771"/>
    <n v="-1424"/>
  </r>
  <r>
    <x v="12"/>
    <x v="49"/>
    <x v="809"/>
    <x v="33"/>
    <n v="119149"/>
    <s v="n.a."/>
    <s v="n.a."/>
    <x v="668"/>
    <n v="-24"/>
  </r>
  <r>
    <x v="12"/>
    <x v="50"/>
    <x v="810"/>
    <x v="33"/>
    <n v="118212"/>
    <s v="n.a."/>
    <s v="n.a."/>
    <x v="772"/>
    <n v="588"/>
  </r>
  <r>
    <x v="12"/>
    <x v="51"/>
    <x v="811"/>
    <x v="33"/>
    <n v="117933"/>
    <s v="n.a."/>
    <s v="n.a."/>
    <x v="773"/>
    <n v="124"/>
  </r>
  <r>
    <x v="12"/>
    <x v="52"/>
    <x v="812"/>
    <x v="33"/>
    <n v="114832"/>
    <s v="n.a."/>
    <s v="n.a."/>
    <x v="774"/>
    <n v="-197"/>
  </r>
  <r>
    <x v="12"/>
    <x v="53"/>
    <x v="813"/>
    <x v="33"/>
    <n v="112324"/>
    <s v="n.a."/>
    <s v="n.a."/>
    <x v="775"/>
    <n v="72"/>
  </r>
  <r>
    <x v="12"/>
    <x v="54"/>
    <x v="814"/>
    <x v="33"/>
    <n v="108067"/>
    <s v="n.a."/>
    <s v="n.a."/>
    <x v="262"/>
    <n v="22"/>
  </r>
  <r>
    <x v="12"/>
    <x v="55"/>
    <x v="815"/>
    <x v="33"/>
    <n v="93161"/>
    <s v="n.a."/>
    <s v="n.a."/>
    <x v="776"/>
    <n v="-39"/>
  </r>
  <r>
    <x v="12"/>
    <x v="56"/>
    <x v="816"/>
    <x v="33"/>
    <n v="96393"/>
    <s v="n.a."/>
    <s v="n.a."/>
    <x v="777"/>
    <n v="869"/>
  </r>
  <r>
    <x v="12"/>
    <x v="57"/>
    <x v="817"/>
    <x v="33"/>
    <n v="91137"/>
    <s v="n.a."/>
    <s v="n.a."/>
    <x v="294"/>
    <n v="17"/>
  </r>
  <r>
    <x v="12"/>
    <x v="58"/>
    <x v="818"/>
    <x v="33"/>
    <n v="87274"/>
    <s v="n.a."/>
    <s v="n.a."/>
    <x v="778"/>
    <n v="35"/>
  </r>
  <r>
    <x v="12"/>
    <x v="59"/>
    <x v="819"/>
    <x v="33"/>
    <n v="88759"/>
    <s v="n.a."/>
    <s v="n.a."/>
    <x v="779"/>
    <n v="162"/>
  </r>
  <r>
    <x v="12"/>
    <x v="60"/>
    <x v="820"/>
    <x v="33"/>
    <n v="82879"/>
    <s v="n.a."/>
    <s v="n.a."/>
    <x v="780"/>
    <n v="56"/>
  </r>
  <r>
    <x v="12"/>
    <x v="61"/>
    <x v="821"/>
    <x v="33"/>
    <n v="90512"/>
    <s v="n.a."/>
    <s v="n.a."/>
    <x v="781"/>
    <n v="-89"/>
  </r>
  <r>
    <x v="12"/>
    <x v="62"/>
    <x v="822"/>
    <x v="33"/>
    <n v="90534"/>
    <s v="n.a."/>
    <s v="n.a."/>
    <x v="782"/>
    <n v="25"/>
  </r>
  <r>
    <x v="12"/>
    <x v="63"/>
    <x v="823"/>
    <x v="33"/>
    <n v="89781"/>
    <s v="n.a."/>
    <s v="n.a."/>
    <x v="182"/>
    <n v="60"/>
  </r>
  <r>
    <x v="12"/>
    <x v="64"/>
    <x v="824"/>
    <x v="33"/>
    <n v="88705"/>
    <s v="n.a."/>
    <s v="n.a."/>
    <x v="783"/>
    <n v="-8"/>
  </r>
  <r>
    <x v="12"/>
    <x v="65"/>
    <x v="825"/>
    <x v="33"/>
    <n v="87535"/>
    <s v="n.a."/>
    <s v="n.a."/>
    <x v="784"/>
    <n v="6"/>
  </r>
  <r>
    <x v="12"/>
    <x v="66"/>
    <x v="826"/>
    <x v="33"/>
    <n v="93200"/>
    <s v="n.a."/>
    <s v="n.a."/>
    <x v="785"/>
    <n v="-78"/>
  </r>
  <r>
    <x v="12"/>
    <x v="67"/>
    <x v="827"/>
    <x v="33"/>
    <n v="97925"/>
    <s v="n.a."/>
    <s v="n.a."/>
    <x v="786"/>
    <n v="23"/>
  </r>
  <r>
    <x v="12"/>
    <x v="68"/>
    <x v="828"/>
    <x v="33"/>
    <n v="103210"/>
    <s v="n.a."/>
    <s v="n.a."/>
    <x v="179"/>
    <n v="-9"/>
  </r>
  <r>
    <x v="12"/>
    <x v="69"/>
    <x v="829"/>
    <x v="33"/>
    <n v="97643"/>
    <s v="n.a."/>
    <s v="n.a."/>
    <x v="188"/>
    <n v="-1"/>
  </r>
  <r>
    <x v="13"/>
    <x v="0"/>
    <x v="830"/>
    <x v="393"/>
    <n v="1625"/>
    <n v="31"/>
    <n v="-96"/>
    <x v="787"/>
    <n v="-25"/>
  </r>
  <r>
    <x v="13"/>
    <x v="1"/>
    <x v="831"/>
    <x v="394"/>
    <n v="1622"/>
    <n v="7"/>
    <n v="-6"/>
    <x v="788"/>
    <n v="-76"/>
  </r>
  <r>
    <x v="13"/>
    <x v="2"/>
    <x v="832"/>
    <x v="395"/>
    <n v="1622"/>
    <n v="26"/>
    <n v="-32"/>
    <x v="789"/>
    <n v="-90"/>
  </r>
  <r>
    <x v="13"/>
    <x v="3"/>
    <x v="833"/>
    <x v="396"/>
    <n v="1587"/>
    <n v="139"/>
    <n v="164"/>
    <x v="790"/>
    <n v="62"/>
  </r>
  <r>
    <x v="13"/>
    <x v="4"/>
    <x v="834"/>
    <x v="397"/>
    <n v="1456"/>
    <n v="-171"/>
    <n v="-22"/>
    <x v="791"/>
    <n v="16"/>
  </r>
  <r>
    <x v="13"/>
    <x v="5"/>
    <x v="835"/>
    <x v="398"/>
    <n v="1616"/>
    <n v="86"/>
    <n v="46"/>
    <x v="792"/>
    <n v="-43"/>
  </r>
  <r>
    <x v="13"/>
    <x v="6"/>
    <x v="836"/>
    <x v="399"/>
    <n v="1560"/>
    <n v="84"/>
    <n v="-8"/>
    <x v="793"/>
    <n v="5"/>
  </r>
  <r>
    <x v="13"/>
    <x v="7"/>
    <x v="837"/>
    <x v="400"/>
    <n v="1467"/>
    <n v="-52"/>
    <n v="-34"/>
    <x v="794"/>
    <n v="113"/>
  </r>
  <r>
    <x v="13"/>
    <x v="8"/>
    <x v="838"/>
    <x v="401"/>
    <n v="1505"/>
    <n v="55"/>
    <n v="1"/>
    <x v="795"/>
    <n v="-23"/>
  </r>
  <r>
    <x v="13"/>
    <x v="9"/>
    <x v="839"/>
    <x v="402"/>
    <n v="1443"/>
    <n v="-39"/>
    <n v="-3180"/>
    <x v="796"/>
    <n v="15"/>
  </r>
  <r>
    <x v="13"/>
    <x v="10"/>
    <x v="840"/>
    <x v="403"/>
    <n v="5498"/>
    <n v="179"/>
    <n v="-93"/>
    <x v="143"/>
    <n v="-191"/>
  </r>
  <r>
    <x v="13"/>
    <x v="11"/>
    <x v="841"/>
    <x v="404"/>
    <n v="5414"/>
    <n v="-310"/>
    <n v="28"/>
    <x v="797"/>
    <n v="-58"/>
  </r>
  <r>
    <x v="13"/>
    <x v="12"/>
    <x v="842"/>
    <x v="89"/>
    <n v="5695"/>
    <n v="66"/>
    <n v="-140"/>
    <x v="798"/>
    <n v="5"/>
  </r>
  <r>
    <x v="13"/>
    <x v="13"/>
    <x v="843"/>
    <x v="405"/>
    <n v="5777"/>
    <n v="48"/>
    <n v="40"/>
    <x v="799"/>
    <n v="208"/>
  </r>
  <r>
    <x v="13"/>
    <x v="14"/>
    <x v="844"/>
    <x v="406"/>
    <n v="5683"/>
    <n v="-108"/>
    <n v="79"/>
    <x v="152"/>
    <n v="13"/>
  </r>
  <r>
    <x v="13"/>
    <x v="15"/>
    <x v="845"/>
    <x v="407"/>
    <n v="5711"/>
    <n v="-60"/>
    <n v="85"/>
    <x v="138"/>
    <n v="16"/>
  </r>
  <r>
    <x v="13"/>
    <x v="16"/>
    <x v="846"/>
    <x v="408"/>
    <n v="5691"/>
    <n v="110"/>
    <n v="58"/>
    <x v="736"/>
    <n v="-17"/>
  </r>
  <r>
    <x v="13"/>
    <x v="17"/>
    <x v="847"/>
    <x v="409"/>
    <n v="5525"/>
    <n v="-16"/>
    <n v="60"/>
    <x v="800"/>
    <n v="-43"/>
  </r>
  <r>
    <x v="13"/>
    <x v="18"/>
    <x v="848"/>
    <x v="410"/>
    <n v="5491"/>
    <n v="582"/>
    <n v="-338"/>
    <x v="801"/>
    <n v="-60"/>
  </r>
  <r>
    <x v="13"/>
    <x v="19"/>
    <x v="849"/>
    <x v="411"/>
    <n v="5070"/>
    <n v="25"/>
    <n v="46"/>
    <x v="766"/>
    <n v="-74"/>
  </r>
  <r>
    <x v="13"/>
    <x v="20"/>
    <x v="850"/>
    <x v="412"/>
    <n v="5006"/>
    <n v="-62"/>
    <n v="-70"/>
    <x v="802"/>
    <n v="142"/>
  </r>
  <r>
    <x v="13"/>
    <x v="21"/>
    <x v="851"/>
    <x v="157"/>
    <n v="5142"/>
    <n v="132"/>
    <n v="-32"/>
    <x v="151"/>
    <n v="-26"/>
  </r>
  <r>
    <x v="13"/>
    <x v="22"/>
    <x v="852"/>
    <x v="413"/>
    <n v="5033"/>
    <n v="68"/>
    <n v="175"/>
    <x v="803"/>
    <n v="99"/>
  </r>
  <r>
    <x v="13"/>
    <x v="23"/>
    <x v="853"/>
    <x v="414"/>
    <n v="4820"/>
    <n v="19"/>
    <n v="132"/>
    <x v="804"/>
    <n v="-44"/>
  </r>
  <r>
    <x v="13"/>
    <x v="24"/>
    <x v="854"/>
    <x v="112"/>
    <n v="4675"/>
    <n v="-142"/>
    <n v="-61"/>
    <x v="805"/>
    <n v="27"/>
  </r>
  <r>
    <x v="13"/>
    <x v="25"/>
    <x v="855"/>
    <x v="415"/>
    <n v="4873"/>
    <n v="147"/>
    <n v="-86"/>
    <x v="806"/>
    <n v="22"/>
  </r>
  <r>
    <x v="13"/>
    <x v="26"/>
    <x v="856"/>
    <x v="416"/>
    <n v="4811"/>
    <n v="44"/>
    <n v="-33"/>
    <x v="150"/>
    <n v="-20"/>
  </r>
  <r>
    <x v="13"/>
    <x v="27"/>
    <x v="857"/>
    <x v="417"/>
    <n v="4822"/>
    <n v="147"/>
    <n v="-20"/>
    <x v="807"/>
    <n v="16"/>
  </r>
  <r>
    <x v="13"/>
    <x v="28"/>
    <x v="858"/>
    <x v="36"/>
    <n v="5478"/>
    <n v="687"/>
    <n v="97"/>
    <x v="804"/>
    <n v="-17"/>
  </r>
  <r>
    <x v="13"/>
    <x v="29"/>
    <x v="859"/>
    <x v="418"/>
    <n v="4830"/>
    <n v="114"/>
    <n v="-67"/>
    <x v="806"/>
    <n v="124"/>
  </r>
  <r>
    <x v="13"/>
    <x v="30"/>
    <x v="860"/>
    <x v="419"/>
    <n v="4778"/>
    <n v="-676"/>
    <n v="27"/>
    <x v="808"/>
    <n v="23"/>
  </r>
  <r>
    <x v="13"/>
    <x v="31"/>
    <x v="861"/>
    <x v="420"/>
    <n v="5422"/>
    <n v="-177"/>
    <n v="97"/>
    <x v="809"/>
    <n v="41"/>
  </r>
  <r>
    <x v="13"/>
    <x v="32"/>
    <x v="862"/>
    <x v="421"/>
    <n v="5480"/>
    <n v="149"/>
    <n v="-79"/>
    <x v="810"/>
    <n v="54"/>
  </r>
  <r>
    <x v="13"/>
    <x v="33"/>
    <x v="863"/>
    <x v="33"/>
    <n v="5433"/>
    <s v="n.a."/>
    <s v="n.a."/>
    <x v="169"/>
    <n v="76"/>
  </r>
  <r>
    <x v="13"/>
    <x v="34"/>
    <x v="864"/>
    <x v="33"/>
    <n v="5499"/>
    <s v="n.a."/>
    <s v="n.a."/>
    <x v="811"/>
    <n v="-111"/>
  </r>
  <r>
    <x v="13"/>
    <x v="35"/>
    <x v="865"/>
    <x v="33"/>
    <n v="4917"/>
    <s v="n.a."/>
    <s v="n.a."/>
    <x v="812"/>
    <n v="-28"/>
  </r>
  <r>
    <x v="13"/>
    <x v="36"/>
    <x v="866"/>
    <x v="33"/>
    <n v="4733"/>
    <s v="n.a."/>
    <s v="n.a."/>
    <x v="813"/>
    <n v="-54"/>
  </r>
  <r>
    <x v="13"/>
    <x v="37"/>
    <x v="867"/>
    <x v="33"/>
    <n v="4313"/>
    <s v="n.a."/>
    <s v="n.a."/>
    <x v="808"/>
    <n v="-134"/>
  </r>
  <r>
    <x v="13"/>
    <x v="38"/>
    <x v="868"/>
    <x v="33"/>
    <n v="4244"/>
    <s v="n.a."/>
    <s v="n.a."/>
    <x v="814"/>
    <n v="-39"/>
  </r>
  <r>
    <x v="13"/>
    <x v="39"/>
    <x v="869"/>
    <x v="33"/>
    <n v="4693"/>
    <s v="n.a."/>
    <s v="n.a."/>
    <x v="815"/>
    <n v="-100"/>
  </r>
  <r>
    <x v="13"/>
    <x v="40"/>
    <x v="870"/>
    <x v="33"/>
    <n v="4607"/>
    <s v="n.a."/>
    <s v="n.a."/>
    <x v="816"/>
    <n v="247"/>
  </r>
  <r>
    <x v="13"/>
    <x v="41"/>
    <x v="871"/>
    <x v="33"/>
    <n v="4911"/>
    <s v="n.a."/>
    <s v="n.a."/>
    <x v="817"/>
    <n v="199"/>
  </r>
  <r>
    <x v="13"/>
    <x v="42"/>
    <x v="872"/>
    <x v="33"/>
    <n v="5096"/>
    <s v="n.a."/>
    <s v="n.a."/>
    <x v="818"/>
    <n v="-48"/>
  </r>
  <r>
    <x v="13"/>
    <x v="43"/>
    <x v="873"/>
    <x v="33"/>
    <n v="5114"/>
    <s v="n.a."/>
    <s v="n.a."/>
    <x v="170"/>
    <n v="-194"/>
  </r>
  <r>
    <x v="13"/>
    <x v="44"/>
    <x v="874"/>
    <x v="33"/>
    <n v="5218"/>
    <s v="n.a."/>
    <s v="n.a."/>
    <x v="154"/>
    <n v="-237"/>
  </r>
  <r>
    <x v="13"/>
    <x v="45"/>
    <x v="875"/>
    <x v="33"/>
    <n v="4770"/>
    <s v="n.a."/>
    <s v="n.a."/>
    <x v="819"/>
    <n v="172"/>
  </r>
  <r>
    <x v="13"/>
    <x v="46"/>
    <x v="876"/>
    <x v="33"/>
    <n v="4897"/>
    <s v="n.a."/>
    <s v="n.a."/>
    <x v="814"/>
    <n v="104"/>
  </r>
  <r>
    <x v="13"/>
    <x v="47"/>
    <x v="877"/>
    <x v="33"/>
    <n v="5202"/>
    <s v="n.a."/>
    <s v="n.a."/>
    <x v="820"/>
    <n v="34"/>
  </r>
  <r>
    <x v="13"/>
    <x v="48"/>
    <x v="878"/>
    <x v="33"/>
    <n v="4899"/>
    <s v="n.a."/>
    <s v="n.a."/>
    <x v="821"/>
    <n v="2"/>
  </r>
  <r>
    <x v="13"/>
    <x v="49"/>
    <x v="879"/>
    <x v="33"/>
    <n v="4855"/>
    <s v="n.a."/>
    <s v="n.a."/>
    <x v="269"/>
    <n v="-29"/>
  </r>
  <r>
    <x v="13"/>
    <x v="50"/>
    <x v="880"/>
    <x v="33"/>
    <n v="4791"/>
    <s v="n.a."/>
    <s v="n.a."/>
    <x v="822"/>
    <n v="3"/>
  </r>
  <r>
    <x v="13"/>
    <x v="51"/>
    <x v="881"/>
    <x v="33"/>
    <n v="4971"/>
    <s v="n.a."/>
    <s v="n.a."/>
    <x v="823"/>
    <n v="-156"/>
  </r>
  <r>
    <x v="13"/>
    <x v="52"/>
    <x v="882"/>
    <x v="33"/>
    <n v="5257"/>
    <s v="n.a."/>
    <s v="n.a."/>
    <x v="54"/>
    <n v="91"/>
  </r>
  <r>
    <x v="13"/>
    <x v="53"/>
    <x v="883"/>
    <x v="33"/>
    <n v="4490"/>
    <s v="n.a."/>
    <s v="n.a."/>
    <x v="824"/>
    <n v="4"/>
  </r>
  <r>
    <x v="13"/>
    <x v="54"/>
    <x v="884"/>
    <x v="33"/>
    <n v="4276"/>
    <s v="n.a."/>
    <s v="n.a."/>
    <x v="137"/>
    <n v="-37"/>
  </r>
  <r>
    <x v="13"/>
    <x v="55"/>
    <x v="885"/>
    <x v="33"/>
    <n v="4419"/>
    <s v="n.a."/>
    <s v="n.a."/>
    <x v="825"/>
    <n v="-40"/>
  </r>
  <r>
    <x v="13"/>
    <x v="56"/>
    <x v="29"/>
    <x v="33"/>
    <n v="4584"/>
    <s v="n.a."/>
    <s v="n.a."/>
    <x v="826"/>
    <n v="-67"/>
  </r>
  <r>
    <x v="13"/>
    <x v="57"/>
    <x v="886"/>
    <x v="33"/>
    <n v="4564"/>
    <s v="n.a."/>
    <s v="n.a."/>
    <x v="827"/>
    <n v="110"/>
  </r>
  <r>
    <x v="13"/>
    <x v="58"/>
    <x v="887"/>
    <x v="33"/>
    <n v="4777"/>
    <s v="n.a."/>
    <s v="n.a."/>
    <x v="828"/>
    <n v="-95"/>
  </r>
  <r>
    <x v="13"/>
    <x v="59"/>
    <x v="888"/>
    <x v="33"/>
    <n v="4580"/>
    <s v="n.a."/>
    <s v="n.a."/>
    <x v="829"/>
    <n v="3"/>
  </r>
  <r>
    <x v="13"/>
    <x v="60"/>
    <x v="860"/>
    <x v="33"/>
    <n v="4571"/>
    <s v="n.a."/>
    <s v="n.a."/>
    <x v="830"/>
    <n v="180"/>
  </r>
  <r>
    <x v="13"/>
    <x v="61"/>
    <x v="889"/>
    <x v="33"/>
    <n v="5018"/>
    <s v="n.a."/>
    <s v="n.a."/>
    <x v="817"/>
    <n v="-127"/>
  </r>
  <r>
    <x v="13"/>
    <x v="62"/>
    <x v="890"/>
    <x v="33"/>
    <n v="4815"/>
    <s v="n.a."/>
    <s v="n.a."/>
    <x v="831"/>
    <n v="-67"/>
  </r>
  <r>
    <x v="13"/>
    <x v="63"/>
    <x v="891"/>
    <x v="33"/>
    <n v="4595"/>
    <s v="n.a."/>
    <s v="n.a."/>
    <x v="832"/>
    <n v="-62"/>
  </r>
  <r>
    <x v="13"/>
    <x v="64"/>
    <x v="892"/>
    <x v="33"/>
    <n v="4477"/>
    <s v="n.a."/>
    <s v="n.a."/>
    <x v="833"/>
    <n v="23"/>
  </r>
  <r>
    <x v="13"/>
    <x v="65"/>
    <x v="893"/>
    <x v="33"/>
    <n v="4766"/>
    <s v="n.a."/>
    <s v="n.a."/>
    <x v="304"/>
    <n v="271"/>
  </r>
  <r>
    <x v="13"/>
    <x v="66"/>
    <x v="894"/>
    <x v="33"/>
    <n v="4680"/>
    <s v="n.a."/>
    <s v="n.a."/>
    <x v="291"/>
    <n v="143"/>
  </r>
  <r>
    <x v="13"/>
    <x v="67"/>
    <x v="895"/>
    <x v="33"/>
    <n v="4880"/>
    <s v="n.a."/>
    <s v="n.a."/>
    <x v="834"/>
    <n v="-169"/>
  </r>
  <r>
    <x v="13"/>
    <x v="68"/>
    <x v="896"/>
    <x v="33"/>
    <n v="5350"/>
    <s v="n.a."/>
    <s v="n.a."/>
    <x v="145"/>
    <n v="80"/>
  </r>
  <r>
    <x v="13"/>
    <x v="69"/>
    <x v="897"/>
    <x v="33"/>
    <n v="5408"/>
    <s v="n.a."/>
    <s v="n.a."/>
    <x v="835"/>
    <n v="13"/>
  </r>
  <r>
    <x v="14"/>
    <x v="0"/>
    <x v="898"/>
    <x v="422"/>
    <n v="77395"/>
    <n v="10525"/>
    <n v="344"/>
    <x v="836"/>
    <n v="-126"/>
  </r>
  <r>
    <x v="14"/>
    <x v="1"/>
    <x v="899"/>
    <x v="423"/>
    <n v="66929"/>
    <n v="-6770"/>
    <n v="1099"/>
    <x v="597"/>
    <n v="143"/>
  </r>
  <r>
    <x v="14"/>
    <x v="2"/>
    <x v="900"/>
    <x v="424"/>
    <n v="73706"/>
    <n v="-720"/>
    <n v="130"/>
    <x v="837"/>
    <n v="-1914"/>
  </r>
  <r>
    <x v="14"/>
    <x v="3"/>
    <x v="901"/>
    <x v="425"/>
    <n v="72836"/>
    <n v="13401"/>
    <n v="647"/>
    <x v="838"/>
    <n v="1887"/>
  </r>
  <r>
    <x v="14"/>
    <x v="4"/>
    <x v="902"/>
    <x v="426"/>
    <n v="59667"/>
    <n v="-8298"/>
    <n v="448"/>
    <x v="839"/>
    <n v="1214"/>
  </r>
  <r>
    <x v="14"/>
    <x v="5"/>
    <x v="903"/>
    <x v="427"/>
    <n v="66992"/>
    <n v="2803"/>
    <n v="76"/>
    <x v="840"/>
    <n v="-719"/>
  </r>
  <r>
    <x v="14"/>
    <x v="6"/>
    <x v="904"/>
    <x v="428"/>
    <n v="66033"/>
    <n v="7993"/>
    <n v="363"/>
    <x v="841"/>
    <n v="223"/>
  </r>
  <r>
    <x v="14"/>
    <x v="7"/>
    <x v="905"/>
    <x v="429"/>
    <n v="58022"/>
    <n v="161"/>
    <n v="1980"/>
    <x v="842"/>
    <n v="-577"/>
  </r>
  <r>
    <x v="14"/>
    <x v="8"/>
    <x v="906"/>
    <x v="430"/>
    <n v="57217"/>
    <n v="-981"/>
    <n v="892"/>
    <x v="843"/>
    <n v="814"/>
  </r>
  <r>
    <x v="14"/>
    <x v="9"/>
    <x v="907"/>
    <x v="431"/>
    <n v="56587"/>
    <n v="-268"/>
    <n v="-89"/>
    <x v="844"/>
    <n v="-69"/>
  </r>
  <r>
    <x v="14"/>
    <x v="10"/>
    <x v="908"/>
    <x v="432"/>
    <n v="56603"/>
    <n v="-1759"/>
    <n v="-747"/>
    <x v="845"/>
    <n v="-1009"/>
  </r>
  <r>
    <x v="14"/>
    <x v="11"/>
    <x v="909"/>
    <x v="433"/>
    <n v="61079"/>
    <n v="346"/>
    <n v="445"/>
    <x v="846"/>
    <n v="-392"/>
  </r>
  <r>
    <x v="14"/>
    <x v="12"/>
    <x v="910"/>
    <x v="434"/>
    <n v="61124"/>
    <n v="2555"/>
    <n v="-1868"/>
    <x v="847"/>
    <n v="456"/>
  </r>
  <r>
    <x v="14"/>
    <x v="13"/>
    <x v="911"/>
    <x v="435"/>
    <n v="62420"/>
    <n v="1729"/>
    <n v="145"/>
    <x v="848"/>
    <n v="-164"/>
  </r>
  <r>
    <x v="14"/>
    <x v="14"/>
    <x v="912"/>
    <x v="436"/>
    <n v="59284"/>
    <n v="-2713"/>
    <n v="447"/>
    <x v="849"/>
    <n v="976"/>
  </r>
  <r>
    <x v="14"/>
    <x v="15"/>
    <x v="913"/>
    <x v="437"/>
    <n v="61319"/>
    <n v="-361"/>
    <n v="1745"/>
    <x v="850"/>
    <n v="-194"/>
  </r>
  <r>
    <x v="14"/>
    <x v="16"/>
    <x v="914"/>
    <x v="438"/>
    <n v="62338"/>
    <n v="1188"/>
    <n v="-819"/>
    <x v="851"/>
    <n v="-187"/>
  </r>
  <r>
    <x v="14"/>
    <x v="17"/>
    <x v="915"/>
    <x v="54"/>
    <n v="60003"/>
    <n v="-1197"/>
    <n v="1132"/>
    <x v="852"/>
    <n v="-7"/>
  </r>
  <r>
    <x v="14"/>
    <x v="18"/>
    <x v="916"/>
    <x v="439"/>
    <n v="58761"/>
    <n v="5603"/>
    <n v="-1269"/>
    <x v="853"/>
    <n v="958"/>
  </r>
  <r>
    <x v="14"/>
    <x v="19"/>
    <x v="917"/>
    <x v="86"/>
    <n v="54574"/>
    <n v="985"/>
    <n v="-297"/>
    <x v="854"/>
    <n v="-997"/>
  </r>
  <r>
    <x v="14"/>
    <x v="20"/>
    <x v="918"/>
    <x v="440"/>
    <n v="52132"/>
    <n v="2328"/>
    <n v="-378"/>
    <x v="855"/>
    <n v="726"/>
  </r>
  <r>
    <x v="14"/>
    <x v="21"/>
    <x v="919"/>
    <x v="441"/>
    <n v="52076"/>
    <n v="1986"/>
    <n v="320"/>
    <x v="856"/>
    <n v="-35"/>
  </r>
  <r>
    <x v="14"/>
    <x v="22"/>
    <x v="920"/>
    <x v="442"/>
    <n v="51448"/>
    <n v="-5272"/>
    <n v="942"/>
    <x v="857"/>
    <n v="-1815"/>
  </r>
  <r>
    <x v="14"/>
    <x v="23"/>
    <x v="921"/>
    <x v="443"/>
    <n v="54574"/>
    <n v="1516"/>
    <n v="755"/>
    <x v="858"/>
    <n v="1319"/>
  </r>
  <r>
    <x v="14"/>
    <x v="24"/>
    <x v="922"/>
    <x v="444"/>
    <n v="51252"/>
    <n v="1237"/>
    <n v="120"/>
    <x v="859"/>
    <n v="205"/>
  </r>
  <r>
    <x v="14"/>
    <x v="25"/>
    <x v="923"/>
    <x v="445"/>
    <n v="50480"/>
    <n v="411"/>
    <n v="-3709"/>
    <x v="860"/>
    <n v="336"/>
  </r>
  <r>
    <x v="14"/>
    <x v="26"/>
    <x v="924"/>
    <x v="446"/>
    <n v="51944"/>
    <n v="1307"/>
    <n v="94"/>
    <x v="861"/>
    <n v="-126"/>
  </r>
  <r>
    <x v="14"/>
    <x v="27"/>
    <x v="925"/>
    <x v="447"/>
    <n v="49949"/>
    <n v="-2286"/>
    <n v="48"/>
    <x v="862"/>
    <n v="337"/>
  </r>
  <r>
    <x v="14"/>
    <x v="28"/>
    <x v="926"/>
    <x v="448"/>
    <n v="52096"/>
    <n v="2356"/>
    <n v="-500"/>
    <x v="863"/>
    <n v="533"/>
  </r>
  <r>
    <x v="14"/>
    <x v="29"/>
    <x v="927"/>
    <x v="449"/>
    <n v="52686"/>
    <n v="904"/>
    <n v="-461"/>
    <x v="864"/>
    <n v="287"/>
  </r>
  <r>
    <x v="14"/>
    <x v="30"/>
    <x v="928"/>
    <x v="450"/>
    <n v="53298"/>
    <n v="-861"/>
    <n v="143"/>
    <x v="230"/>
    <n v="-250"/>
  </r>
  <r>
    <x v="14"/>
    <x v="31"/>
    <x v="929"/>
    <x v="451"/>
    <n v="53754"/>
    <n v="5568"/>
    <n v="814"/>
    <x v="865"/>
    <n v="-24"/>
  </r>
  <r>
    <x v="14"/>
    <x v="32"/>
    <x v="930"/>
    <x v="452"/>
    <n v="48680"/>
    <n v="4756"/>
    <n v="-596"/>
    <x v="866"/>
    <n v="322"/>
  </r>
  <r>
    <x v="14"/>
    <x v="33"/>
    <x v="931"/>
    <x v="33"/>
    <n v="38801"/>
    <s v="n.a."/>
    <s v="n.a."/>
    <x v="867"/>
    <n v="406"/>
  </r>
  <r>
    <x v="14"/>
    <x v="34"/>
    <x v="932"/>
    <x v="33"/>
    <n v="35800"/>
    <s v="n.a."/>
    <s v="n.a."/>
    <x v="868"/>
    <n v="57"/>
  </r>
  <r>
    <x v="14"/>
    <x v="35"/>
    <x v="933"/>
    <x v="33"/>
    <n v="34961"/>
    <s v="n.a."/>
    <s v="n.a."/>
    <x v="869"/>
    <n v="95"/>
  </r>
  <r>
    <x v="14"/>
    <x v="36"/>
    <x v="934"/>
    <x v="33"/>
    <n v="30939"/>
    <s v="n.a."/>
    <s v="n.a."/>
    <x v="717"/>
    <n v="-18"/>
  </r>
  <r>
    <x v="14"/>
    <x v="37"/>
    <x v="935"/>
    <x v="33"/>
    <n v="32010"/>
    <s v="n.a."/>
    <s v="n.a."/>
    <x v="870"/>
    <n v="-281"/>
  </r>
  <r>
    <x v="14"/>
    <x v="38"/>
    <x v="936"/>
    <x v="33"/>
    <n v="28665"/>
    <s v="n.a."/>
    <s v="n.a."/>
    <x v="871"/>
    <n v="-84"/>
  </r>
  <r>
    <x v="14"/>
    <x v="39"/>
    <x v="937"/>
    <x v="33"/>
    <n v="27437"/>
    <s v="n.a."/>
    <s v="n.a."/>
    <x v="27"/>
    <n v="372"/>
  </r>
  <r>
    <x v="14"/>
    <x v="40"/>
    <x v="938"/>
    <x v="33"/>
    <n v="26081"/>
    <s v="n.a."/>
    <s v="n.a."/>
    <x v="872"/>
    <n v="-153"/>
  </r>
  <r>
    <x v="14"/>
    <x v="41"/>
    <x v="939"/>
    <x v="33"/>
    <n v="28340"/>
    <s v="n.a."/>
    <s v="n.a."/>
    <x v="873"/>
    <n v="-4"/>
  </r>
  <r>
    <x v="14"/>
    <x v="42"/>
    <x v="940"/>
    <x v="33"/>
    <n v="24927"/>
    <s v="n.a."/>
    <s v="n.a."/>
    <x v="874"/>
    <n v="-274"/>
  </r>
  <r>
    <x v="14"/>
    <x v="43"/>
    <x v="941"/>
    <x v="33"/>
    <n v="25571"/>
    <s v="n.a."/>
    <s v="n.a."/>
    <x v="875"/>
    <n v="-325"/>
  </r>
  <r>
    <x v="14"/>
    <x v="44"/>
    <x v="942"/>
    <x v="33"/>
    <n v="27268"/>
    <s v="n.a."/>
    <s v="n.a."/>
    <x v="876"/>
    <n v="-46"/>
  </r>
  <r>
    <x v="14"/>
    <x v="45"/>
    <x v="943"/>
    <x v="33"/>
    <n v="25598"/>
    <s v="n.a."/>
    <s v="n.a."/>
    <x v="877"/>
    <n v="153"/>
  </r>
  <r>
    <x v="14"/>
    <x v="46"/>
    <x v="944"/>
    <x v="33"/>
    <n v="23244"/>
    <s v="n.a."/>
    <s v="n.a."/>
    <x v="878"/>
    <n v="329"/>
  </r>
  <r>
    <x v="14"/>
    <x v="47"/>
    <x v="945"/>
    <x v="33"/>
    <n v="24963"/>
    <s v="n.a."/>
    <s v="n.a."/>
    <x v="879"/>
    <n v="-53"/>
  </r>
  <r>
    <x v="14"/>
    <x v="48"/>
    <x v="946"/>
    <x v="33"/>
    <n v="21919"/>
    <s v="n.a."/>
    <s v="n.a."/>
    <x v="713"/>
    <n v="13"/>
  </r>
  <r>
    <x v="14"/>
    <x v="49"/>
    <x v="947"/>
    <x v="33"/>
    <n v="23541"/>
    <s v="n.a."/>
    <s v="n.a."/>
    <x v="571"/>
    <n v="-142"/>
  </r>
  <r>
    <x v="14"/>
    <x v="50"/>
    <x v="948"/>
    <x v="33"/>
    <n v="26409"/>
    <s v="n.a."/>
    <s v="n.a."/>
    <x v="880"/>
    <n v="131"/>
  </r>
  <r>
    <x v="14"/>
    <x v="51"/>
    <x v="949"/>
    <x v="33"/>
    <n v="24416"/>
    <s v="n.a."/>
    <s v="n.a."/>
    <x v="881"/>
    <n v="-205"/>
  </r>
  <r>
    <x v="14"/>
    <x v="52"/>
    <x v="950"/>
    <x v="33"/>
    <n v="28830"/>
    <s v="n.a."/>
    <s v="n.a."/>
    <x v="882"/>
    <n v="118"/>
  </r>
  <r>
    <x v="14"/>
    <x v="53"/>
    <x v="951"/>
    <x v="33"/>
    <n v="26761"/>
    <s v="n.a."/>
    <s v="n.a."/>
    <x v="883"/>
    <n v="-245"/>
  </r>
  <r>
    <x v="14"/>
    <x v="54"/>
    <x v="952"/>
    <x v="33"/>
    <n v="26540"/>
    <s v="n.a."/>
    <s v="n.a."/>
    <x v="884"/>
    <n v="-185"/>
  </r>
  <r>
    <x v="14"/>
    <x v="55"/>
    <x v="953"/>
    <x v="33"/>
    <n v="26840"/>
    <s v="n.a."/>
    <s v="n.a."/>
    <x v="885"/>
    <n v="-44"/>
  </r>
  <r>
    <x v="14"/>
    <x v="56"/>
    <x v="954"/>
    <x v="33"/>
    <n v="26779"/>
    <s v="n.a."/>
    <s v="n.a."/>
    <x v="886"/>
    <n v="-69"/>
  </r>
  <r>
    <x v="14"/>
    <x v="57"/>
    <x v="955"/>
    <x v="33"/>
    <n v="28731"/>
    <s v="n.a."/>
    <s v="n.a."/>
    <x v="887"/>
    <n v="-125"/>
  </r>
  <r>
    <x v="14"/>
    <x v="58"/>
    <x v="956"/>
    <x v="33"/>
    <n v="33201"/>
    <s v="n.a."/>
    <s v="n.a."/>
    <x v="888"/>
    <n v="127"/>
  </r>
  <r>
    <x v="14"/>
    <x v="59"/>
    <x v="957"/>
    <x v="33"/>
    <n v="31761"/>
    <s v="n.a."/>
    <s v="n.a."/>
    <x v="889"/>
    <n v="-194"/>
  </r>
  <r>
    <x v="14"/>
    <x v="60"/>
    <x v="958"/>
    <x v="33"/>
    <n v="33076"/>
    <s v="n.a."/>
    <s v="n.a."/>
    <x v="890"/>
    <n v="113"/>
  </r>
  <r>
    <x v="14"/>
    <x v="61"/>
    <x v="959"/>
    <x v="33"/>
    <n v="39212"/>
    <s v="n.a."/>
    <s v="n.a."/>
    <x v="891"/>
    <n v="-227"/>
  </r>
  <r>
    <x v="14"/>
    <x v="62"/>
    <x v="960"/>
    <x v="33"/>
    <n v="39012"/>
    <s v="n.a."/>
    <s v="n.a."/>
    <x v="892"/>
    <n v="-453"/>
  </r>
  <r>
    <x v="14"/>
    <x v="63"/>
    <x v="961"/>
    <x v="33"/>
    <n v="39219"/>
    <s v="n.a."/>
    <s v="n.a."/>
    <x v="893"/>
    <n v="-257"/>
  </r>
  <r>
    <x v="14"/>
    <x v="64"/>
    <x v="962"/>
    <x v="33"/>
    <n v="40972"/>
    <s v="n.a."/>
    <s v="n.a."/>
    <x v="894"/>
    <n v="209"/>
  </r>
  <r>
    <x v="14"/>
    <x v="65"/>
    <x v="963"/>
    <x v="33"/>
    <n v="44560"/>
    <s v="n.a."/>
    <s v="n.a."/>
    <x v="895"/>
    <n v="524"/>
  </r>
  <r>
    <x v="14"/>
    <x v="66"/>
    <x v="964"/>
    <x v="33"/>
    <n v="41753"/>
    <s v="n.a."/>
    <s v="n.a."/>
    <x v="896"/>
    <n v="543"/>
  </r>
  <r>
    <x v="14"/>
    <x v="67"/>
    <x v="965"/>
    <x v="33"/>
    <n v="42077"/>
    <s v="n.a."/>
    <s v="n.a."/>
    <x v="897"/>
    <n v="-363"/>
  </r>
  <r>
    <x v="14"/>
    <x v="68"/>
    <x v="966"/>
    <x v="33"/>
    <n v="44091"/>
    <s v="n.a."/>
    <s v="n.a."/>
    <x v="898"/>
    <n v="74"/>
  </r>
  <r>
    <x v="14"/>
    <x v="69"/>
    <x v="967"/>
    <x v="33"/>
    <n v="41890"/>
    <s v="n.a."/>
    <s v="n.a."/>
    <x v="899"/>
    <n v="-295"/>
  </r>
  <r>
    <x v="15"/>
    <x v="0"/>
    <x v="968"/>
    <x v="453"/>
    <n v="48467"/>
    <n v="-108"/>
    <n v="-297"/>
    <x v="900"/>
    <n v="-11"/>
  </r>
  <r>
    <x v="15"/>
    <x v="1"/>
    <x v="969"/>
    <x v="454"/>
    <n v="48773"/>
    <n v="565"/>
    <n v="271"/>
    <x v="901"/>
    <n v="-75"/>
  </r>
  <r>
    <x v="15"/>
    <x v="2"/>
    <x v="970"/>
    <x v="455"/>
    <n v="48099"/>
    <n v="-497"/>
    <n v="437"/>
    <x v="902"/>
    <n v="-63"/>
  </r>
  <r>
    <x v="15"/>
    <x v="3"/>
    <x v="971"/>
    <x v="456"/>
    <n v="48211"/>
    <n v="777"/>
    <n v="-614"/>
    <x v="903"/>
    <n v="-56"/>
  </r>
  <r>
    <x v="15"/>
    <x v="4"/>
    <x v="972"/>
    <x v="457"/>
    <n v="48081"/>
    <n v="-311"/>
    <n v="43"/>
    <x v="150"/>
    <n v="-4"/>
  </r>
  <r>
    <x v="15"/>
    <x v="5"/>
    <x v="973"/>
    <x v="458"/>
    <n v="48260"/>
    <n v="-3406"/>
    <n v="-376"/>
    <x v="804"/>
    <n v="-9"/>
  </r>
  <r>
    <x v="15"/>
    <x v="6"/>
    <x v="974"/>
    <x v="459"/>
    <n v="52048"/>
    <n v="-2593"/>
    <n v="11"/>
    <x v="904"/>
    <n v="11"/>
  </r>
  <r>
    <x v="15"/>
    <x v="7"/>
    <x v="975"/>
    <x v="460"/>
    <n v="55526"/>
    <n v="3458"/>
    <n v="697"/>
    <x v="264"/>
    <n v="-41"/>
  </r>
  <r>
    <x v="15"/>
    <x v="8"/>
    <x v="976"/>
    <x v="461"/>
    <n v="51138"/>
    <n v="1322"/>
    <n v="1181"/>
    <x v="905"/>
    <n v="92"/>
  </r>
  <r>
    <x v="15"/>
    <x v="9"/>
    <x v="977"/>
    <x v="462"/>
    <n v="48034"/>
    <n v="-688"/>
    <n v="-255"/>
    <x v="47"/>
    <n v="-74"/>
  </r>
  <r>
    <x v="15"/>
    <x v="10"/>
    <x v="978"/>
    <x v="463"/>
    <n v="48707"/>
    <n v="-947"/>
    <n v="-928"/>
    <x v="736"/>
    <n v="-7"/>
  </r>
  <r>
    <x v="15"/>
    <x v="11"/>
    <x v="979"/>
    <x v="464"/>
    <n v="50538"/>
    <n v="2005"/>
    <n v="-1036"/>
    <x v="814"/>
    <n v="-53"/>
  </r>
  <r>
    <x v="15"/>
    <x v="12"/>
    <x v="980"/>
    <x v="465"/>
    <n v="49877"/>
    <n v="-369"/>
    <n v="-955"/>
    <x v="801"/>
    <n v="-24"/>
  </r>
  <r>
    <x v="15"/>
    <x v="13"/>
    <x v="981"/>
    <x v="466"/>
    <n v="50798"/>
    <n v="1125"/>
    <n v="386"/>
    <x v="906"/>
    <n v="36"/>
  </r>
  <r>
    <x v="15"/>
    <x v="14"/>
    <x v="982"/>
    <x v="467"/>
    <n v="49074"/>
    <n v="960"/>
    <n v="799"/>
    <x v="54"/>
    <n v="5"/>
  </r>
  <r>
    <x v="15"/>
    <x v="15"/>
    <x v="983"/>
    <x v="468"/>
    <n v="47475"/>
    <n v="674"/>
    <n v="443"/>
    <x v="907"/>
    <n v="-125"/>
  </r>
  <r>
    <x v="15"/>
    <x v="16"/>
    <x v="984"/>
    <x v="469"/>
    <n v="45931"/>
    <n v="-19"/>
    <n v="584"/>
    <x v="908"/>
    <n v="3"/>
  </r>
  <r>
    <x v="15"/>
    <x v="17"/>
    <x v="985"/>
    <x v="470"/>
    <n v="46063"/>
    <n v="1509"/>
    <n v="334"/>
    <x v="909"/>
    <n v="-16"/>
  </r>
  <r>
    <x v="15"/>
    <x v="18"/>
    <x v="986"/>
    <x v="471"/>
    <n v="44758"/>
    <n v="972"/>
    <n v="-1098"/>
    <x v="910"/>
    <n v="-70"/>
  </r>
  <r>
    <x v="15"/>
    <x v="19"/>
    <x v="987"/>
    <x v="128"/>
    <n v="44845"/>
    <n v="223"/>
    <n v="187"/>
    <x v="911"/>
    <n v="41"/>
  </r>
  <r>
    <x v="15"/>
    <x v="20"/>
    <x v="988"/>
    <x v="472"/>
    <n v="43676"/>
    <n v="-710"/>
    <n v="-798"/>
    <x v="735"/>
    <n v="109"/>
  </r>
  <r>
    <x v="15"/>
    <x v="21"/>
    <x v="989"/>
    <x v="473"/>
    <n v="44923"/>
    <n v="-942"/>
    <n v="118"/>
    <x v="912"/>
    <n v="-148"/>
  </r>
  <r>
    <x v="15"/>
    <x v="22"/>
    <x v="990"/>
    <x v="474"/>
    <n v="46193"/>
    <n v="557"/>
    <n v="1324"/>
    <x v="913"/>
    <n v="-82"/>
  </r>
  <r>
    <x v="15"/>
    <x v="23"/>
    <x v="991"/>
    <x v="475"/>
    <n v="45349"/>
    <n v="237"/>
    <n v="790"/>
    <x v="914"/>
    <n v="-117"/>
  </r>
  <r>
    <x v="15"/>
    <x v="24"/>
    <x v="992"/>
    <x v="476"/>
    <n v="43999"/>
    <n v="371"/>
    <n v="-540"/>
    <x v="915"/>
    <n v="160"/>
  </r>
  <r>
    <x v="15"/>
    <x v="25"/>
    <x v="993"/>
    <x v="477"/>
    <n v="44038"/>
    <n v="1150"/>
    <n v="-447"/>
    <x v="916"/>
    <n v="186"/>
  </r>
  <r>
    <x v="15"/>
    <x v="26"/>
    <x v="994"/>
    <x v="478"/>
    <n v="43283"/>
    <n v="411"/>
    <n v="-494"/>
    <x v="917"/>
    <n v="-2"/>
  </r>
  <r>
    <x v="15"/>
    <x v="27"/>
    <x v="995"/>
    <x v="479"/>
    <n v="43502"/>
    <n v="608"/>
    <n v="86"/>
    <x v="793"/>
    <n v="-58"/>
  </r>
  <r>
    <x v="15"/>
    <x v="28"/>
    <x v="996"/>
    <x v="480"/>
    <n v="42198"/>
    <n v="2832"/>
    <n v="-527"/>
    <x v="918"/>
    <n v="253"/>
  </r>
  <r>
    <x v="15"/>
    <x v="29"/>
    <x v="997"/>
    <x v="481"/>
    <n v="39123"/>
    <n v="389"/>
    <n v="-508"/>
    <x v="919"/>
    <n v="92"/>
  </r>
  <r>
    <x v="15"/>
    <x v="30"/>
    <x v="998"/>
    <x v="482"/>
    <n v="39288"/>
    <n v="1437"/>
    <n v="605"/>
    <x v="770"/>
    <n v="-203"/>
  </r>
  <r>
    <x v="15"/>
    <x v="31"/>
    <x v="999"/>
    <x v="469"/>
    <n v="37809"/>
    <n v="177"/>
    <n v="417"/>
    <x v="920"/>
    <n v="-193"/>
  </r>
  <r>
    <x v="15"/>
    <x v="32"/>
    <x v="1000"/>
    <x v="71"/>
    <n v="38207"/>
    <n v="44"/>
    <n v="-191"/>
    <x v="921"/>
    <n v="-19"/>
  </r>
  <r>
    <x v="15"/>
    <x v="33"/>
    <x v="1001"/>
    <x v="33"/>
    <n v="38774"/>
    <s v="n.a."/>
    <s v="n.a."/>
    <x v="922"/>
    <n v="-188"/>
  </r>
  <r>
    <x v="15"/>
    <x v="34"/>
    <x v="1002"/>
    <x v="33"/>
    <n v="41399"/>
    <s v="n.a."/>
    <s v="n.a."/>
    <x v="923"/>
    <n v="-17"/>
  </r>
  <r>
    <x v="15"/>
    <x v="35"/>
    <x v="1003"/>
    <x v="33"/>
    <n v="47569"/>
    <s v="n.a."/>
    <s v="n.a."/>
    <x v="924"/>
    <n v="27"/>
  </r>
  <r>
    <x v="15"/>
    <x v="36"/>
    <x v="1004"/>
    <x v="33"/>
    <n v="45403"/>
    <s v="n.a."/>
    <s v="n.a."/>
    <x v="925"/>
    <n v="-3"/>
  </r>
  <r>
    <x v="15"/>
    <x v="37"/>
    <x v="1005"/>
    <x v="33"/>
    <n v="46230"/>
    <s v="n.a."/>
    <s v="n.a."/>
    <x v="309"/>
    <n v="157"/>
  </r>
  <r>
    <x v="15"/>
    <x v="38"/>
    <x v="1006"/>
    <x v="33"/>
    <n v="47557"/>
    <s v="n.a."/>
    <s v="n.a."/>
    <x v="926"/>
    <n v="74"/>
  </r>
  <r>
    <x v="15"/>
    <x v="39"/>
    <x v="1007"/>
    <x v="33"/>
    <n v="49679"/>
    <s v="n.a."/>
    <s v="n.a."/>
    <x v="927"/>
    <n v="49"/>
  </r>
  <r>
    <x v="15"/>
    <x v="40"/>
    <x v="1008"/>
    <x v="33"/>
    <n v="47631"/>
    <s v="n.a."/>
    <s v="n.a."/>
    <x v="45"/>
    <n v="-120"/>
  </r>
  <r>
    <x v="15"/>
    <x v="41"/>
    <x v="1009"/>
    <x v="33"/>
    <n v="47485"/>
    <s v="n.a."/>
    <s v="n.a."/>
    <x v="928"/>
    <n v="-58"/>
  </r>
  <r>
    <x v="15"/>
    <x v="42"/>
    <x v="1010"/>
    <x v="33"/>
    <n v="52376"/>
    <s v="n.a."/>
    <s v="n.a."/>
    <x v="929"/>
    <n v="60"/>
  </r>
  <r>
    <x v="15"/>
    <x v="43"/>
    <x v="1011"/>
    <x v="33"/>
    <n v="52780"/>
    <s v="n.a."/>
    <s v="n.a."/>
    <x v="911"/>
    <n v="-240"/>
  </r>
  <r>
    <x v="15"/>
    <x v="44"/>
    <x v="1012"/>
    <x v="33"/>
    <n v="54494"/>
    <s v="n.a."/>
    <s v="n.a."/>
    <x v="930"/>
    <n v="-65"/>
  </r>
  <r>
    <x v="15"/>
    <x v="45"/>
    <x v="1013"/>
    <x v="33"/>
    <n v="53513"/>
    <s v="n.a."/>
    <s v="n.a."/>
    <x v="931"/>
    <n v="186"/>
  </r>
  <r>
    <x v="15"/>
    <x v="46"/>
    <x v="1014"/>
    <x v="33"/>
    <n v="47461"/>
    <s v="n.a."/>
    <s v="n.a."/>
    <x v="932"/>
    <n v="302"/>
  </r>
  <r>
    <x v="15"/>
    <x v="47"/>
    <x v="1015"/>
    <x v="33"/>
    <n v="39714"/>
    <s v="n.a."/>
    <s v="n.a."/>
    <x v="933"/>
    <n v="-3"/>
  </r>
  <r>
    <x v="15"/>
    <x v="48"/>
    <x v="1016"/>
    <x v="33"/>
    <n v="39462"/>
    <s v="n.a."/>
    <s v="n.a."/>
    <x v="749"/>
    <n v="-63"/>
  </r>
  <r>
    <x v="15"/>
    <x v="49"/>
    <x v="1017"/>
    <x v="33"/>
    <n v="42749"/>
    <s v="n.a."/>
    <s v="n.a."/>
    <x v="934"/>
    <n v="224"/>
  </r>
  <r>
    <x v="15"/>
    <x v="50"/>
    <x v="1018"/>
    <x v="33"/>
    <n v="42835"/>
    <s v="n.a."/>
    <s v="n.a."/>
    <x v="274"/>
    <n v="19"/>
  </r>
  <r>
    <x v="15"/>
    <x v="51"/>
    <x v="1019"/>
    <x v="33"/>
    <n v="43411"/>
    <s v="n.a."/>
    <s v="n.a."/>
    <x v="935"/>
    <n v="-167"/>
  </r>
  <r>
    <x v="15"/>
    <x v="52"/>
    <x v="1020"/>
    <x v="33"/>
    <n v="42738"/>
    <s v="n.a."/>
    <s v="n.a."/>
    <x v="748"/>
    <n v="191"/>
  </r>
  <r>
    <x v="15"/>
    <x v="53"/>
    <x v="1021"/>
    <x v="33"/>
    <n v="42662"/>
    <s v="n.a."/>
    <s v="n.a."/>
    <x v="269"/>
    <n v="-7"/>
  </r>
  <r>
    <x v="15"/>
    <x v="54"/>
    <x v="1022"/>
    <x v="33"/>
    <n v="41011"/>
    <s v="n.a."/>
    <s v="n.a."/>
    <x v="936"/>
    <n v="-111"/>
  </r>
  <r>
    <x v="15"/>
    <x v="55"/>
    <x v="1023"/>
    <x v="33"/>
    <n v="39597"/>
    <s v="n.a."/>
    <s v="n.a."/>
    <x v="937"/>
    <n v="123"/>
  </r>
  <r>
    <x v="15"/>
    <x v="56"/>
    <x v="1024"/>
    <x v="33"/>
    <n v="40443"/>
    <s v="n.a."/>
    <s v="n.a."/>
    <x v="938"/>
    <n v="25"/>
  </r>
  <r>
    <x v="15"/>
    <x v="57"/>
    <x v="1025"/>
    <x v="33"/>
    <n v="41904"/>
    <s v="n.a."/>
    <s v="n.a."/>
    <x v="939"/>
    <n v="-139"/>
  </r>
  <r>
    <x v="15"/>
    <x v="58"/>
    <x v="1026"/>
    <x v="33"/>
    <n v="39851"/>
    <s v="n.a."/>
    <s v="n.a."/>
    <x v="940"/>
    <n v="70"/>
  </r>
  <r>
    <x v="15"/>
    <x v="59"/>
    <x v="1027"/>
    <x v="33"/>
    <n v="37335"/>
    <s v="n.a."/>
    <s v="n.a."/>
    <x v="941"/>
    <n v="-49"/>
  </r>
  <r>
    <x v="15"/>
    <x v="60"/>
    <x v="1028"/>
    <x v="33"/>
    <n v="37349"/>
    <s v="n.a."/>
    <s v="n.a."/>
    <x v="942"/>
    <n v="-111"/>
  </r>
  <r>
    <x v="15"/>
    <x v="61"/>
    <x v="1029"/>
    <x v="33"/>
    <n v="37679"/>
    <s v="n.a."/>
    <s v="n.a."/>
    <x v="943"/>
    <n v="-92"/>
  </r>
  <r>
    <x v="15"/>
    <x v="62"/>
    <x v="1030"/>
    <x v="33"/>
    <n v="37725"/>
    <s v="n.a."/>
    <s v="n.a."/>
    <x v="944"/>
    <n v="-132"/>
  </r>
  <r>
    <x v="15"/>
    <x v="63"/>
    <x v="1031"/>
    <x v="33"/>
    <n v="39271"/>
    <s v="n.a."/>
    <s v="n.a."/>
    <x v="945"/>
    <n v="190"/>
  </r>
  <r>
    <x v="15"/>
    <x v="64"/>
    <x v="1032"/>
    <x v="33"/>
    <n v="38530"/>
    <s v="n.a."/>
    <s v="n.a."/>
    <x v="317"/>
    <n v="140"/>
  </r>
  <r>
    <x v="15"/>
    <x v="65"/>
    <x v="1033"/>
    <x v="33"/>
    <n v="36736"/>
    <s v="n.a."/>
    <s v="n.a."/>
    <x v="946"/>
    <n v="-33"/>
  </r>
  <r>
    <x v="15"/>
    <x v="66"/>
    <x v="1034"/>
    <x v="33"/>
    <n v="36109"/>
    <s v="n.a."/>
    <s v="n.a."/>
    <x v="143"/>
    <n v="-35"/>
  </r>
  <r>
    <x v="15"/>
    <x v="67"/>
    <x v="1035"/>
    <x v="33"/>
    <n v="39007"/>
    <s v="n.a."/>
    <s v="n.a."/>
    <x v="152"/>
    <n v="130"/>
  </r>
  <r>
    <x v="15"/>
    <x v="68"/>
    <x v="1036"/>
    <x v="33"/>
    <n v="45067"/>
    <s v="n.a."/>
    <s v="n.a."/>
    <x v="278"/>
    <n v="36"/>
  </r>
  <r>
    <x v="15"/>
    <x v="69"/>
    <x v="1037"/>
    <x v="33"/>
    <n v="44715"/>
    <s v="n.a."/>
    <s v="n.a."/>
    <x v="938"/>
    <n v="-133"/>
  </r>
  <r>
    <x v="16"/>
    <x v="0"/>
    <x v="1038"/>
    <x v="483"/>
    <n v="241159"/>
    <n v="-881"/>
    <n v="782"/>
    <x v="947"/>
    <n v="2196"/>
  </r>
  <r>
    <x v="16"/>
    <x v="1"/>
    <x v="1039"/>
    <x v="484"/>
    <n v="243189"/>
    <n v="2494"/>
    <n v="973"/>
    <x v="948"/>
    <n v="-2581"/>
  </r>
  <r>
    <x v="16"/>
    <x v="2"/>
    <x v="1040"/>
    <x v="485"/>
    <n v="241535"/>
    <n v="-2470"/>
    <n v="2119"/>
    <x v="949"/>
    <n v="-276"/>
  </r>
  <r>
    <x v="16"/>
    <x v="3"/>
    <x v="1041"/>
    <x v="486"/>
    <n v="241254"/>
    <n v="2895"/>
    <n v="-1387"/>
    <x v="950"/>
    <n v="991"/>
  </r>
  <r>
    <x v="16"/>
    <x v="4"/>
    <x v="1042"/>
    <x v="487"/>
    <n v="240160"/>
    <n v="-5273"/>
    <n v="1805"/>
    <x v="951"/>
    <n v="313"/>
  </r>
  <r>
    <x v="16"/>
    <x v="5"/>
    <x v="1043"/>
    <x v="488"/>
    <n v="243268"/>
    <n v="-4059"/>
    <n v="-1964"/>
    <x v="952"/>
    <n v="-653"/>
  </r>
  <r>
    <x v="16"/>
    <x v="6"/>
    <x v="1044"/>
    <x v="489"/>
    <n v="249753"/>
    <n v="3943"/>
    <n v="1247"/>
    <x v="953"/>
    <n v="-5812"/>
  </r>
  <r>
    <x v="16"/>
    <x v="7"/>
    <x v="1045"/>
    <x v="490"/>
    <n v="244734"/>
    <n v="19707"/>
    <n v="471"/>
    <x v="954"/>
    <n v="6953"/>
  </r>
  <r>
    <x v="16"/>
    <x v="8"/>
    <x v="1046"/>
    <x v="491"/>
    <n v="230804"/>
    <n v="-7709"/>
    <n v="3343"/>
    <x v="955"/>
    <n v="-1993"/>
  </r>
  <r>
    <x v="16"/>
    <x v="9"/>
    <x v="1047"/>
    <x v="492"/>
    <n v="239194"/>
    <n v="1012"/>
    <n v="1977"/>
    <x v="956"/>
    <n v="162"/>
  </r>
  <r>
    <x v="16"/>
    <x v="10"/>
    <x v="1048"/>
    <x v="493"/>
    <n v="236954"/>
    <n v="6471"/>
    <n v="-3248"/>
    <x v="957"/>
    <n v="-2366"/>
  </r>
  <r>
    <x v="16"/>
    <x v="11"/>
    <x v="1049"/>
    <x v="494"/>
    <n v="234546"/>
    <n v="-258"/>
    <n v="1223"/>
    <x v="958"/>
    <n v="-358"/>
  </r>
  <r>
    <x v="16"/>
    <x v="12"/>
    <x v="1050"/>
    <x v="495"/>
    <n v="233406"/>
    <n v="3029"/>
    <n v="-5188"/>
    <x v="959"/>
    <n v="-4571"/>
  </r>
  <r>
    <x v="16"/>
    <x v="13"/>
    <x v="1051"/>
    <x v="496"/>
    <n v="236446"/>
    <n v="180"/>
    <n v="1686"/>
    <x v="960"/>
    <n v="5495"/>
  </r>
  <r>
    <x v="16"/>
    <x v="14"/>
    <x v="1052"/>
    <x v="497"/>
    <n v="235745"/>
    <n v="890"/>
    <n v="952"/>
    <x v="961"/>
    <n v="7926"/>
  </r>
  <r>
    <x v="16"/>
    <x v="15"/>
    <x v="1053"/>
    <x v="498"/>
    <n v="233697"/>
    <n v="4107"/>
    <n v="335"/>
    <x v="962"/>
    <n v="-3550"/>
  </r>
  <r>
    <x v="16"/>
    <x v="16"/>
    <x v="1054"/>
    <x v="499"/>
    <n v="228157"/>
    <n v="-6261"/>
    <n v="1324"/>
    <x v="963"/>
    <n v="2195"/>
  </r>
  <r>
    <x v="16"/>
    <x v="17"/>
    <x v="1055"/>
    <x v="500"/>
    <n v="233461"/>
    <n v="3619"/>
    <n v="-5330"/>
    <x v="964"/>
    <n v="4396"/>
  </r>
  <r>
    <x v="16"/>
    <x v="18"/>
    <x v="1056"/>
    <x v="501"/>
    <n v="237890"/>
    <n v="7296"/>
    <n v="-2259"/>
    <x v="965"/>
    <n v="-260"/>
  </r>
  <r>
    <x v="16"/>
    <x v="19"/>
    <x v="1057"/>
    <x v="502"/>
    <n v="233793"/>
    <n v="5029"/>
    <n v="2584"/>
    <x v="966"/>
    <n v="-753"/>
  </r>
  <r>
    <x v="16"/>
    <x v="20"/>
    <x v="1058"/>
    <x v="503"/>
    <n v="227483"/>
    <n v="-1244"/>
    <n v="-1584"/>
    <x v="967"/>
    <n v="2480"/>
  </r>
  <r>
    <x v="16"/>
    <x v="21"/>
    <x v="1059"/>
    <x v="504"/>
    <n v="233063"/>
    <n v="2649"/>
    <n v="475"/>
    <x v="968"/>
    <n v="-4405"/>
  </r>
  <r>
    <x v="16"/>
    <x v="22"/>
    <x v="1054"/>
    <x v="505"/>
    <n v="231810"/>
    <n v="4964"/>
    <n v="3792"/>
    <x v="969"/>
    <n v="1019"/>
  </r>
  <r>
    <x v="16"/>
    <x v="23"/>
    <x v="1060"/>
    <x v="506"/>
    <n v="221889"/>
    <n v="-1231"/>
    <n v="3992"/>
    <x v="970"/>
    <n v="642"/>
  </r>
  <r>
    <x v="16"/>
    <x v="24"/>
    <x v="1061"/>
    <x v="507"/>
    <n v="221835"/>
    <n v="518"/>
    <n v="-1289"/>
    <x v="971"/>
    <n v="-805"/>
  </r>
  <r>
    <x v="16"/>
    <x v="25"/>
    <x v="1062"/>
    <x v="508"/>
    <n v="225357"/>
    <n v="289"/>
    <n v="7545"/>
    <x v="972"/>
    <n v="-1920"/>
  </r>
  <r>
    <x v="16"/>
    <x v="26"/>
    <x v="1063"/>
    <x v="509"/>
    <n v="226846"/>
    <n v="-19243"/>
    <n v="-529"/>
    <x v="973"/>
    <n v="-8270"/>
  </r>
  <r>
    <x v="16"/>
    <x v="27"/>
    <x v="1064"/>
    <x v="510"/>
    <n v="237281"/>
    <n v="-4439"/>
    <n v="109"/>
    <x v="974"/>
    <n v="1959"/>
  </r>
  <r>
    <x v="16"/>
    <x v="28"/>
    <x v="1065"/>
    <x v="511"/>
    <n v="243225"/>
    <n v="967"/>
    <n v="-1322"/>
    <x v="975"/>
    <n v="3533"/>
  </r>
  <r>
    <x v="16"/>
    <x v="29"/>
    <x v="1066"/>
    <x v="512"/>
    <n v="245043"/>
    <n v="23871"/>
    <n v="-2128"/>
    <x v="976"/>
    <n v="-4720"/>
  </r>
  <r>
    <x v="16"/>
    <x v="30"/>
    <x v="1067"/>
    <x v="513"/>
    <n v="234179"/>
    <n v="-11422"/>
    <n v="2657"/>
    <x v="977"/>
    <n v="-2032"/>
  </r>
  <r>
    <x v="16"/>
    <x v="31"/>
    <x v="1068"/>
    <x v="514"/>
    <n v="239235"/>
    <n v="1787"/>
    <n v="4603"/>
    <x v="978"/>
    <n v="9632"/>
  </r>
  <r>
    <x v="16"/>
    <x v="32"/>
    <x v="1069"/>
    <x v="515"/>
    <n v="233619"/>
    <n v="688"/>
    <n v="-2765"/>
    <x v="979"/>
    <n v="2176"/>
  </r>
  <r>
    <x v="16"/>
    <x v="33"/>
    <x v="1070"/>
    <x v="33"/>
    <n v="236119"/>
    <s v="n.a."/>
    <s v="n.a."/>
    <x v="980"/>
    <n v="4937"/>
  </r>
  <r>
    <x v="16"/>
    <x v="34"/>
    <x v="1071"/>
    <x v="33"/>
    <n v="220111"/>
    <s v="n.a."/>
    <s v="n.a."/>
    <x v="981"/>
    <n v="1326"/>
  </r>
  <r>
    <x v="16"/>
    <x v="35"/>
    <x v="1072"/>
    <x v="33"/>
    <n v="218489"/>
    <s v="n.a."/>
    <s v="n.a."/>
    <x v="982"/>
    <n v="903"/>
  </r>
  <r>
    <x v="16"/>
    <x v="36"/>
    <x v="1073"/>
    <x v="33"/>
    <n v="211175"/>
    <s v="n.a."/>
    <s v="n.a."/>
    <x v="983"/>
    <n v="9469"/>
  </r>
  <r>
    <x v="16"/>
    <x v="37"/>
    <x v="1074"/>
    <x v="33"/>
    <n v="235536"/>
    <s v="n.a."/>
    <s v="n.a."/>
    <x v="984"/>
    <n v="2751"/>
  </r>
  <r>
    <x v="16"/>
    <x v="38"/>
    <x v="1075"/>
    <x v="33"/>
    <n v="255654"/>
    <s v="n.a."/>
    <s v="n.a."/>
    <x v="985"/>
    <n v="2201"/>
  </r>
  <r>
    <x v="16"/>
    <x v="39"/>
    <x v="1076"/>
    <x v="33"/>
    <n v="250364"/>
    <s v="n.a."/>
    <s v="n.a."/>
    <x v="986"/>
    <n v="2046"/>
  </r>
  <r>
    <x v="16"/>
    <x v="40"/>
    <x v="1077"/>
    <x v="33"/>
    <n v="260747"/>
    <s v="n.a."/>
    <s v="n.a."/>
    <x v="987"/>
    <n v="-2222"/>
  </r>
  <r>
    <x v="16"/>
    <x v="41"/>
    <x v="1078"/>
    <x v="33"/>
    <n v="254206"/>
    <s v="n.a."/>
    <s v="n.a."/>
    <x v="988"/>
    <n v="2552"/>
  </r>
  <r>
    <x v="16"/>
    <x v="42"/>
    <x v="1079"/>
    <x v="33"/>
    <n v="237653"/>
    <s v="n.a."/>
    <s v="n.a."/>
    <x v="989"/>
    <n v="-1416"/>
  </r>
  <r>
    <x v="16"/>
    <x v="43"/>
    <x v="1080"/>
    <x v="33"/>
    <n v="238922"/>
    <s v="n.a."/>
    <s v="n.a."/>
    <x v="990"/>
    <n v="5982"/>
  </r>
  <r>
    <x v="16"/>
    <x v="44"/>
    <x v="1081"/>
    <x v="33"/>
    <n v="252221"/>
    <s v="n.a."/>
    <s v="n.a."/>
    <x v="991"/>
    <n v="-6681"/>
  </r>
  <r>
    <x v="16"/>
    <x v="45"/>
    <x v="1082"/>
    <x v="33"/>
    <n v="262885"/>
    <s v="n.a."/>
    <s v="n.a."/>
    <x v="992"/>
    <n v="1769"/>
  </r>
  <r>
    <x v="16"/>
    <x v="46"/>
    <x v="1083"/>
    <x v="33"/>
    <n v="253312"/>
    <s v="n.a."/>
    <s v="n.a."/>
    <x v="993"/>
    <n v="229"/>
  </r>
  <r>
    <x v="16"/>
    <x v="47"/>
    <x v="1084"/>
    <x v="33"/>
    <n v="257878"/>
    <s v="n.a."/>
    <s v="n.a."/>
    <x v="994"/>
    <n v="-1823"/>
  </r>
  <r>
    <x v="16"/>
    <x v="48"/>
    <x v="1085"/>
    <x v="33"/>
    <n v="257611"/>
    <s v="n.a."/>
    <s v="n.a."/>
    <x v="995"/>
    <n v="1778"/>
  </r>
  <r>
    <x v="16"/>
    <x v="49"/>
    <x v="1086"/>
    <x v="33"/>
    <n v="263838"/>
    <s v="n.a."/>
    <s v="n.a."/>
    <x v="996"/>
    <n v="-2627"/>
  </r>
  <r>
    <x v="16"/>
    <x v="50"/>
    <x v="1087"/>
    <x v="33"/>
    <n v="259414"/>
    <s v="n.a."/>
    <s v="n.a."/>
    <x v="997"/>
    <n v="1522"/>
  </r>
  <r>
    <x v="16"/>
    <x v="51"/>
    <x v="1088"/>
    <x v="33"/>
    <n v="264548"/>
    <s v="n.a."/>
    <s v="n.a."/>
    <x v="998"/>
    <n v="471"/>
  </r>
  <r>
    <x v="16"/>
    <x v="52"/>
    <x v="1089"/>
    <x v="33"/>
    <n v="270829"/>
    <s v="n.a."/>
    <s v="n.a."/>
    <x v="999"/>
    <n v="4628"/>
  </r>
  <r>
    <x v="16"/>
    <x v="53"/>
    <x v="1090"/>
    <x v="33"/>
    <n v="238261"/>
    <s v="n.a."/>
    <s v="n.a."/>
    <x v="1000"/>
    <n v="866"/>
  </r>
  <r>
    <x v="16"/>
    <x v="54"/>
    <x v="1091"/>
    <x v="33"/>
    <n v="235241"/>
    <s v="n.a."/>
    <s v="n.a."/>
    <x v="1001"/>
    <n v="2255"/>
  </r>
  <r>
    <x v="16"/>
    <x v="55"/>
    <x v="1092"/>
    <x v="33"/>
    <n v="231311"/>
    <s v="n.a."/>
    <s v="n.a."/>
    <x v="1002"/>
    <n v="-535"/>
  </r>
  <r>
    <x v="16"/>
    <x v="56"/>
    <x v="1093"/>
    <x v="33"/>
    <n v="233779"/>
    <s v="n.a."/>
    <s v="n.a."/>
    <x v="1003"/>
    <n v="-383"/>
  </r>
  <r>
    <x v="16"/>
    <x v="57"/>
    <x v="1094"/>
    <x v="33"/>
    <n v="229654"/>
    <s v="n.a."/>
    <s v="n.a."/>
    <x v="1004"/>
    <n v="-2091"/>
  </r>
  <r>
    <x v="16"/>
    <x v="58"/>
    <x v="1095"/>
    <x v="33"/>
    <n v="229103"/>
    <s v="n.a."/>
    <s v="n.a."/>
    <x v="1005"/>
    <n v="-683"/>
  </r>
  <r>
    <x v="16"/>
    <x v="59"/>
    <x v="1096"/>
    <x v="33"/>
    <n v="226128"/>
    <s v="n.a."/>
    <s v="n.a."/>
    <x v="1006"/>
    <n v="-543"/>
  </r>
  <r>
    <x v="16"/>
    <x v="60"/>
    <x v="1097"/>
    <x v="33"/>
    <n v="227821"/>
    <s v="n.a."/>
    <s v="n.a."/>
    <x v="1007"/>
    <n v="-1141"/>
  </r>
  <r>
    <x v="16"/>
    <x v="61"/>
    <x v="1098"/>
    <x v="33"/>
    <n v="226586"/>
    <s v="n.a."/>
    <s v="n.a."/>
    <x v="1008"/>
    <n v="-3028"/>
  </r>
  <r>
    <x v="16"/>
    <x v="62"/>
    <x v="1099"/>
    <x v="33"/>
    <n v="221521"/>
    <s v="n.a."/>
    <s v="n.a."/>
    <x v="1009"/>
    <n v="16"/>
  </r>
  <r>
    <x v="16"/>
    <x v="63"/>
    <x v="1100"/>
    <x v="33"/>
    <n v="218529"/>
    <s v="n.a."/>
    <s v="n.a."/>
    <x v="1010"/>
    <n v="-1241"/>
  </r>
  <r>
    <x v="16"/>
    <x v="64"/>
    <x v="1101"/>
    <x v="33"/>
    <n v="214282"/>
    <s v="n.a."/>
    <s v="n.a."/>
    <x v="1011"/>
    <n v="81"/>
  </r>
  <r>
    <x v="16"/>
    <x v="65"/>
    <x v="1102"/>
    <x v="33"/>
    <n v="210097"/>
    <s v="n.a."/>
    <s v="n.a."/>
    <x v="1012"/>
    <n v="-158"/>
  </r>
  <r>
    <x v="16"/>
    <x v="66"/>
    <x v="1103"/>
    <x v="33"/>
    <n v="208159"/>
    <s v="n.a."/>
    <s v="n.a."/>
    <x v="1013"/>
    <n v="-1144"/>
  </r>
  <r>
    <x v="16"/>
    <x v="67"/>
    <x v="1104"/>
    <x v="33"/>
    <n v="210357"/>
    <s v="n.a."/>
    <s v="n.a."/>
    <x v="1014"/>
    <n v="-750"/>
  </r>
  <r>
    <x v="16"/>
    <x v="68"/>
    <x v="1105"/>
    <x v="33"/>
    <n v="208663"/>
    <s v="n.a."/>
    <s v="n.a."/>
    <x v="1015"/>
    <n v="1746"/>
  </r>
  <r>
    <x v="16"/>
    <x v="69"/>
    <x v="1106"/>
    <x v="33"/>
    <n v="204776"/>
    <s v="n.a."/>
    <s v="n.a."/>
    <x v="1016"/>
    <n v="757"/>
  </r>
  <r>
    <x v="17"/>
    <x v="0"/>
    <x v="1107"/>
    <x v="516"/>
    <n v="8083"/>
    <n v="444"/>
    <n v="-6"/>
    <x v="1017"/>
    <n v="891"/>
  </r>
  <r>
    <x v="17"/>
    <x v="1"/>
    <x v="1108"/>
    <x v="517"/>
    <n v="7645"/>
    <n v="305"/>
    <n v="-1"/>
    <x v="1018"/>
    <n v="-6449"/>
  </r>
  <r>
    <x v="17"/>
    <x v="2"/>
    <x v="1109"/>
    <x v="518"/>
    <n v="7340"/>
    <n v="1568"/>
    <n v="24"/>
    <x v="1019"/>
    <n v="7899"/>
  </r>
  <r>
    <x v="17"/>
    <x v="3"/>
    <x v="1110"/>
    <x v="519"/>
    <n v="5753"/>
    <n v="251"/>
    <n v="-21"/>
    <x v="1020"/>
    <n v="2016"/>
  </r>
  <r>
    <x v="17"/>
    <x v="4"/>
    <x v="1111"/>
    <x v="520"/>
    <n v="5525"/>
    <n v="97"/>
    <n v="16"/>
    <x v="1021"/>
    <n v="583"/>
  </r>
  <r>
    <x v="17"/>
    <x v="5"/>
    <x v="314"/>
    <x v="521"/>
    <n v="5460"/>
    <n v="431"/>
    <n v="-26"/>
    <x v="1022"/>
    <n v="-502"/>
  </r>
  <r>
    <x v="17"/>
    <x v="6"/>
    <x v="1112"/>
    <x v="522"/>
    <n v="5052"/>
    <n v="-7264"/>
    <n v="92"/>
    <x v="670"/>
    <n v="-1609"/>
  </r>
  <r>
    <x v="17"/>
    <x v="7"/>
    <x v="1113"/>
    <x v="523"/>
    <n v="12224"/>
    <n v="-634"/>
    <n v="19"/>
    <x v="1023"/>
    <n v="-3936"/>
  </r>
  <r>
    <x v="17"/>
    <x v="8"/>
    <x v="1114"/>
    <x v="524"/>
    <n v="12841"/>
    <n v="932"/>
    <n v="44"/>
    <x v="1024"/>
    <n v="1282"/>
  </r>
  <r>
    <x v="17"/>
    <x v="9"/>
    <x v="1115"/>
    <x v="525"/>
    <n v="11862"/>
    <n v="2315"/>
    <n v="-12"/>
    <x v="1025"/>
    <n v="3061"/>
  </r>
  <r>
    <x v="17"/>
    <x v="10"/>
    <x v="1116"/>
    <x v="526"/>
    <n v="9565"/>
    <n v="376"/>
    <n v="-14"/>
    <x v="1026"/>
    <n v="442"/>
  </r>
  <r>
    <x v="17"/>
    <x v="11"/>
    <x v="1117"/>
    <x v="527"/>
    <n v="9250"/>
    <n v="213"/>
    <n v="10"/>
    <x v="1027"/>
    <n v="-86"/>
  </r>
  <r>
    <x v="17"/>
    <x v="12"/>
    <x v="1118"/>
    <x v="528"/>
    <n v="9034"/>
    <n v="4116"/>
    <n v="-75"/>
    <x v="1028"/>
    <n v="1630"/>
  </r>
  <r>
    <x v="17"/>
    <x v="13"/>
    <x v="1119"/>
    <x v="527"/>
    <n v="4994"/>
    <n v="92"/>
    <n v="19"/>
    <x v="1029"/>
    <n v="35"/>
  </r>
  <r>
    <x v="17"/>
    <x v="14"/>
    <x v="1120"/>
    <x v="162"/>
    <n v="4883"/>
    <n v="51"/>
    <n v="23"/>
    <x v="1030"/>
    <n v="-17"/>
  </r>
  <r>
    <x v="17"/>
    <x v="15"/>
    <x v="1121"/>
    <x v="529"/>
    <n v="4809"/>
    <n v="1582"/>
    <n v="23"/>
    <x v="1031"/>
    <n v="1046"/>
  </r>
  <r>
    <x v="17"/>
    <x v="16"/>
    <x v="1122"/>
    <x v="415"/>
    <n v="3201"/>
    <n v="153"/>
    <n v="5"/>
    <x v="1032"/>
    <n v="16"/>
  </r>
  <r>
    <x v="17"/>
    <x v="17"/>
    <x v="1123"/>
    <x v="530"/>
    <n v="3041"/>
    <n v="133"/>
    <n v="9"/>
    <x v="1033"/>
    <n v="6"/>
  </r>
  <r>
    <x v="17"/>
    <x v="18"/>
    <x v="1124"/>
    <x v="96"/>
    <n v="2900"/>
    <n v="19"/>
    <n v="-11"/>
    <x v="900"/>
    <n v="-2"/>
  </r>
  <r>
    <x v="17"/>
    <x v="19"/>
    <x v="1125"/>
    <x v="90"/>
    <n v="2894"/>
    <n v="26"/>
    <n v="2"/>
    <x v="160"/>
    <n v="3"/>
  </r>
  <r>
    <x v="17"/>
    <x v="20"/>
    <x v="1126"/>
    <x v="531"/>
    <n v="2872"/>
    <n v="-1"/>
    <n v="-11"/>
    <x v="161"/>
    <n v="2"/>
  </r>
  <r>
    <x v="17"/>
    <x v="21"/>
    <x v="1127"/>
    <x v="532"/>
    <n v="2884"/>
    <n v="951"/>
    <n v="-4"/>
    <x v="1034"/>
    <n v="-13"/>
  </r>
  <r>
    <x v="17"/>
    <x v="22"/>
    <x v="1128"/>
    <x v="357"/>
    <n v="1941"/>
    <n v="33"/>
    <n v="11"/>
    <x v="1035"/>
    <n v="-263"/>
  </r>
  <r>
    <x v="17"/>
    <x v="23"/>
    <x v="1129"/>
    <x v="533"/>
    <n v="1871"/>
    <n v="-1"/>
    <n v="11"/>
    <x v="907"/>
    <n v="7"/>
  </r>
  <r>
    <x v="17"/>
    <x v="24"/>
    <x v="1130"/>
    <x v="534"/>
    <n v="1865"/>
    <n v="-5"/>
    <n v="2"/>
    <x v="1036"/>
    <n v="251"/>
  </r>
  <r>
    <x v="17"/>
    <x v="25"/>
    <x v="1131"/>
    <x v="82"/>
    <n v="1872"/>
    <n v="32"/>
    <n v="2"/>
    <x v="163"/>
    <n v="5"/>
  </r>
  <r>
    <x v="17"/>
    <x v="26"/>
    <x v="1132"/>
    <x v="535"/>
    <n v="1839"/>
    <n v="67"/>
    <n v="6"/>
    <x v="1035"/>
    <n v="-355"/>
  </r>
  <r>
    <x v="17"/>
    <x v="27"/>
    <x v="1133"/>
    <x v="80"/>
    <n v="1772"/>
    <n v="111"/>
    <n v="2"/>
    <x v="1037"/>
    <n v="-11"/>
  </r>
  <r>
    <x v="17"/>
    <x v="28"/>
    <x v="1134"/>
    <x v="536"/>
    <n v="1664"/>
    <n v="48"/>
    <n v="-2"/>
    <x v="816"/>
    <n v="137"/>
  </r>
  <r>
    <x v="17"/>
    <x v="29"/>
    <x v="1135"/>
    <x v="537"/>
    <n v="1621"/>
    <n v="-48"/>
    <n v="-3"/>
    <x v="796"/>
    <n v="5"/>
  </r>
  <r>
    <x v="17"/>
    <x v="30"/>
    <x v="1136"/>
    <x v="538"/>
    <n v="1677"/>
    <n v="252"/>
    <n v="1"/>
    <x v="1038"/>
    <n v="-278"/>
  </r>
  <r>
    <x v="17"/>
    <x v="31"/>
    <x v="1137"/>
    <x v="539"/>
    <n v="1424"/>
    <n v="151"/>
    <n v="16"/>
    <x v="1039"/>
    <n v="-1"/>
  </r>
  <r>
    <x v="17"/>
    <x v="32"/>
    <x v="1138"/>
    <x v="540"/>
    <n v="1260"/>
    <n v="-137"/>
    <n v="-5"/>
    <x v="1040"/>
    <n v="-26"/>
  </r>
  <r>
    <x v="17"/>
    <x v="33"/>
    <x v="1139"/>
    <x v="33"/>
    <n v="1400"/>
    <s v="n.a."/>
    <s v="n.a."/>
    <x v="57"/>
    <n v="95"/>
  </r>
  <r>
    <x v="17"/>
    <x v="34"/>
    <x v="1140"/>
    <x v="33"/>
    <n v="1368"/>
    <s v="n.a."/>
    <s v="n.a."/>
    <x v="1041"/>
    <n v="-25"/>
  </r>
  <r>
    <x v="17"/>
    <x v="35"/>
    <x v="1141"/>
    <x v="33"/>
    <n v="1309"/>
    <s v="n.a."/>
    <s v="n.a."/>
    <x v="285"/>
    <n v="60"/>
  </r>
  <r>
    <x v="17"/>
    <x v="36"/>
    <x v="1142"/>
    <x v="33"/>
    <n v="1210"/>
    <s v="n.a."/>
    <s v="n.a."/>
    <x v="1042"/>
    <n v="3"/>
  </r>
  <r>
    <x v="17"/>
    <x v="37"/>
    <x v="1143"/>
    <x v="33"/>
    <n v="1193"/>
    <s v="n.a."/>
    <s v="n.a."/>
    <x v="1043"/>
    <n v="10"/>
  </r>
  <r>
    <x v="17"/>
    <x v="38"/>
    <x v="1144"/>
    <x v="33"/>
    <n v="1277"/>
    <s v="n.a."/>
    <s v="n.a."/>
    <x v="263"/>
    <n v="110"/>
  </r>
  <r>
    <x v="17"/>
    <x v="39"/>
    <x v="1145"/>
    <x v="33"/>
    <n v="1302"/>
    <s v="n.a."/>
    <s v="n.a."/>
    <x v="1044"/>
    <n v="45"/>
  </r>
  <r>
    <x v="17"/>
    <x v="40"/>
    <x v="1146"/>
    <x v="33"/>
    <n v="1218"/>
    <s v="n.a."/>
    <s v="n.a."/>
    <x v="1045"/>
    <n v="-48"/>
  </r>
  <r>
    <x v="17"/>
    <x v="41"/>
    <x v="1147"/>
    <x v="33"/>
    <n v="1162"/>
    <s v="n.a."/>
    <s v="n.a."/>
    <x v="1046"/>
    <n v="30"/>
  </r>
  <r>
    <x v="17"/>
    <x v="42"/>
    <x v="1148"/>
    <x v="33"/>
    <n v="1129"/>
    <s v="n.a."/>
    <s v="n.a."/>
    <x v="826"/>
    <n v="-13"/>
  </r>
  <r>
    <x v="17"/>
    <x v="43"/>
    <x v="1149"/>
    <x v="33"/>
    <n v="1108"/>
    <s v="n.a."/>
    <s v="n.a."/>
    <x v="1047"/>
    <n v="-3"/>
  </r>
  <r>
    <x v="17"/>
    <x v="44"/>
    <x v="1150"/>
    <x v="33"/>
    <n v="1084"/>
    <s v="n.a."/>
    <s v="n.a."/>
    <x v="141"/>
    <n v="1"/>
  </r>
  <r>
    <x v="17"/>
    <x v="45"/>
    <x v="1151"/>
    <x v="33"/>
    <n v="1021"/>
    <s v="n.a."/>
    <s v="n.a."/>
    <x v="316"/>
    <n v="-112"/>
  </r>
  <r>
    <x v="17"/>
    <x v="46"/>
    <x v="1152"/>
    <x v="33"/>
    <n v="1302"/>
    <s v="n.a."/>
    <s v="n.a."/>
    <x v="746"/>
    <n v="99"/>
  </r>
  <r>
    <x v="17"/>
    <x v="47"/>
    <x v="1153"/>
    <x v="33"/>
    <n v="1391"/>
    <s v="n.a."/>
    <s v="n.a."/>
    <x v="1048"/>
    <n v="-1"/>
  </r>
  <r>
    <x v="17"/>
    <x v="48"/>
    <x v="1154"/>
    <x v="33"/>
    <n v="1258"/>
    <s v="n.a."/>
    <s v="n.a."/>
    <x v="748"/>
    <n v="0"/>
  </r>
  <r>
    <x v="17"/>
    <x v="49"/>
    <x v="1155"/>
    <x v="33"/>
    <n v="1254"/>
    <s v="n.a."/>
    <s v="n.a."/>
    <x v="748"/>
    <n v="17"/>
  </r>
  <r>
    <x v="17"/>
    <x v="50"/>
    <x v="1156"/>
    <x v="33"/>
    <n v="1265"/>
    <s v="n.a."/>
    <s v="n.a."/>
    <x v="1049"/>
    <n v="-225"/>
  </r>
  <r>
    <x v="17"/>
    <x v="51"/>
    <x v="1157"/>
    <x v="33"/>
    <n v="1314"/>
    <s v="n.a."/>
    <s v="n.a."/>
    <x v="1050"/>
    <n v="-137"/>
  </r>
  <r>
    <x v="17"/>
    <x v="52"/>
    <x v="1158"/>
    <x v="33"/>
    <n v="1280"/>
    <s v="n.a."/>
    <s v="n.a."/>
    <x v="1051"/>
    <n v="52"/>
  </r>
  <r>
    <x v="17"/>
    <x v="53"/>
    <x v="1159"/>
    <x v="33"/>
    <n v="1575"/>
    <s v="n.a."/>
    <s v="n.a."/>
    <x v="1052"/>
    <n v="-77"/>
  </r>
  <r>
    <x v="17"/>
    <x v="54"/>
    <x v="1160"/>
    <x v="33"/>
    <n v="1572"/>
    <s v="n.a."/>
    <s v="n.a."/>
    <x v="1053"/>
    <n v="89"/>
  </r>
  <r>
    <x v="17"/>
    <x v="55"/>
    <x v="1161"/>
    <x v="33"/>
    <n v="1547"/>
    <s v="n.a."/>
    <s v="n.a."/>
    <x v="1054"/>
    <n v="-131"/>
  </r>
  <r>
    <x v="17"/>
    <x v="56"/>
    <x v="1162"/>
    <x v="33"/>
    <n v="1549"/>
    <s v="n.a."/>
    <s v="n.a."/>
    <x v="1055"/>
    <n v="151"/>
  </r>
  <r>
    <x v="17"/>
    <x v="57"/>
    <x v="1163"/>
    <x v="33"/>
    <n v="1516"/>
    <s v="n.a."/>
    <s v="n.a."/>
    <x v="1056"/>
    <n v="313"/>
  </r>
  <r>
    <x v="17"/>
    <x v="58"/>
    <x v="1164"/>
    <x v="33"/>
    <n v="1494"/>
    <s v="n.a."/>
    <s v="n.a."/>
    <x v="139"/>
    <n v="-66"/>
  </r>
  <r>
    <x v="17"/>
    <x v="59"/>
    <x v="1165"/>
    <x v="33"/>
    <n v="1496"/>
    <s v="n.a."/>
    <s v="n.a."/>
    <x v="1057"/>
    <n v="148"/>
  </r>
  <r>
    <x v="17"/>
    <x v="60"/>
    <x v="1166"/>
    <x v="33"/>
    <n v="1499"/>
    <s v="n.a."/>
    <s v="n.a."/>
    <x v="146"/>
    <n v="-42"/>
  </r>
  <r>
    <x v="17"/>
    <x v="61"/>
    <x v="1167"/>
    <x v="33"/>
    <n v="1497"/>
    <s v="n.a."/>
    <s v="n.a."/>
    <x v="148"/>
    <n v="131"/>
  </r>
  <r>
    <x v="17"/>
    <x v="62"/>
    <x v="1168"/>
    <x v="33"/>
    <n v="1509"/>
    <s v="n.a."/>
    <s v="n.a."/>
    <x v="1058"/>
    <n v="-34"/>
  </r>
  <r>
    <x v="17"/>
    <x v="63"/>
    <x v="1169"/>
    <x v="33"/>
    <n v="1952"/>
    <s v="n.a."/>
    <s v="n.a."/>
    <x v="821"/>
    <n v="-188"/>
  </r>
  <r>
    <x v="17"/>
    <x v="64"/>
    <x v="1170"/>
    <x v="33"/>
    <n v="2067"/>
    <s v="n.a."/>
    <s v="n.a."/>
    <x v="1048"/>
    <n v="72"/>
  </r>
  <r>
    <x v="17"/>
    <x v="65"/>
    <x v="1171"/>
    <x v="33"/>
    <n v="1675"/>
    <s v="n.a."/>
    <s v="n.a."/>
    <x v="937"/>
    <n v="78"/>
  </r>
  <r>
    <x v="17"/>
    <x v="66"/>
    <x v="1172"/>
    <x v="33"/>
    <n v="1678"/>
    <s v="n.a."/>
    <s v="n.a."/>
    <x v="289"/>
    <n v="-165"/>
  </r>
  <r>
    <x v="17"/>
    <x v="67"/>
    <x v="1173"/>
    <x v="33"/>
    <n v="1988"/>
    <s v="n.a."/>
    <s v="n.a."/>
    <x v="1057"/>
    <n v="65"/>
  </r>
  <r>
    <x v="17"/>
    <x v="68"/>
    <x v="1174"/>
    <x v="33"/>
    <n v="1883"/>
    <s v="n.a."/>
    <s v="n.a."/>
    <x v="814"/>
    <n v="-89"/>
  </r>
  <r>
    <x v="17"/>
    <x v="69"/>
    <x v="1175"/>
    <x v="33"/>
    <n v="2253"/>
    <s v="n.a."/>
    <s v="n.a."/>
    <x v="739"/>
    <n v="194"/>
  </r>
  <r>
    <x v="18"/>
    <x v="0"/>
    <x v="1176"/>
    <x v="541"/>
    <n v="797423"/>
    <n v="21979"/>
    <n v="-7775"/>
    <x v="1059"/>
    <n v="-1174"/>
  </r>
  <r>
    <x v="18"/>
    <x v="1"/>
    <x v="1177"/>
    <x v="542"/>
    <n v="782997"/>
    <n v="-20380"/>
    <n v="-7394"/>
    <x v="1060"/>
    <n v="-1208"/>
  </r>
  <r>
    <x v="18"/>
    <x v="2"/>
    <x v="1178"/>
    <x v="543"/>
    <n v="821432"/>
    <n v="4251"/>
    <n v="-2967"/>
    <x v="1061"/>
    <n v="-1021"/>
  </r>
  <r>
    <x v="18"/>
    <x v="3"/>
    <x v="1179"/>
    <x v="544"/>
    <n v="815381"/>
    <n v="36316"/>
    <n v="-13806"/>
    <x v="1062"/>
    <n v="-1234"/>
  </r>
  <r>
    <x v="18"/>
    <x v="4"/>
    <x v="1180"/>
    <x v="545"/>
    <n v="772780"/>
    <n v="13780"/>
    <n v="5352"/>
    <x v="1063"/>
    <n v="3774"/>
  </r>
  <r>
    <x v="18"/>
    <x v="5"/>
    <x v="1181"/>
    <x v="546"/>
    <n v="728039"/>
    <n v="29797"/>
    <n v="-14923"/>
    <x v="1064"/>
    <n v="3379"/>
  </r>
  <r>
    <x v="18"/>
    <x v="6"/>
    <x v="1182"/>
    <x v="547"/>
    <n v="729734"/>
    <n v="42803"/>
    <n v="-3410"/>
    <x v="1065"/>
    <n v="-11809"/>
  </r>
  <r>
    <x v="18"/>
    <x v="7"/>
    <x v="1183"/>
    <x v="548"/>
    <n v="689538"/>
    <n v="20963"/>
    <n v="-5216"/>
    <x v="1066"/>
    <n v="8133"/>
  </r>
  <r>
    <x v="18"/>
    <x v="8"/>
    <x v="1184"/>
    <x v="549"/>
    <n v="668672"/>
    <n v="14172"/>
    <n v="-1880"/>
    <x v="1067"/>
    <n v="21"/>
  </r>
  <r>
    <x v="18"/>
    <x v="9"/>
    <x v="1185"/>
    <x v="550"/>
    <n v="658602"/>
    <n v="36777"/>
    <n v="-5463"/>
    <x v="1068"/>
    <n v="4145"/>
  </r>
  <r>
    <x v="18"/>
    <x v="10"/>
    <x v="1186"/>
    <x v="551"/>
    <n v="645298"/>
    <n v="-34188"/>
    <n v="-5791"/>
    <x v="1069"/>
    <n v="-5581"/>
  </r>
  <r>
    <x v="18"/>
    <x v="11"/>
    <x v="1187"/>
    <x v="552"/>
    <n v="683822"/>
    <n v="-2708"/>
    <n v="1706"/>
    <x v="1070"/>
    <n v="2746"/>
  </r>
  <r>
    <x v="18"/>
    <x v="12"/>
    <x v="1188"/>
    <x v="553"/>
    <n v="666155"/>
    <n v="10666"/>
    <n v="-7895"/>
    <x v="1071"/>
    <n v="-3295"/>
  </r>
  <r>
    <x v="18"/>
    <x v="13"/>
    <x v="1189"/>
    <x v="554"/>
    <n v="685639"/>
    <n v="-2558"/>
    <n v="3291"/>
    <x v="1072"/>
    <n v="-8110"/>
  </r>
  <r>
    <x v="18"/>
    <x v="14"/>
    <x v="1190"/>
    <x v="555"/>
    <n v="657497"/>
    <n v="9866"/>
    <n v="4547"/>
    <x v="1073"/>
    <n v="4380"/>
  </r>
  <r>
    <x v="18"/>
    <x v="15"/>
    <x v="1191"/>
    <x v="556"/>
    <n v="646161"/>
    <n v="7854"/>
    <n v="3791"/>
    <x v="1074"/>
    <n v="-10464"/>
  </r>
  <r>
    <x v="18"/>
    <x v="16"/>
    <x v="1192"/>
    <x v="557"/>
    <n v="648733"/>
    <n v="-9013"/>
    <n v="5605"/>
    <x v="1075"/>
    <n v="-1759"/>
  </r>
  <r>
    <x v="18"/>
    <x v="17"/>
    <x v="1193"/>
    <x v="558"/>
    <n v="629000"/>
    <n v="15991"/>
    <n v="3566"/>
    <x v="1076"/>
    <n v="-6466"/>
  </r>
  <r>
    <x v="18"/>
    <x v="18"/>
    <x v="1194"/>
    <x v="559"/>
    <n v="608534"/>
    <n v="-7825"/>
    <n v="-9778"/>
    <x v="1077"/>
    <n v="-2966"/>
  </r>
  <r>
    <x v="18"/>
    <x v="19"/>
    <x v="1195"/>
    <x v="560"/>
    <n v="627444"/>
    <n v="20523"/>
    <n v="1202"/>
    <x v="1078"/>
    <n v="6420"/>
  </r>
  <r>
    <x v="18"/>
    <x v="20"/>
    <x v="1196"/>
    <x v="561"/>
    <n v="608958"/>
    <n v="14113"/>
    <n v="-4106"/>
    <x v="1079"/>
    <n v="2237"/>
  </r>
  <r>
    <x v="18"/>
    <x v="21"/>
    <x v="1197"/>
    <x v="562"/>
    <n v="601488"/>
    <n v="12244"/>
    <n v="-1341"/>
    <x v="1080"/>
    <n v="-5210"/>
  </r>
  <r>
    <x v="18"/>
    <x v="22"/>
    <x v="1198"/>
    <x v="563"/>
    <n v="583001"/>
    <n v="4573"/>
    <n v="4475"/>
    <x v="1081"/>
    <n v="5747"/>
  </r>
  <r>
    <x v="18"/>
    <x v="23"/>
    <x v="1199"/>
    <x v="564"/>
    <n v="550961"/>
    <n v="-1651"/>
    <n v="6933"/>
    <x v="1082"/>
    <n v="-644"/>
  </r>
  <r>
    <x v="18"/>
    <x v="24"/>
    <x v="1200"/>
    <x v="565"/>
    <n v="529570"/>
    <n v="10869"/>
    <n v="-3977"/>
    <x v="1083"/>
    <n v="-7692"/>
  </r>
  <r>
    <x v="18"/>
    <x v="25"/>
    <x v="1201"/>
    <x v="566"/>
    <n v="496525"/>
    <n v="1834"/>
    <n v="-34509"/>
    <x v="1084"/>
    <n v="6950"/>
  </r>
  <r>
    <x v="18"/>
    <x v="26"/>
    <x v="1202"/>
    <x v="567"/>
    <n v="526349"/>
    <n v="4685"/>
    <n v="-1704"/>
    <x v="1085"/>
    <n v="9141"/>
  </r>
  <r>
    <x v="18"/>
    <x v="27"/>
    <x v="1203"/>
    <x v="568"/>
    <n v="517276"/>
    <n v="-7771"/>
    <n v="-2192"/>
    <x v="1086"/>
    <n v="1518"/>
  </r>
  <r>
    <x v="18"/>
    <x v="28"/>
    <x v="1204"/>
    <x v="569"/>
    <n v="533861"/>
    <n v="-4313"/>
    <n v="-3714"/>
    <x v="1087"/>
    <n v="8688"/>
  </r>
  <r>
    <x v="18"/>
    <x v="29"/>
    <x v="1205"/>
    <x v="570"/>
    <n v="524766"/>
    <n v="1653"/>
    <n v="-4248"/>
    <x v="1088"/>
    <n v="-7871"/>
  </r>
  <r>
    <x v="18"/>
    <x v="30"/>
    <x v="1206"/>
    <x v="571"/>
    <n v="535418"/>
    <n v="11654"/>
    <n v="788"/>
    <x v="1089"/>
    <n v="-944"/>
  </r>
  <r>
    <x v="18"/>
    <x v="31"/>
    <x v="1207"/>
    <x v="572"/>
    <n v="542469"/>
    <n v="74360"/>
    <n v="3174"/>
    <x v="1090"/>
    <n v="-15345"/>
  </r>
  <r>
    <x v="18"/>
    <x v="32"/>
    <x v="1208"/>
    <x v="573"/>
    <n v="470450"/>
    <n v="-5227"/>
    <n v="-8124"/>
    <x v="1091"/>
    <n v="2828"/>
  </r>
  <r>
    <x v="18"/>
    <x v="33"/>
    <x v="1209"/>
    <x v="33"/>
    <n v="494818"/>
    <s v="n.a."/>
    <s v="n.a."/>
    <x v="1092"/>
    <n v="4651"/>
  </r>
  <r>
    <x v="18"/>
    <x v="34"/>
    <x v="1210"/>
    <x v="33"/>
    <n v="475168"/>
    <s v="n.a."/>
    <s v="n.a."/>
    <x v="1093"/>
    <n v="17662"/>
  </r>
  <r>
    <x v="18"/>
    <x v="35"/>
    <x v="1211"/>
    <x v="33"/>
    <n v="494266"/>
    <s v="n.a."/>
    <s v="n.a."/>
    <x v="1094"/>
    <n v="-4105"/>
  </r>
  <r>
    <x v="18"/>
    <x v="36"/>
    <x v="1212"/>
    <x v="33"/>
    <n v="556304"/>
    <s v="n.a."/>
    <s v="n.a."/>
    <x v="1095"/>
    <n v="-6767"/>
  </r>
  <r>
    <x v="18"/>
    <x v="37"/>
    <x v="1213"/>
    <x v="33"/>
    <n v="573078"/>
    <s v="n.a."/>
    <s v="n.a."/>
    <x v="1096"/>
    <n v="-3266"/>
  </r>
  <r>
    <x v="18"/>
    <x v="38"/>
    <x v="1214"/>
    <x v="33"/>
    <n v="551538"/>
    <s v="n.a."/>
    <s v="n.a."/>
    <x v="1097"/>
    <n v="13065"/>
  </r>
  <r>
    <x v="18"/>
    <x v="39"/>
    <x v="1215"/>
    <x v="33"/>
    <n v="554660"/>
    <s v="n.a."/>
    <s v="n.a."/>
    <x v="1098"/>
    <n v="-5612"/>
  </r>
  <r>
    <x v="18"/>
    <x v="40"/>
    <x v="1216"/>
    <x v="33"/>
    <n v="529736"/>
    <s v="n.a."/>
    <s v="n.a."/>
    <x v="1099"/>
    <n v="-3249"/>
  </r>
  <r>
    <x v="18"/>
    <x v="41"/>
    <x v="1217"/>
    <x v="33"/>
    <n v="545675"/>
    <s v="n.a."/>
    <s v="n.a."/>
    <x v="1100"/>
    <n v="-3261"/>
  </r>
  <r>
    <x v="18"/>
    <x v="42"/>
    <x v="1218"/>
    <x v="33"/>
    <n v="520282"/>
    <s v="n.a."/>
    <s v="n.a."/>
    <x v="1101"/>
    <n v="-9602"/>
  </r>
  <r>
    <x v="18"/>
    <x v="43"/>
    <x v="1219"/>
    <x v="33"/>
    <n v="532888"/>
    <s v="n.a."/>
    <s v="n.a."/>
    <x v="1102"/>
    <n v="716"/>
  </r>
  <r>
    <x v="18"/>
    <x v="44"/>
    <x v="1220"/>
    <x v="33"/>
    <n v="524095"/>
    <s v="n.a."/>
    <s v="n.a."/>
    <x v="1103"/>
    <n v="14099"/>
  </r>
  <r>
    <x v="18"/>
    <x v="45"/>
    <x v="1221"/>
    <x v="33"/>
    <n v="521876"/>
    <s v="n.a."/>
    <s v="n.a."/>
    <x v="1104"/>
    <n v="-4449"/>
  </r>
  <r>
    <x v="18"/>
    <x v="46"/>
    <x v="1222"/>
    <x v="33"/>
    <n v="556052"/>
    <s v="n.a."/>
    <s v="n.a."/>
    <x v="1105"/>
    <n v="5716"/>
  </r>
  <r>
    <x v="18"/>
    <x v="47"/>
    <x v="1223"/>
    <x v="33"/>
    <n v="534207"/>
    <s v="n.a."/>
    <s v="n.a."/>
    <x v="1106"/>
    <n v="9624"/>
  </r>
  <r>
    <x v="18"/>
    <x v="48"/>
    <x v="1224"/>
    <x v="33"/>
    <n v="502211"/>
    <s v="n.a."/>
    <s v="n.a."/>
    <x v="1107"/>
    <n v="-880"/>
  </r>
  <r>
    <x v="18"/>
    <x v="49"/>
    <x v="1225"/>
    <x v="33"/>
    <n v="487567"/>
    <s v="n.a."/>
    <s v="n.a."/>
    <x v="1108"/>
    <n v="6723"/>
  </r>
  <r>
    <x v="18"/>
    <x v="50"/>
    <x v="1226"/>
    <x v="33"/>
    <n v="496813"/>
    <s v="n.a."/>
    <s v="n.a."/>
    <x v="1109"/>
    <n v="7776"/>
  </r>
  <r>
    <x v="18"/>
    <x v="51"/>
    <x v="1227"/>
    <x v="33"/>
    <n v="477275"/>
    <s v="n.a."/>
    <s v="n.a."/>
    <x v="1110"/>
    <n v="-2513"/>
  </r>
  <r>
    <x v="18"/>
    <x v="52"/>
    <x v="1228"/>
    <x v="33"/>
    <n v="466746"/>
    <s v="n.a."/>
    <s v="n.a."/>
    <x v="1111"/>
    <n v="7604"/>
  </r>
  <r>
    <x v="18"/>
    <x v="53"/>
    <x v="1229"/>
    <x v="33"/>
    <n v="408381"/>
    <s v="n.a."/>
    <s v="n.a."/>
    <x v="1112"/>
    <n v="1173"/>
  </r>
  <r>
    <x v="18"/>
    <x v="54"/>
    <x v="1230"/>
    <x v="33"/>
    <n v="373673"/>
    <s v="n.a."/>
    <s v="n.a."/>
    <x v="1113"/>
    <n v="-7724"/>
  </r>
  <r>
    <x v="18"/>
    <x v="55"/>
    <x v="1231"/>
    <x v="33"/>
    <n v="377353"/>
    <s v="n.a."/>
    <s v="n.a."/>
    <x v="1114"/>
    <n v="-1100"/>
  </r>
  <r>
    <x v="18"/>
    <x v="56"/>
    <x v="1232"/>
    <x v="33"/>
    <n v="392534"/>
    <s v="n.a."/>
    <s v="n.a."/>
    <x v="1115"/>
    <n v="-11"/>
  </r>
  <r>
    <x v="18"/>
    <x v="57"/>
    <x v="1233"/>
    <x v="33"/>
    <n v="371762"/>
    <s v="n.a."/>
    <s v="n.a."/>
    <x v="1116"/>
    <n v="-1579"/>
  </r>
  <r>
    <x v="18"/>
    <x v="58"/>
    <x v="1234"/>
    <x v="33"/>
    <n v="372138"/>
    <s v="n.a."/>
    <s v="n.a."/>
    <x v="1117"/>
    <n v="6505"/>
  </r>
  <r>
    <x v="18"/>
    <x v="59"/>
    <x v="1235"/>
    <x v="33"/>
    <n v="358474"/>
    <s v="n.a."/>
    <s v="n.a."/>
    <x v="1118"/>
    <n v="-5579"/>
  </r>
  <r>
    <x v="18"/>
    <x v="60"/>
    <x v="1236"/>
    <x v="33"/>
    <n v="375250"/>
    <s v="n.a."/>
    <s v="n.a."/>
    <x v="1119"/>
    <n v="-3233"/>
  </r>
  <r>
    <x v="18"/>
    <x v="61"/>
    <x v="1237"/>
    <x v="33"/>
    <n v="357663"/>
    <s v="n.a."/>
    <s v="n.a."/>
    <x v="1120"/>
    <n v="-2408"/>
  </r>
  <r>
    <x v="18"/>
    <x v="62"/>
    <x v="1238"/>
    <x v="33"/>
    <n v="346152"/>
    <s v="n.a."/>
    <s v="n.a."/>
    <x v="1121"/>
    <n v="2911"/>
  </r>
  <r>
    <x v="18"/>
    <x v="63"/>
    <x v="1239"/>
    <x v="33"/>
    <n v="354330"/>
    <s v="n.a."/>
    <s v="n.a."/>
    <x v="1122"/>
    <n v="-6250"/>
  </r>
  <r>
    <x v="18"/>
    <x v="64"/>
    <x v="1240"/>
    <x v="33"/>
    <n v="369113"/>
    <s v="n.a."/>
    <s v="n.a."/>
    <x v="1123"/>
    <n v="9852"/>
  </r>
  <r>
    <x v="18"/>
    <x v="65"/>
    <x v="1241"/>
    <x v="33"/>
    <n v="379094"/>
    <s v="n.a."/>
    <s v="n.a."/>
    <x v="1124"/>
    <n v="2876"/>
  </r>
  <r>
    <x v="18"/>
    <x v="66"/>
    <x v="1242"/>
    <x v="33"/>
    <n v="365360"/>
    <s v="n.a."/>
    <s v="n.a."/>
    <x v="1125"/>
    <n v="-2400"/>
  </r>
  <r>
    <x v="18"/>
    <x v="67"/>
    <x v="1243"/>
    <x v="33"/>
    <n v="403473"/>
    <s v="n.a."/>
    <s v="n.a."/>
    <x v="1126"/>
    <n v="14601"/>
  </r>
  <r>
    <x v="18"/>
    <x v="68"/>
    <x v="1244"/>
    <x v="33"/>
    <n v="425541"/>
    <s v="n.a."/>
    <s v="n.a."/>
    <x v="1127"/>
    <n v="2600"/>
  </r>
  <r>
    <x v="18"/>
    <x v="69"/>
    <x v="1245"/>
    <x v="33"/>
    <n v="401302"/>
    <s v="n.a."/>
    <s v="n.a."/>
    <x v="1128"/>
    <n v="-8590"/>
  </r>
  <r>
    <x v="19"/>
    <x v="0"/>
    <x v="481"/>
    <x v="33"/>
    <n v="8352"/>
    <n v="509"/>
    <n v="-79"/>
    <x v="461"/>
    <s v="n.a."/>
  </r>
  <r>
    <x v="19"/>
    <x v="1"/>
    <x v="481"/>
    <x v="33"/>
    <n v="7894"/>
    <n v="-331"/>
    <n v="102"/>
    <x v="461"/>
    <s v="n.a."/>
  </r>
  <r>
    <x v="19"/>
    <x v="2"/>
    <x v="481"/>
    <x v="33"/>
    <n v="8074"/>
    <n v="15"/>
    <n v="-11"/>
    <x v="461"/>
    <s v="n.a."/>
  </r>
  <r>
    <x v="19"/>
    <x v="3"/>
    <x v="481"/>
    <x v="33"/>
    <n v="8120"/>
    <n v="296"/>
    <n v="-126"/>
    <x v="461"/>
    <s v="n.a."/>
  </r>
  <r>
    <x v="19"/>
    <x v="4"/>
    <x v="481"/>
    <x v="33"/>
    <n v="7959"/>
    <n v="-68"/>
    <n v="161"/>
    <x v="461"/>
    <s v="n.a."/>
  </r>
  <r>
    <x v="19"/>
    <x v="5"/>
    <x v="481"/>
    <x v="33"/>
    <n v="7792"/>
    <n v="229"/>
    <n v="-79"/>
    <x v="461"/>
    <s v="n.a."/>
  </r>
  <r>
    <x v="19"/>
    <x v="6"/>
    <x v="481"/>
    <x v="33"/>
    <n v="7640"/>
    <n v="-425"/>
    <n v="-98"/>
    <x v="461"/>
    <s v="n.a."/>
  </r>
  <r>
    <x v="19"/>
    <x v="7"/>
    <x v="481"/>
    <x v="33"/>
    <n v="8132"/>
    <n v="155"/>
    <n v="-373"/>
    <x v="461"/>
    <s v="n.a."/>
  </r>
  <r>
    <x v="19"/>
    <x v="8"/>
    <x v="481"/>
    <x v="33"/>
    <n v="7831"/>
    <n v="-238"/>
    <n v="331"/>
    <x v="461"/>
    <s v="n.a."/>
  </r>
  <r>
    <x v="19"/>
    <x v="9"/>
    <x v="481"/>
    <x v="33"/>
    <n v="7564"/>
    <n v="115"/>
    <n v="86"/>
    <x v="461"/>
    <s v="n.a."/>
  </r>
  <r>
    <x v="19"/>
    <x v="10"/>
    <x v="481"/>
    <x v="33"/>
    <n v="7342"/>
    <n v="-143"/>
    <n v="-179"/>
    <x v="461"/>
    <s v="n.a."/>
  </r>
  <r>
    <x v="19"/>
    <x v="11"/>
    <x v="481"/>
    <x v="33"/>
    <n v="7861"/>
    <n v="200"/>
    <n v="123"/>
    <x v="461"/>
    <s v="n.a."/>
  </r>
  <r>
    <x v="19"/>
    <x v="12"/>
    <x v="481"/>
    <x v="33"/>
    <n v="7509"/>
    <n v="-123"/>
    <n v="-344"/>
    <x v="461"/>
    <s v="n.a."/>
  </r>
  <r>
    <x v="19"/>
    <x v="13"/>
    <x v="481"/>
    <x v="33"/>
    <n v="7928"/>
    <n v="-20"/>
    <n v="187"/>
    <x v="461"/>
    <s v="n.a."/>
  </r>
  <r>
    <x v="19"/>
    <x v="14"/>
    <x v="481"/>
    <x v="33"/>
    <n v="7973"/>
    <n v="647"/>
    <n v="114"/>
    <x v="461"/>
    <s v="n.a."/>
  </r>
  <r>
    <x v="19"/>
    <x v="15"/>
    <x v="481"/>
    <x v="33"/>
    <n v="7265"/>
    <n v="476"/>
    <n v="37"/>
    <x v="461"/>
    <s v="n.a."/>
  </r>
  <r>
    <x v="19"/>
    <x v="16"/>
    <x v="481"/>
    <x v="33"/>
    <n v="6729"/>
    <n v="41"/>
    <n v="108"/>
    <x v="461"/>
    <s v="n.a."/>
  </r>
  <r>
    <x v="19"/>
    <x v="17"/>
    <x v="481"/>
    <x v="33"/>
    <n v="6587"/>
    <n v="58"/>
    <n v="42"/>
    <x v="461"/>
    <s v="n.a."/>
  </r>
  <r>
    <x v="19"/>
    <x v="18"/>
    <x v="481"/>
    <x v="33"/>
    <n v="6512"/>
    <n v="81"/>
    <n v="-267"/>
    <x v="461"/>
    <s v="n.a."/>
  </r>
  <r>
    <x v="19"/>
    <x v="19"/>
    <x v="481"/>
    <x v="33"/>
    <n v="6730"/>
    <n v="-69"/>
    <n v="17"/>
    <x v="461"/>
    <s v="n.a."/>
  </r>
  <r>
    <x v="19"/>
    <x v="20"/>
    <x v="481"/>
    <x v="33"/>
    <n v="6663"/>
    <n v="15"/>
    <n v="-149"/>
    <x v="461"/>
    <s v="n.a."/>
  </r>
  <r>
    <x v="19"/>
    <x v="21"/>
    <x v="481"/>
    <x v="33"/>
    <n v="6660"/>
    <n v="-647"/>
    <n v="-113"/>
    <x v="461"/>
    <s v="n.a."/>
  </r>
  <r>
    <x v="19"/>
    <x v="22"/>
    <x v="481"/>
    <x v="33"/>
    <n v="7468"/>
    <n v="437"/>
    <n v="535"/>
    <x v="461"/>
    <s v="n.a."/>
  </r>
  <r>
    <x v="19"/>
    <x v="23"/>
    <x v="481"/>
    <x v="33"/>
    <n v="6505"/>
    <n v="17"/>
    <n v="422"/>
    <x v="461"/>
    <s v="n.a."/>
  </r>
  <r>
    <x v="19"/>
    <x v="24"/>
    <x v="481"/>
    <x v="33"/>
    <n v="6100"/>
    <n v="159"/>
    <n v="-212"/>
    <x v="461"/>
    <s v="n.a."/>
  </r>
  <r>
    <x v="19"/>
    <x v="25"/>
    <x v="481"/>
    <x v="33"/>
    <n v="6141"/>
    <n v="-160"/>
    <n v="-401"/>
    <x v="461"/>
    <s v="n.a."/>
  </r>
  <r>
    <x v="19"/>
    <x v="26"/>
    <x v="481"/>
    <x v="33"/>
    <n v="6793"/>
    <n v="131"/>
    <n v="-53"/>
    <x v="461"/>
    <s v="n.a."/>
  </r>
  <r>
    <x v="19"/>
    <x v="27"/>
    <x v="481"/>
    <x v="33"/>
    <n v="6742"/>
    <n v="322"/>
    <n v="-400"/>
    <x v="461"/>
    <s v="n.a."/>
  </r>
  <r>
    <x v="19"/>
    <x v="28"/>
    <x v="481"/>
    <x v="33"/>
    <n v="6813"/>
    <n v="418"/>
    <n v="-14"/>
    <x v="461"/>
    <s v="n.a."/>
  </r>
  <r>
    <x v="19"/>
    <x v="29"/>
    <x v="481"/>
    <x v="33"/>
    <n v="6157"/>
    <n v="-1025"/>
    <n v="-189"/>
    <x v="461"/>
    <s v="n.a."/>
  </r>
  <r>
    <x v="19"/>
    <x v="30"/>
    <x v="481"/>
    <x v="33"/>
    <n v="7396"/>
    <n v="33"/>
    <n v="-11"/>
    <x v="461"/>
    <s v="n.a."/>
  </r>
  <r>
    <x v="19"/>
    <x v="31"/>
    <x v="481"/>
    <x v="33"/>
    <n v="7371"/>
    <n v="771"/>
    <n v="190"/>
    <x v="461"/>
    <s v="n.a."/>
  </r>
  <r>
    <x v="19"/>
    <x v="32"/>
    <x v="481"/>
    <x v="33"/>
    <n v="6454"/>
    <n v="-526"/>
    <n v="-197"/>
    <x v="461"/>
    <s v="n.a."/>
  </r>
  <r>
    <x v="19"/>
    <x v="33"/>
    <x v="481"/>
    <x v="33"/>
    <n v="7214"/>
    <s v="n.a."/>
    <s v="n.a."/>
    <x v="461"/>
    <s v="n.a."/>
  </r>
  <r>
    <x v="19"/>
    <x v="34"/>
    <x v="481"/>
    <x v="33"/>
    <n v="7789"/>
    <s v="n.a."/>
    <s v="n.a."/>
    <x v="461"/>
    <s v="n.a."/>
  </r>
  <r>
    <x v="19"/>
    <x v="35"/>
    <x v="481"/>
    <x v="33"/>
    <n v="7198"/>
    <s v="n.a."/>
    <s v="n.a."/>
    <x v="461"/>
    <s v="n.a."/>
  </r>
  <r>
    <x v="19"/>
    <x v="36"/>
    <x v="481"/>
    <x v="33"/>
    <n v="6532"/>
    <s v="n.a."/>
    <s v="n.a."/>
    <x v="461"/>
    <s v="n.a."/>
  </r>
  <r>
    <x v="19"/>
    <x v="37"/>
    <x v="481"/>
    <x v="33"/>
    <n v="6958"/>
    <s v="n.a."/>
    <s v="n.a."/>
    <x v="461"/>
    <s v="n.a."/>
  </r>
  <r>
    <x v="19"/>
    <x v="38"/>
    <x v="481"/>
    <x v="33"/>
    <n v="6651"/>
    <s v="n.a."/>
    <s v="n.a."/>
    <x v="461"/>
    <s v="n.a."/>
  </r>
  <r>
    <x v="19"/>
    <x v="39"/>
    <x v="481"/>
    <x v="33"/>
    <n v="7173"/>
    <s v="n.a."/>
    <s v="n.a."/>
    <x v="461"/>
    <s v="n.a."/>
  </r>
  <r>
    <x v="19"/>
    <x v="40"/>
    <x v="481"/>
    <x v="33"/>
    <n v="7065"/>
    <s v="n.a."/>
    <s v="n.a."/>
    <x v="461"/>
    <s v="n.a."/>
  </r>
  <r>
    <x v="19"/>
    <x v="41"/>
    <x v="481"/>
    <x v="33"/>
    <n v="6572"/>
    <s v="n.a."/>
    <s v="n.a."/>
    <x v="461"/>
    <s v="n.a."/>
  </r>
  <r>
    <x v="19"/>
    <x v="42"/>
    <x v="481"/>
    <x v="33"/>
    <n v="5606"/>
    <s v="n.a."/>
    <s v="n.a."/>
    <x v="461"/>
    <s v="n.a."/>
  </r>
  <r>
    <x v="19"/>
    <x v="43"/>
    <x v="481"/>
    <x v="33"/>
    <n v="5837"/>
    <s v="n.a."/>
    <s v="n.a."/>
    <x v="461"/>
    <s v="n.a."/>
  </r>
  <r>
    <x v="19"/>
    <x v="44"/>
    <x v="481"/>
    <x v="33"/>
    <n v="5882"/>
    <s v="n.a."/>
    <s v="n.a."/>
    <x v="461"/>
    <s v="n.a."/>
  </r>
  <r>
    <x v="19"/>
    <x v="45"/>
    <x v="481"/>
    <x v="33"/>
    <n v="5953"/>
    <s v="n.a."/>
    <s v="n.a."/>
    <x v="461"/>
    <s v="n.a."/>
  </r>
  <r>
    <x v="19"/>
    <x v="46"/>
    <x v="481"/>
    <x v="33"/>
    <n v="5796"/>
    <s v="n.a."/>
    <s v="n.a."/>
    <x v="461"/>
    <s v="n.a."/>
  </r>
  <r>
    <x v="19"/>
    <x v="47"/>
    <x v="481"/>
    <x v="33"/>
    <n v="5837"/>
    <s v="n.a."/>
    <s v="n.a."/>
    <x v="461"/>
    <s v="n.a."/>
  </r>
  <r>
    <x v="19"/>
    <x v="48"/>
    <x v="481"/>
    <x v="33"/>
    <n v="4325"/>
    <s v="n.a."/>
    <s v="n.a."/>
    <x v="461"/>
    <s v="n.a."/>
  </r>
  <r>
    <x v="19"/>
    <x v="49"/>
    <x v="481"/>
    <x v="33"/>
    <n v="4413"/>
    <s v="n.a."/>
    <s v="n.a."/>
    <x v="461"/>
    <s v="n.a."/>
  </r>
  <r>
    <x v="19"/>
    <x v="50"/>
    <x v="481"/>
    <x v="33"/>
    <n v="5384"/>
    <s v="n.a."/>
    <s v="n.a."/>
    <x v="461"/>
    <s v="n.a."/>
  </r>
  <r>
    <x v="19"/>
    <x v="51"/>
    <x v="481"/>
    <x v="33"/>
    <n v="5446"/>
    <s v="n.a."/>
    <s v="n.a."/>
    <x v="461"/>
    <s v="n.a."/>
  </r>
  <r>
    <x v="19"/>
    <x v="52"/>
    <x v="481"/>
    <x v="33"/>
    <n v="5277"/>
    <s v="n.a."/>
    <s v="n.a."/>
    <x v="461"/>
    <s v="n.a."/>
  </r>
  <r>
    <x v="19"/>
    <x v="53"/>
    <x v="481"/>
    <x v="33"/>
    <n v="5043"/>
    <s v="n.a."/>
    <s v="n.a."/>
    <x v="461"/>
    <s v="n.a."/>
  </r>
  <r>
    <x v="19"/>
    <x v="54"/>
    <x v="481"/>
    <x v="33"/>
    <n v="4984"/>
    <s v="n.a."/>
    <s v="n.a."/>
    <x v="461"/>
    <s v="n.a."/>
  </r>
  <r>
    <x v="19"/>
    <x v="55"/>
    <x v="481"/>
    <x v="33"/>
    <n v="4902"/>
    <s v="n.a."/>
    <s v="n.a."/>
    <x v="461"/>
    <s v="n.a."/>
  </r>
  <r>
    <x v="19"/>
    <x v="56"/>
    <x v="481"/>
    <x v="33"/>
    <n v="5990"/>
    <s v="n.a."/>
    <s v="n.a."/>
    <x v="461"/>
    <s v="n.a."/>
  </r>
  <r>
    <x v="19"/>
    <x v="57"/>
    <x v="481"/>
    <x v="33"/>
    <n v="5767"/>
    <s v="n.a."/>
    <s v="n.a."/>
    <x v="461"/>
    <s v="n.a."/>
  </r>
  <r>
    <x v="19"/>
    <x v="58"/>
    <x v="481"/>
    <x v="33"/>
    <n v="6103"/>
    <s v="n.a."/>
    <s v="n.a."/>
    <x v="461"/>
    <s v="n.a."/>
  </r>
  <r>
    <x v="19"/>
    <x v="59"/>
    <x v="481"/>
    <x v="33"/>
    <n v="5952"/>
    <s v="n.a."/>
    <s v="n.a."/>
    <x v="461"/>
    <s v="n.a."/>
  </r>
  <r>
    <x v="19"/>
    <x v="60"/>
    <x v="481"/>
    <x v="33"/>
    <n v="5889"/>
    <s v="n.a."/>
    <s v="n.a."/>
    <x v="461"/>
    <s v="n.a."/>
  </r>
  <r>
    <x v="19"/>
    <x v="61"/>
    <x v="481"/>
    <x v="33"/>
    <n v="5923"/>
    <s v="n.a."/>
    <s v="n.a."/>
    <x v="461"/>
    <s v="n.a."/>
  </r>
  <r>
    <x v="19"/>
    <x v="62"/>
    <x v="481"/>
    <x v="33"/>
    <n v="5980"/>
    <s v="n.a."/>
    <s v="n.a."/>
    <x v="461"/>
    <s v="n.a."/>
  </r>
  <r>
    <x v="19"/>
    <x v="63"/>
    <x v="481"/>
    <x v="33"/>
    <n v="6035"/>
    <s v="n.a."/>
    <s v="n.a."/>
    <x v="461"/>
    <s v="n.a."/>
  </r>
  <r>
    <x v="19"/>
    <x v="64"/>
    <x v="481"/>
    <x v="33"/>
    <n v="5558"/>
    <s v="n.a."/>
    <s v="n.a."/>
    <x v="461"/>
    <s v="n.a."/>
  </r>
  <r>
    <x v="19"/>
    <x v="65"/>
    <x v="481"/>
    <x v="33"/>
    <n v="5376"/>
    <s v="n.a."/>
    <s v="n.a."/>
    <x v="461"/>
    <s v="n.a."/>
  </r>
  <r>
    <x v="19"/>
    <x v="66"/>
    <x v="481"/>
    <x v="33"/>
    <n v="4951"/>
    <s v="n.a."/>
    <s v="n.a."/>
    <x v="461"/>
    <s v="n.a."/>
  </r>
  <r>
    <x v="19"/>
    <x v="67"/>
    <x v="481"/>
    <x v="33"/>
    <n v="4706"/>
    <s v="n.a."/>
    <s v="n.a."/>
    <x v="461"/>
    <s v="n.a."/>
  </r>
  <r>
    <x v="19"/>
    <x v="68"/>
    <x v="481"/>
    <x v="33"/>
    <n v="5386"/>
    <s v="n.a."/>
    <s v="n.a."/>
    <x v="461"/>
    <s v="n.a."/>
  </r>
  <r>
    <x v="19"/>
    <x v="69"/>
    <x v="481"/>
    <x v="33"/>
    <n v="5621"/>
    <s v="n.a."/>
    <s v="n.a."/>
    <x v="461"/>
    <s v="n.a."/>
  </r>
  <r>
    <x v="20"/>
    <x v="0"/>
    <x v="481"/>
    <x v="33"/>
    <n v="5190"/>
    <n v="175"/>
    <n v="-9"/>
    <x v="461"/>
    <s v="n.a."/>
  </r>
  <r>
    <x v="20"/>
    <x v="1"/>
    <x v="481"/>
    <x v="33"/>
    <n v="5530"/>
    <n v="326"/>
    <n v="-32"/>
    <x v="461"/>
    <s v="n.a."/>
  </r>
  <r>
    <x v="20"/>
    <x v="2"/>
    <x v="481"/>
    <x v="33"/>
    <n v="5491"/>
    <n v="495"/>
    <n v="90"/>
    <x v="461"/>
    <s v="n.a."/>
  </r>
  <r>
    <x v="20"/>
    <x v="3"/>
    <x v="481"/>
    <x v="33"/>
    <n v="4950"/>
    <n v="117"/>
    <n v="-196"/>
    <x v="461"/>
    <s v="n.a."/>
  </r>
  <r>
    <x v="20"/>
    <x v="4"/>
    <x v="481"/>
    <x v="33"/>
    <n v="5199"/>
    <n v="168"/>
    <n v="35"/>
    <x v="461"/>
    <s v="n.a."/>
  </r>
  <r>
    <x v="20"/>
    <x v="5"/>
    <x v="481"/>
    <x v="33"/>
    <n v="5041"/>
    <n v="29"/>
    <n v="12"/>
    <x v="461"/>
    <s v="n.a."/>
  </r>
  <r>
    <x v="20"/>
    <x v="6"/>
    <x v="481"/>
    <x v="33"/>
    <n v="5000"/>
    <n v="944"/>
    <n v="-356"/>
    <x v="461"/>
    <s v="n.a."/>
  </r>
  <r>
    <x v="20"/>
    <x v="7"/>
    <x v="481"/>
    <x v="33"/>
    <n v="3744"/>
    <n v="-10"/>
    <n v="5"/>
    <x v="461"/>
    <s v="n.a."/>
  </r>
  <r>
    <x v="20"/>
    <x v="8"/>
    <x v="481"/>
    <x v="33"/>
    <n v="3714"/>
    <n v="18"/>
    <n v="20"/>
    <x v="461"/>
    <s v="n.a."/>
  </r>
  <r>
    <x v="20"/>
    <x v="9"/>
    <x v="481"/>
    <x v="33"/>
    <n v="3684"/>
    <n v="143"/>
    <n v="-18"/>
    <x v="461"/>
    <s v="n.a."/>
  </r>
  <r>
    <x v="20"/>
    <x v="10"/>
    <x v="481"/>
    <x v="33"/>
    <n v="3742"/>
    <n v="130"/>
    <n v="-107"/>
    <x v="461"/>
    <s v="n.a."/>
  </r>
  <r>
    <x v="20"/>
    <x v="11"/>
    <x v="481"/>
    <x v="33"/>
    <n v="3756"/>
    <n v="63"/>
    <n v="7"/>
    <x v="461"/>
    <s v="n.a."/>
  </r>
  <r>
    <x v="20"/>
    <x v="12"/>
    <x v="481"/>
    <x v="33"/>
    <n v="3773"/>
    <n v="612"/>
    <n v="-32"/>
    <x v="461"/>
    <s v="n.a."/>
  </r>
  <r>
    <x v="20"/>
    <x v="13"/>
    <x v="481"/>
    <x v="33"/>
    <n v="3399"/>
    <n v="-12"/>
    <n v="10"/>
    <x v="461"/>
    <s v="n.a."/>
  </r>
  <r>
    <x v="20"/>
    <x v="14"/>
    <x v="481"/>
    <x v="33"/>
    <n v="3404"/>
    <n v="95"/>
    <n v="1"/>
    <x v="461"/>
    <s v="n.a."/>
  </r>
  <r>
    <x v="20"/>
    <x v="15"/>
    <x v="481"/>
    <x v="33"/>
    <n v="3501"/>
    <n v="76"/>
    <n v="44"/>
    <x v="461"/>
    <s v="n.a."/>
  </r>
  <r>
    <x v="20"/>
    <x v="16"/>
    <x v="481"/>
    <x v="33"/>
    <n v="3675"/>
    <n v="-46"/>
    <n v="44"/>
    <x v="461"/>
    <s v="n.a."/>
  </r>
  <r>
    <x v="20"/>
    <x v="17"/>
    <x v="481"/>
    <x v="33"/>
    <n v="3678"/>
    <n v="10"/>
    <n v="7"/>
    <x v="461"/>
    <s v="n.a."/>
  </r>
  <r>
    <x v="20"/>
    <x v="18"/>
    <x v="481"/>
    <x v="33"/>
    <n v="3650"/>
    <n v="42"/>
    <n v="153"/>
    <x v="461"/>
    <s v="n.a."/>
  </r>
  <r>
    <x v="20"/>
    <x v="19"/>
    <x v="481"/>
    <x v="33"/>
    <n v="3588"/>
    <n v="364"/>
    <n v="76"/>
    <x v="461"/>
    <s v="n.a."/>
  </r>
  <r>
    <x v="20"/>
    <x v="20"/>
    <x v="481"/>
    <x v="33"/>
    <n v="3150"/>
    <n v="87"/>
    <n v="3"/>
    <x v="461"/>
    <s v="n.a."/>
  </r>
  <r>
    <x v="20"/>
    <x v="21"/>
    <x v="481"/>
    <x v="33"/>
    <n v="3129"/>
    <n v="-11"/>
    <n v="52"/>
    <x v="461"/>
    <s v="n.a."/>
  </r>
  <r>
    <x v="20"/>
    <x v="22"/>
    <x v="481"/>
    <x v="33"/>
    <n v="3111"/>
    <n v="-6"/>
    <n v="65"/>
    <x v="461"/>
    <s v="n.a."/>
  </r>
  <r>
    <x v="20"/>
    <x v="23"/>
    <x v="481"/>
    <x v="33"/>
    <n v="3029"/>
    <n v="94"/>
    <n v="5"/>
    <x v="461"/>
    <s v="n.a."/>
  </r>
  <r>
    <x v="20"/>
    <x v="24"/>
    <x v="481"/>
    <x v="33"/>
    <n v="3048"/>
    <n v="73"/>
    <n v="-4"/>
    <x v="461"/>
    <s v="n.a."/>
  </r>
  <r>
    <x v="20"/>
    <x v="25"/>
    <x v="481"/>
    <x v="33"/>
    <n v="2985"/>
    <n v="24"/>
    <n v="-8"/>
    <x v="461"/>
    <s v="n.a."/>
  </r>
  <r>
    <x v="20"/>
    <x v="26"/>
    <x v="481"/>
    <x v="33"/>
    <n v="3099"/>
    <n v="150"/>
    <n v="-1"/>
    <x v="461"/>
    <s v="n.a."/>
  </r>
  <r>
    <x v="20"/>
    <x v="27"/>
    <x v="481"/>
    <x v="33"/>
    <n v="4037"/>
    <n v="170"/>
    <n v="-109"/>
    <x v="461"/>
    <s v="n.a."/>
  </r>
  <r>
    <x v="20"/>
    <x v="28"/>
    <x v="481"/>
    <x v="33"/>
    <n v="3159"/>
    <n v="-68"/>
    <n v="-79"/>
    <x v="461"/>
    <s v="n.a."/>
  </r>
  <r>
    <x v="20"/>
    <x v="29"/>
    <x v="481"/>
    <x v="33"/>
    <n v="3339"/>
    <n v="229"/>
    <n v="-63"/>
    <x v="461"/>
    <s v="n.a."/>
  </r>
  <r>
    <x v="20"/>
    <x v="30"/>
    <x v="481"/>
    <x v="33"/>
    <n v="3326"/>
    <n v="176"/>
    <n v="2"/>
    <x v="461"/>
    <s v="n.a."/>
  </r>
  <r>
    <x v="20"/>
    <x v="31"/>
    <x v="481"/>
    <x v="33"/>
    <n v="3394"/>
    <n v="-7"/>
    <n v="37"/>
    <x v="461"/>
    <s v="n.a."/>
  </r>
  <r>
    <x v="20"/>
    <x v="32"/>
    <x v="481"/>
    <x v="33"/>
    <n v="3277"/>
    <n v="-49"/>
    <n v="-7"/>
    <x v="461"/>
    <s v="n.a."/>
  </r>
  <r>
    <x v="20"/>
    <x v="33"/>
    <x v="481"/>
    <x v="33"/>
    <n v="3226"/>
    <s v="n.a."/>
    <s v="n.a."/>
    <x v="461"/>
    <s v="n.a."/>
  </r>
  <r>
    <x v="20"/>
    <x v="34"/>
    <x v="481"/>
    <x v="33"/>
    <n v="3418"/>
    <s v="n.a."/>
    <s v="n.a."/>
    <x v="461"/>
    <s v="n.a."/>
  </r>
  <r>
    <x v="20"/>
    <x v="35"/>
    <x v="481"/>
    <x v="33"/>
    <n v="3359"/>
    <s v="n.a."/>
    <s v="n.a."/>
    <x v="461"/>
    <s v="n.a."/>
  </r>
  <r>
    <x v="20"/>
    <x v="36"/>
    <x v="481"/>
    <x v="33"/>
    <n v="3314"/>
    <s v="n.a."/>
    <s v="n.a."/>
    <x v="461"/>
    <s v="n.a."/>
  </r>
  <r>
    <x v="20"/>
    <x v="37"/>
    <x v="481"/>
    <x v="33"/>
    <n v="3115"/>
    <s v="n.a."/>
    <s v="n.a."/>
    <x v="461"/>
    <s v="n.a."/>
  </r>
  <r>
    <x v="20"/>
    <x v="38"/>
    <x v="481"/>
    <x v="33"/>
    <n v="3371"/>
    <s v="n.a."/>
    <s v="n.a."/>
    <x v="461"/>
    <s v="n.a."/>
  </r>
  <r>
    <x v="20"/>
    <x v="39"/>
    <x v="481"/>
    <x v="33"/>
    <n v="3354"/>
    <s v="n.a."/>
    <s v="n.a."/>
    <x v="461"/>
    <s v="n.a."/>
  </r>
  <r>
    <x v="20"/>
    <x v="40"/>
    <x v="481"/>
    <x v="33"/>
    <n v="3270"/>
    <s v="n.a."/>
    <s v="n.a."/>
    <x v="461"/>
    <s v="n.a."/>
  </r>
  <r>
    <x v="20"/>
    <x v="41"/>
    <x v="481"/>
    <x v="33"/>
    <n v="3263"/>
    <s v="n.a."/>
    <s v="n.a."/>
    <x v="461"/>
    <s v="n.a."/>
  </r>
  <r>
    <x v="20"/>
    <x v="42"/>
    <x v="481"/>
    <x v="33"/>
    <n v="3164"/>
    <s v="n.a."/>
    <s v="n.a."/>
    <x v="461"/>
    <s v="n.a."/>
  </r>
  <r>
    <x v="20"/>
    <x v="43"/>
    <x v="481"/>
    <x v="33"/>
    <n v="3238"/>
    <s v="n.a."/>
    <s v="n.a."/>
    <x v="461"/>
    <s v="n.a."/>
  </r>
  <r>
    <x v="20"/>
    <x v="44"/>
    <x v="481"/>
    <x v="33"/>
    <n v="2740"/>
    <s v="n.a."/>
    <s v="n.a."/>
    <x v="461"/>
    <s v="n.a."/>
  </r>
  <r>
    <x v="20"/>
    <x v="45"/>
    <x v="481"/>
    <x v="33"/>
    <n v="2417"/>
    <s v="n.a."/>
    <s v="n.a."/>
    <x v="461"/>
    <s v="n.a."/>
  </r>
  <r>
    <x v="20"/>
    <x v="46"/>
    <x v="481"/>
    <x v="33"/>
    <n v="2416"/>
    <s v="n.a."/>
    <s v="n.a."/>
    <x v="461"/>
    <s v="n.a."/>
  </r>
  <r>
    <x v="20"/>
    <x v="47"/>
    <x v="481"/>
    <x v="33"/>
    <n v="2300"/>
    <s v="n.a."/>
    <s v="n.a."/>
    <x v="461"/>
    <s v="n.a."/>
  </r>
  <r>
    <x v="20"/>
    <x v="48"/>
    <x v="481"/>
    <x v="33"/>
    <n v="2435"/>
    <s v="n.a."/>
    <s v="n.a."/>
    <x v="461"/>
    <s v="n.a."/>
  </r>
  <r>
    <x v="20"/>
    <x v="49"/>
    <x v="481"/>
    <x v="33"/>
    <n v="2533"/>
    <s v="n.a."/>
    <s v="n.a."/>
    <x v="461"/>
    <s v="n.a."/>
  </r>
  <r>
    <x v="20"/>
    <x v="50"/>
    <x v="481"/>
    <x v="33"/>
    <n v="2370"/>
    <s v="n.a."/>
    <s v="n.a."/>
    <x v="461"/>
    <s v="n.a."/>
  </r>
  <r>
    <x v="20"/>
    <x v="51"/>
    <x v="481"/>
    <x v="33"/>
    <n v="2237"/>
    <s v="n.a."/>
    <s v="n.a."/>
    <x v="461"/>
    <s v="n.a."/>
  </r>
  <r>
    <x v="20"/>
    <x v="52"/>
    <x v="481"/>
    <x v="33"/>
    <n v="2252"/>
    <s v="n.a."/>
    <s v="n.a."/>
    <x v="461"/>
    <s v="n.a."/>
  </r>
  <r>
    <x v="20"/>
    <x v="53"/>
    <x v="481"/>
    <x v="33"/>
    <n v="2330"/>
    <s v="n.a."/>
    <s v="n.a."/>
    <x v="461"/>
    <s v="n.a."/>
  </r>
  <r>
    <x v="20"/>
    <x v="54"/>
    <x v="481"/>
    <x v="33"/>
    <n v="2461"/>
    <s v="n.a."/>
    <s v="n.a."/>
    <x v="461"/>
    <s v="n.a."/>
  </r>
  <r>
    <x v="20"/>
    <x v="55"/>
    <x v="481"/>
    <x v="33"/>
    <n v="2480"/>
    <s v="n.a."/>
    <s v="n.a."/>
    <x v="461"/>
    <s v="n.a."/>
  </r>
  <r>
    <x v="20"/>
    <x v="56"/>
    <x v="481"/>
    <x v="33"/>
    <n v="2239"/>
    <s v="n.a."/>
    <s v="n.a."/>
    <x v="461"/>
    <s v="n.a."/>
  </r>
  <r>
    <x v="20"/>
    <x v="57"/>
    <x v="481"/>
    <x v="33"/>
    <n v="2060"/>
    <s v="n.a."/>
    <s v="n.a."/>
    <x v="461"/>
    <s v="n.a."/>
  </r>
  <r>
    <x v="20"/>
    <x v="58"/>
    <x v="481"/>
    <x v="33"/>
    <n v="2305"/>
    <s v="n.a."/>
    <s v="n.a."/>
    <x v="461"/>
    <s v="n.a."/>
  </r>
  <r>
    <x v="20"/>
    <x v="59"/>
    <x v="481"/>
    <x v="33"/>
    <n v="2056"/>
    <s v="n.a."/>
    <s v="n.a."/>
    <x v="461"/>
    <s v="n.a."/>
  </r>
  <r>
    <x v="20"/>
    <x v="60"/>
    <x v="481"/>
    <x v="33"/>
    <n v="1865"/>
    <s v="n.a."/>
    <s v="n.a."/>
    <x v="461"/>
    <s v="n.a."/>
  </r>
  <r>
    <x v="20"/>
    <x v="61"/>
    <x v="481"/>
    <x v="33"/>
    <n v="1854"/>
    <s v="n.a."/>
    <s v="n.a."/>
    <x v="461"/>
    <s v="n.a."/>
  </r>
  <r>
    <x v="20"/>
    <x v="62"/>
    <x v="481"/>
    <x v="33"/>
    <n v="1883"/>
    <s v="n.a."/>
    <s v="n.a."/>
    <x v="461"/>
    <s v="n.a."/>
  </r>
  <r>
    <x v="20"/>
    <x v="63"/>
    <x v="481"/>
    <x v="33"/>
    <n v="1895"/>
    <s v="n.a."/>
    <s v="n.a."/>
    <x v="461"/>
    <s v="n.a."/>
  </r>
  <r>
    <x v="20"/>
    <x v="64"/>
    <x v="481"/>
    <x v="33"/>
    <n v="1893"/>
    <s v="n.a."/>
    <s v="n.a."/>
    <x v="461"/>
    <s v="n.a."/>
  </r>
  <r>
    <x v="20"/>
    <x v="65"/>
    <x v="481"/>
    <x v="33"/>
    <n v="1958"/>
    <s v="n.a."/>
    <s v="n.a."/>
    <x v="461"/>
    <s v="n.a."/>
  </r>
  <r>
    <x v="20"/>
    <x v="66"/>
    <x v="481"/>
    <x v="33"/>
    <n v="2092"/>
    <s v="n.a."/>
    <s v="n.a."/>
    <x v="461"/>
    <s v="n.a."/>
  </r>
  <r>
    <x v="20"/>
    <x v="67"/>
    <x v="481"/>
    <x v="33"/>
    <n v="1546"/>
    <s v="n.a."/>
    <s v="n.a."/>
    <x v="461"/>
    <s v="n.a."/>
  </r>
  <r>
    <x v="20"/>
    <x v="68"/>
    <x v="481"/>
    <x v="33"/>
    <n v="1407"/>
    <s v="n.a."/>
    <s v="n.a."/>
    <x v="461"/>
    <s v="n.a."/>
  </r>
  <r>
    <x v="20"/>
    <x v="69"/>
    <x v="481"/>
    <x v="33"/>
    <n v="1388"/>
    <s v="n.a."/>
    <s v="n.a."/>
    <x v="461"/>
    <s v="n.a."/>
  </r>
  <r>
    <x v="21"/>
    <x v="0"/>
    <x v="481"/>
    <x v="33"/>
    <n v="2320"/>
    <n v="-173"/>
    <n v="3"/>
    <x v="461"/>
    <s v="n.a."/>
  </r>
  <r>
    <x v="21"/>
    <x v="1"/>
    <x v="481"/>
    <x v="33"/>
    <n v="2490"/>
    <n v="20"/>
    <n v="1"/>
    <x v="461"/>
    <s v="n.a."/>
  </r>
  <r>
    <x v="21"/>
    <x v="2"/>
    <x v="481"/>
    <x v="33"/>
    <n v="2469"/>
    <n v="0"/>
    <n v="12"/>
    <x v="461"/>
    <s v="n.a."/>
  </r>
  <r>
    <x v="21"/>
    <x v="3"/>
    <x v="481"/>
    <x v="33"/>
    <n v="2457"/>
    <n v="204"/>
    <n v="-7"/>
    <x v="461"/>
    <s v="n.a."/>
  </r>
  <r>
    <x v="21"/>
    <x v="4"/>
    <x v="481"/>
    <x v="33"/>
    <n v="2260"/>
    <n v="30"/>
    <n v="6"/>
    <x v="461"/>
    <s v="n.a."/>
  </r>
  <r>
    <x v="21"/>
    <x v="5"/>
    <x v="481"/>
    <x v="33"/>
    <n v="2224"/>
    <n v="-277"/>
    <n v="-7"/>
    <x v="461"/>
    <s v="n.a."/>
  </r>
  <r>
    <x v="21"/>
    <x v="6"/>
    <x v="481"/>
    <x v="33"/>
    <n v="2507"/>
    <n v="-184"/>
    <n v="13"/>
    <x v="461"/>
    <s v="n.a."/>
  </r>
  <r>
    <x v="21"/>
    <x v="7"/>
    <x v="481"/>
    <x v="33"/>
    <n v="2678"/>
    <n v="-52"/>
    <n v="4"/>
    <x v="461"/>
    <s v="n.a."/>
  </r>
  <r>
    <x v="21"/>
    <x v="8"/>
    <x v="481"/>
    <x v="33"/>
    <n v="2725"/>
    <n v="-71"/>
    <n v="10"/>
    <x v="461"/>
    <s v="n.a."/>
  </r>
  <r>
    <x v="21"/>
    <x v="9"/>
    <x v="481"/>
    <x v="33"/>
    <n v="2786"/>
    <n v="20"/>
    <n v="3"/>
    <x v="461"/>
    <s v="n.a."/>
  </r>
  <r>
    <x v="21"/>
    <x v="10"/>
    <x v="481"/>
    <x v="33"/>
    <n v="2764"/>
    <n v="106"/>
    <n v="5"/>
    <x v="461"/>
    <s v="n.a."/>
  </r>
  <r>
    <x v="21"/>
    <x v="11"/>
    <x v="481"/>
    <x v="33"/>
    <n v="2653"/>
    <n v="96"/>
    <n v="1"/>
    <x v="461"/>
    <s v="n.a."/>
  </r>
  <r>
    <x v="21"/>
    <x v="12"/>
    <x v="481"/>
    <x v="33"/>
    <n v="2556"/>
    <n v="264"/>
    <n v="-15"/>
    <x v="461"/>
    <s v="n.a."/>
  </r>
  <r>
    <x v="21"/>
    <x v="13"/>
    <x v="481"/>
    <x v="33"/>
    <n v="2307"/>
    <n v="-90"/>
    <n v="10"/>
    <x v="461"/>
    <s v="n.a."/>
  </r>
  <r>
    <x v="21"/>
    <x v="14"/>
    <x v="481"/>
    <x v="33"/>
    <n v="2387"/>
    <n v="100"/>
    <n v="11"/>
    <x v="461"/>
    <s v="n.a."/>
  </r>
  <r>
    <x v="21"/>
    <x v="15"/>
    <x v="481"/>
    <x v="33"/>
    <n v="2276"/>
    <n v="-139"/>
    <n v="15"/>
    <x v="461"/>
    <s v="n.a."/>
  </r>
  <r>
    <x v="21"/>
    <x v="16"/>
    <x v="481"/>
    <x v="33"/>
    <n v="2400"/>
    <n v="0"/>
    <n v="5"/>
    <x v="461"/>
    <s v="n.a."/>
  </r>
  <r>
    <x v="21"/>
    <x v="17"/>
    <x v="481"/>
    <x v="33"/>
    <n v="2395"/>
    <n v="0"/>
    <n v="8"/>
    <x v="461"/>
    <s v="n.a."/>
  </r>
  <r>
    <x v="21"/>
    <x v="18"/>
    <x v="481"/>
    <x v="33"/>
    <n v="2387"/>
    <n v="346"/>
    <n v="-10"/>
    <x v="461"/>
    <s v="n.a."/>
  </r>
  <r>
    <x v="21"/>
    <x v="19"/>
    <x v="481"/>
    <x v="33"/>
    <n v="2051"/>
    <n v="1"/>
    <n v="11"/>
    <x v="461"/>
    <s v="n.a."/>
  </r>
  <r>
    <x v="21"/>
    <x v="20"/>
    <x v="481"/>
    <x v="33"/>
    <n v="2039"/>
    <n v="139"/>
    <n v="-9"/>
    <x v="461"/>
    <s v="n.a."/>
  </r>
  <r>
    <x v="21"/>
    <x v="21"/>
    <x v="481"/>
    <x v="33"/>
    <n v="1909"/>
    <n v="-21"/>
    <n v="13"/>
    <x v="461"/>
    <s v="n.a."/>
  </r>
  <r>
    <x v="21"/>
    <x v="22"/>
    <x v="481"/>
    <x v="33"/>
    <n v="1917"/>
    <n v="-86"/>
    <n v="25"/>
    <x v="461"/>
    <s v="n.a."/>
  </r>
  <r>
    <x v="21"/>
    <x v="23"/>
    <x v="481"/>
    <x v="33"/>
    <n v="1978"/>
    <n v="-165"/>
    <n v="20"/>
    <x v="461"/>
    <s v="n.a."/>
  </r>
  <r>
    <x v="21"/>
    <x v="24"/>
    <x v="481"/>
    <x v="33"/>
    <n v="2123"/>
    <n v="-105"/>
    <n v="-15"/>
    <x v="461"/>
    <s v="n.a."/>
  </r>
  <r>
    <x v="21"/>
    <x v="25"/>
    <x v="481"/>
    <x v="33"/>
    <n v="2243"/>
    <n v="72"/>
    <n v="-6"/>
    <x v="461"/>
    <s v="n.a."/>
  </r>
  <r>
    <x v="21"/>
    <x v="26"/>
    <x v="481"/>
    <x v="33"/>
    <n v="2177"/>
    <n v="267"/>
    <n v="2"/>
    <x v="461"/>
    <s v="n.a."/>
  </r>
  <r>
    <x v="21"/>
    <x v="27"/>
    <x v="481"/>
    <x v="33"/>
    <n v="1908"/>
    <n v="85"/>
    <n v="3"/>
    <x v="461"/>
    <s v="n.a."/>
  </r>
  <r>
    <x v="21"/>
    <x v="28"/>
    <x v="481"/>
    <x v="33"/>
    <n v="1820"/>
    <n v="301"/>
    <n v="-14"/>
    <x v="461"/>
    <s v="n.a."/>
  </r>
  <r>
    <x v="21"/>
    <x v="29"/>
    <x v="481"/>
    <x v="33"/>
    <n v="1533"/>
    <n v="89"/>
    <n v="-5"/>
    <x v="461"/>
    <s v="n.a."/>
  </r>
  <r>
    <x v="21"/>
    <x v="30"/>
    <x v="481"/>
    <x v="33"/>
    <n v="1449"/>
    <n v="39"/>
    <n v="3"/>
    <x v="461"/>
    <s v="n.a."/>
  </r>
  <r>
    <x v="21"/>
    <x v="31"/>
    <x v="481"/>
    <x v="33"/>
    <n v="1407"/>
    <n v="-134"/>
    <n v="17"/>
    <x v="461"/>
    <s v="n.a."/>
  </r>
  <r>
    <x v="21"/>
    <x v="32"/>
    <x v="481"/>
    <x v="33"/>
    <n v="1522"/>
    <n v="50"/>
    <n v="-12"/>
    <x v="461"/>
    <s v="n.a."/>
  </r>
  <r>
    <x v="21"/>
    <x v="33"/>
    <x v="481"/>
    <x v="33"/>
    <n v="1484"/>
    <s v="n.a."/>
    <s v="n.a."/>
    <x v="461"/>
    <s v="n.a."/>
  </r>
  <r>
    <x v="21"/>
    <x v="34"/>
    <x v="481"/>
    <x v="33"/>
    <n v="1384"/>
    <s v="n.a."/>
    <s v="n.a."/>
    <x v="461"/>
    <s v="n.a."/>
  </r>
  <r>
    <x v="21"/>
    <x v="35"/>
    <x v="481"/>
    <x v="33"/>
    <n v="1243"/>
    <s v="n.a."/>
    <s v="n.a."/>
    <x v="461"/>
    <s v="n.a."/>
  </r>
  <r>
    <x v="21"/>
    <x v="36"/>
    <x v="481"/>
    <x v="33"/>
    <n v="1197"/>
    <s v="n.a."/>
    <s v="n.a."/>
    <x v="461"/>
    <s v="n.a."/>
  </r>
  <r>
    <x v="21"/>
    <x v="37"/>
    <x v="481"/>
    <x v="33"/>
    <n v="1179"/>
    <s v="n.a."/>
    <s v="n.a."/>
    <x v="461"/>
    <s v="n.a."/>
  </r>
  <r>
    <x v="21"/>
    <x v="38"/>
    <x v="481"/>
    <x v="33"/>
    <n v="1073"/>
    <s v="n.a."/>
    <s v="n.a."/>
    <x v="461"/>
    <s v="n.a."/>
  </r>
  <r>
    <x v="21"/>
    <x v="39"/>
    <x v="481"/>
    <x v="33"/>
    <n v="968"/>
    <s v="n.a."/>
    <s v="n.a."/>
    <x v="461"/>
    <s v="n.a."/>
  </r>
  <r>
    <x v="21"/>
    <x v="40"/>
    <x v="481"/>
    <x v="33"/>
    <n v="948"/>
    <s v="n.a."/>
    <s v="n.a."/>
    <x v="461"/>
    <s v="n.a."/>
  </r>
  <r>
    <x v="21"/>
    <x v="41"/>
    <x v="481"/>
    <x v="33"/>
    <n v="1146"/>
    <s v="n.a."/>
    <s v="n.a."/>
    <x v="461"/>
    <s v="n.a."/>
  </r>
  <r>
    <x v="21"/>
    <x v="42"/>
    <x v="481"/>
    <x v="33"/>
    <n v="1169"/>
    <s v="n.a."/>
    <s v="n.a."/>
    <x v="461"/>
    <s v="n.a."/>
  </r>
  <r>
    <x v="21"/>
    <x v="43"/>
    <x v="481"/>
    <x v="33"/>
    <n v="1177"/>
    <s v="n.a."/>
    <s v="n.a."/>
    <x v="461"/>
    <s v="n.a."/>
  </r>
  <r>
    <x v="21"/>
    <x v="44"/>
    <x v="481"/>
    <x v="33"/>
    <n v="1272"/>
    <s v="n.a."/>
    <s v="n.a."/>
    <x v="461"/>
    <s v="n.a."/>
  </r>
  <r>
    <x v="21"/>
    <x v="45"/>
    <x v="481"/>
    <x v="33"/>
    <n v="1132"/>
    <s v="n.a."/>
    <s v="n.a."/>
    <x v="461"/>
    <s v="n.a."/>
  </r>
  <r>
    <x v="21"/>
    <x v="46"/>
    <x v="481"/>
    <x v="33"/>
    <n v="1102"/>
    <s v="n.a."/>
    <s v="n.a."/>
    <x v="461"/>
    <s v="n.a."/>
  </r>
  <r>
    <x v="21"/>
    <x v="47"/>
    <x v="481"/>
    <x v="33"/>
    <n v="1049"/>
    <s v="n.a."/>
    <s v="n.a."/>
    <x v="461"/>
    <s v="n.a."/>
  </r>
  <r>
    <x v="21"/>
    <x v="48"/>
    <x v="481"/>
    <x v="33"/>
    <n v="1031"/>
    <s v="n.a."/>
    <s v="n.a."/>
    <x v="461"/>
    <s v="n.a."/>
  </r>
  <r>
    <x v="21"/>
    <x v="49"/>
    <x v="481"/>
    <x v="33"/>
    <n v="981"/>
    <s v="n.a."/>
    <s v="n.a."/>
    <x v="461"/>
    <s v="n.a."/>
  </r>
  <r>
    <x v="21"/>
    <x v="50"/>
    <x v="481"/>
    <x v="33"/>
    <n v="952"/>
    <s v="n.a."/>
    <s v="n.a."/>
    <x v="461"/>
    <s v="n.a."/>
  </r>
  <r>
    <x v="21"/>
    <x v="51"/>
    <x v="481"/>
    <x v="33"/>
    <n v="954"/>
    <s v="n.a."/>
    <s v="n.a."/>
    <x v="461"/>
    <s v="n.a."/>
  </r>
  <r>
    <x v="21"/>
    <x v="52"/>
    <x v="481"/>
    <x v="33"/>
    <n v="974"/>
    <s v="n.a."/>
    <s v="n.a."/>
    <x v="461"/>
    <s v="n.a."/>
  </r>
  <r>
    <x v="21"/>
    <x v="53"/>
    <x v="481"/>
    <x v="33"/>
    <n v="1076"/>
    <s v="n.a."/>
    <s v="n.a."/>
    <x v="461"/>
    <s v="n.a."/>
  </r>
  <r>
    <x v="21"/>
    <x v="54"/>
    <x v="481"/>
    <x v="33"/>
    <n v="1097"/>
    <s v="n.a."/>
    <s v="n.a."/>
    <x v="461"/>
    <s v="n.a."/>
  </r>
  <r>
    <x v="21"/>
    <x v="55"/>
    <x v="481"/>
    <x v="33"/>
    <n v="1098"/>
    <s v="n.a."/>
    <s v="n.a."/>
    <x v="461"/>
    <s v="n.a."/>
  </r>
  <r>
    <x v="21"/>
    <x v="56"/>
    <x v="481"/>
    <x v="33"/>
    <n v="1200"/>
    <s v="n.a."/>
    <s v="n.a."/>
    <x v="461"/>
    <s v="n.a."/>
  </r>
  <r>
    <x v="21"/>
    <x v="57"/>
    <x v="481"/>
    <x v="33"/>
    <n v="1253"/>
    <s v="n.a."/>
    <s v="n.a."/>
    <x v="461"/>
    <s v="n.a."/>
  </r>
  <r>
    <x v="21"/>
    <x v="58"/>
    <x v="481"/>
    <x v="33"/>
    <n v="1254"/>
    <s v="n.a."/>
    <s v="n.a."/>
    <x v="461"/>
    <s v="n.a."/>
  </r>
  <r>
    <x v="21"/>
    <x v="59"/>
    <x v="481"/>
    <x v="33"/>
    <n v="1288"/>
    <s v="n.a."/>
    <s v="n.a."/>
    <x v="461"/>
    <s v="n.a."/>
  </r>
  <r>
    <x v="21"/>
    <x v="60"/>
    <x v="481"/>
    <x v="33"/>
    <n v="1449"/>
    <s v="n.a."/>
    <s v="n.a."/>
    <x v="461"/>
    <s v="n.a."/>
  </r>
  <r>
    <x v="21"/>
    <x v="61"/>
    <x v="481"/>
    <x v="33"/>
    <n v="1452"/>
    <s v="n.a."/>
    <s v="n.a."/>
    <x v="461"/>
    <s v="n.a."/>
  </r>
  <r>
    <x v="21"/>
    <x v="62"/>
    <x v="481"/>
    <x v="33"/>
    <n v="1454"/>
    <s v="n.a."/>
    <s v="n.a."/>
    <x v="461"/>
    <s v="n.a."/>
  </r>
  <r>
    <x v="21"/>
    <x v="63"/>
    <x v="481"/>
    <x v="33"/>
    <n v="1457"/>
    <s v="n.a."/>
    <s v="n.a."/>
    <x v="461"/>
    <s v="n.a."/>
  </r>
  <r>
    <x v="21"/>
    <x v="64"/>
    <x v="481"/>
    <x v="33"/>
    <n v="1688"/>
    <s v="n.a."/>
    <s v="n.a."/>
    <x v="461"/>
    <s v="n.a."/>
  </r>
  <r>
    <x v="21"/>
    <x v="65"/>
    <x v="481"/>
    <x v="33"/>
    <n v="1860"/>
    <s v="n.a."/>
    <s v="n.a."/>
    <x v="461"/>
    <s v="n.a."/>
  </r>
  <r>
    <x v="21"/>
    <x v="66"/>
    <x v="481"/>
    <x v="33"/>
    <n v="1830"/>
    <s v="n.a."/>
    <s v="n.a."/>
    <x v="461"/>
    <s v="n.a."/>
  </r>
  <r>
    <x v="21"/>
    <x v="67"/>
    <x v="481"/>
    <x v="33"/>
    <n v="1783"/>
    <s v="n.a."/>
    <s v="n.a."/>
    <x v="461"/>
    <s v="n.a."/>
  </r>
  <r>
    <x v="21"/>
    <x v="68"/>
    <x v="481"/>
    <x v="33"/>
    <n v="1822"/>
    <s v="n.a."/>
    <s v="n.a."/>
    <x v="461"/>
    <s v="n.a."/>
  </r>
  <r>
    <x v="21"/>
    <x v="69"/>
    <x v="481"/>
    <x v="33"/>
    <n v="1809"/>
    <s v="n.a."/>
    <s v="n.a."/>
    <x v="461"/>
    <s v="n.a."/>
  </r>
  <r>
    <x v="22"/>
    <x v="0"/>
    <x v="481"/>
    <x v="33"/>
    <n v="906"/>
    <n v="-69"/>
    <n v="-1"/>
    <x v="461"/>
    <s v="n.a."/>
  </r>
  <r>
    <x v="22"/>
    <x v="1"/>
    <x v="481"/>
    <x v="33"/>
    <n v="975"/>
    <n v="183"/>
    <n v="-12"/>
    <x v="461"/>
    <s v="n.a."/>
  </r>
  <r>
    <x v="22"/>
    <x v="2"/>
    <x v="481"/>
    <x v="33"/>
    <n v="803"/>
    <n v="-5"/>
    <n v="-85"/>
    <x v="461"/>
    <s v="n.a."/>
  </r>
  <r>
    <x v="22"/>
    <x v="3"/>
    <x v="481"/>
    <x v="33"/>
    <n v="889"/>
    <n v="69"/>
    <n v="-4"/>
    <x v="461"/>
    <s v="n.a."/>
  </r>
  <r>
    <x v="22"/>
    <x v="4"/>
    <x v="481"/>
    <x v="33"/>
    <n v="799"/>
    <n v="77"/>
    <n v="7"/>
    <x v="461"/>
    <s v="n.a."/>
  </r>
  <r>
    <x v="22"/>
    <x v="5"/>
    <x v="481"/>
    <x v="33"/>
    <n v="718"/>
    <n v="-316"/>
    <n v="-1"/>
    <x v="461"/>
    <s v="n.a."/>
  </r>
  <r>
    <x v="22"/>
    <x v="6"/>
    <x v="481"/>
    <x v="33"/>
    <n v="998"/>
    <n v="125"/>
    <n v="54"/>
    <x v="461"/>
    <s v="n.a."/>
  </r>
  <r>
    <x v="22"/>
    <x v="7"/>
    <x v="481"/>
    <x v="33"/>
    <n v="821"/>
    <n v="35"/>
    <n v="0"/>
    <x v="461"/>
    <s v="n.a."/>
  </r>
  <r>
    <x v="22"/>
    <x v="8"/>
    <x v="481"/>
    <x v="33"/>
    <n v="787"/>
    <n v="5"/>
    <n v="-25"/>
    <x v="461"/>
    <s v="n.a."/>
  </r>
  <r>
    <x v="22"/>
    <x v="9"/>
    <x v="481"/>
    <x v="33"/>
    <n v="807"/>
    <n v="11"/>
    <n v="2"/>
    <x v="461"/>
    <s v="n.a."/>
  </r>
  <r>
    <x v="22"/>
    <x v="10"/>
    <x v="481"/>
    <x v="33"/>
    <n v="794"/>
    <n v="98"/>
    <n v="-2"/>
    <x v="461"/>
    <s v="n.a."/>
  </r>
  <r>
    <x v="22"/>
    <x v="11"/>
    <x v="481"/>
    <x v="33"/>
    <n v="703"/>
    <n v="114"/>
    <n v="-36"/>
    <x v="461"/>
    <s v="n.a."/>
  </r>
  <r>
    <x v="22"/>
    <x v="12"/>
    <x v="481"/>
    <x v="33"/>
    <n v="622"/>
    <n v="-15"/>
    <n v="-5"/>
    <x v="461"/>
    <s v="n.a."/>
  </r>
  <r>
    <x v="22"/>
    <x v="13"/>
    <x v="481"/>
    <x v="33"/>
    <n v="643"/>
    <n v="52"/>
    <n v="7"/>
    <x v="461"/>
    <s v="n.a."/>
  </r>
  <r>
    <x v="22"/>
    <x v="14"/>
    <x v="481"/>
    <x v="33"/>
    <n v="586"/>
    <n v="173"/>
    <n v="-1"/>
    <x v="461"/>
    <s v="n.a."/>
  </r>
  <r>
    <x v="22"/>
    <x v="15"/>
    <x v="481"/>
    <x v="33"/>
    <n v="412"/>
    <n v="-151"/>
    <n v="1"/>
    <x v="461"/>
    <s v="n.a."/>
  </r>
  <r>
    <x v="22"/>
    <x v="16"/>
    <x v="481"/>
    <x v="33"/>
    <n v="578"/>
    <n v="115"/>
    <n v="2"/>
    <x v="461"/>
    <s v="n.a."/>
  </r>
  <r>
    <x v="22"/>
    <x v="17"/>
    <x v="481"/>
    <x v="33"/>
    <n v="460"/>
    <n v="-72"/>
    <n v="6"/>
    <x v="461"/>
    <s v="n.a."/>
  </r>
  <r>
    <x v="22"/>
    <x v="18"/>
    <x v="481"/>
    <x v="33"/>
    <n v="525"/>
    <n v="178"/>
    <n v="-5"/>
    <x v="461"/>
    <s v="n.a."/>
  </r>
  <r>
    <x v="22"/>
    <x v="19"/>
    <x v="481"/>
    <x v="33"/>
    <n v="360"/>
    <n v="-158"/>
    <n v="4"/>
    <x v="461"/>
    <s v="n.a."/>
  </r>
  <r>
    <x v="22"/>
    <x v="20"/>
    <x v="481"/>
    <x v="33"/>
    <n v="514"/>
    <n v="119"/>
    <n v="-4"/>
    <x v="461"/>
    <s v="n.a."/>
  </r>
  <r>
    <x v="22"/>
    <x v="21"/>
    <x v="481"/>
    <x v="33"/>
    <n v="400"/>
    <n v="-130"/>
    <n v="2"/>
    <x v="461"/>
    <s v="n.a."/>
  </r>
  <r>
    <x v="22"/>
    <x v="22"/>
    <x v="481"/>
    <x v="33"/>
    <n v="546"/>
    <n v="31"/>
    <n v="7"/>
    <x v="461"/>
    <s v="n.a."/>
  </r>
  <r>
    <x v="22"/>
    <x v="23"/>
    <x v="481"/>
    <x v="33"/>
    <n v="508"/>
    <n v="4"/>
    <n v="6"/>
    <x v="461"/>
    <s v="n.a."/>
  </r>
  <r>
    <x v="22"/>
    <x v="24"/>
    <x v="481"/>
    <x v="33"/>
    <n v="498"/>
    <n v="-89"/>
    <n v="1"/>
    <x v="461"/>
    <s v="n.a."/>
  </r>
  <r>
    <x v="22"/>
    <x v="25"/>
    <x v="481"/>
    <x v="33"/>
    <n v="588"/>
    <n v="-145"/>
    <n v="-1"/>
    <x v="461"/>
    <s v="n.a."/>
  </r>
  <r>
    <x v="22"/>
    <x v="26"/>
    <x v="481"/>
    <x v="33"/>
    <n v="737"/>
    <n v="146"/>
    <n v="1"/>
    <x v="461"/>
    <s v="n.a."/>
  </r>
  <r>
    <x v="22"/>
    <x v="27"/>
    <x v="481"/>
    <x v="33"/>
    <n v="590"/>
    <n v="33"/>
    <n v="0"/>
    <x v="461"/>
    <s v="n.a."/>
  </r>
  <r>
    <x v="22"/>
    <x v="28"/>
    <x v="481"/>
    <x v="33"/>
    <n v="558"/>
    <n v="48"/>
    <n v="-2"/>
    <x v="461"/>
    <s v="n.a."/>
  </r>
  <r>
    <x v="22"/>
    <x v="29"/>
    <x v="481"/>
    <x v="33"/>
    <n v="514"/>
    <n v="41"/>
    <n v="-1"/>
    <x v="461"/>
    <s v="n.a."/>
  </r>
  <r>
    <x v="22"/>
    <x v="30"/>
    <x v="481"/>
    <x v="33"/>
    <n v="479"/>
    <n v="232"/>
    <n v="-1"/>
    <x v="461"/>
    <s v="n.a."/>
  </r>
  <r>
    <x v="22"/>
    <x v="31"/>
    <x v="481"/>
    <x v="33"/>
    <n v="247"/>
    <n v="-169"/>
    <n v="8"/>
    <x v="461"/>
    <s v="n.a."/>
  </r>
  <r>
    <x v="22"/>
    <x v="32"/>
    <x v="481"/>
    <x v="33"/>
    <n v="489"/>
    <n v="-97"/>
    <n v="-3"/>
    <x v="461"/>
    <s v="n.a."/>
  </r>
  <r>
    <x v="22"/>
    <x v="33"/>
    <x v="481"/>
    <x v="33"/>
    <n v="589"/>
    <s v="n.a."/>
    <s v="n.a."/>
    <x v="461"/>
    <s v="n.a."/>
  </r>
  <r>
    <x v="22"/>
    <x v="34"/>
    <x v="481"/>
    <x v="33"/>
    <n v="602"/>
    <s v="n.a."/>
    <s v="n.a."/>
    <x v="461"/>
    <s v="n.a."/>
  </r>
  <r>
    <x v="22"/>
    <x v="35"/>
    <x v="481"/>
    <x v="33"/>
    <n v="389"/>
    <s v="n.a."/>
    <s v="n.a."/>
    <x v="461"/>
    <s v="n.a."/>
  </r>
  <r>
    <x v="22"/>
    <x v="36"/>
    <x v="481"/>
    <x v="33"/>
    <n v="145"/>
    <s v="n.a."/>
    <s v="n.a."/>
    <x v="461"/>
    <s v="n.a."/>
  </r>
  <r>
    <x v="22"/>
    <x v="37"/>
    <x v="481"/>
    <x v="33"/>
    <n v="115"/>
    <s v="n.a."/>
    <s v="n.a."/>
    <x v="461"/>
    <s v="n.a."/>
  </r>
  <r>
    <x v="22"/>
    <x v="38"/>
    <x v="481"/>
    <x v="33"/>
    <n v="169"/>
    <s v="n.a."/>
    <s v="n.a."/>
    <x v="461"/>
    <s v="n.a."/>
  </r>
  <r>
    <x v="22"/>
    <x v="39"/>
    <x v="481"/>
    <x v="33"/>
    <n v="168"/>
    <s v="n.a."/>
    <s v="n.a."/>
    <x v="461"/>
    <s v="n.a."/>
  </r>
  <r>
    <x v="22"/>
    <x v="40"/>
    <x v="481"/>
    <x v="33"/>
    <n v="162"/>
    <s v="n.a."/>
    <s v="n.a."/>
    <x v="461"/>
    <s v="n.a."/>
  </r>
  <r>
    <x v="22"/>
    <x v="41"/>
    <x v="481"/>
    <x v="33"/>
    <n v="160"/>
    <s v="n.a."/>
    <s v="n.a."/>
    <x v="461"/>
    <s v="n.a."/>
  </r>
  <r>
    <x v="22"/>
    <x v="42"/>
    <x v="481"/>
    <x v="33"/>
    <n v="209"/>
    <s v="n.a."/>
    <s v="n.a."/>
    <x v="461"/>
    <s v="n.a."/>
  </r>
  <r>
    <x v="22"/>
    <x v="43"/>
    <x v="481"/>
    <x v="33"/>
    <n v="293"/>
    <s v="n.a."/>
    <s v="n.a."/>
    <x v="461"/>
    <s v="n.a."/>
  </r>
  <r>
    <x v="22"/>
    <x v="44"/>
    <x v="481"/>
    <x v="33"/>
    <n v="316"/>
    <s v="n.a."/>
    <s v="n.a."/>
    <x v="461"/>
    <s v="n.a."/>
  </r>
  <r>
    <x v="22"/>
    <x v="45"/>
    <x v="481"/>
    <x v="33"/>
    <n v="177"/>
    <s v="n.a."/>
    <s v="n.a."/>
    <x v="461"/>
    <s v="n.a."/>
  </r>
  <r>
    <x v="22"/>
    <x v="46"/>
    <x v="481"/>
    <x v="33"/>
    <n v="215"/>
    <s v="n.a."/>
    <s v="n.a."/>
    <x v="461"/>
    <s v="n.a."/>
  </r>
  <r>
    <x v="22"/>
    <x v="47"/>
    <x v="481"/>
    <x v="33"/>
    <n v="187"/>
    <s v="n.a."/>
    <s v="n.a."/>
    <x v="461"/>
    <s v="n.a."/>
  </r>
  <r>
    <x v="22"/>
    <x v="48"/>
    <x v="481"/>
    <x v="33"/>
    <n v="493"/>
    <s v="n.a."/>
    <s v="n.a."/>
    <x v="461"/>
    <s v="n.a."/>
  </r>
  <r>
    <x v="22"/>
    <x v="49"/>
    <x v="481"/>
    <x v="33"/>
    <n v="697"/>
    <s v="n.a."/>
    <s v="n.a."/>
    <x v="461"/>
    <s v="n.a."/>
  </r>
  <r>
    <x v="22"/>
    <x v="50"/>
    <x v="481"/>
    <x v="33"/>
    <n v="668"/>
    <s v="n.a."/>
    <s v="n.a."/>
    <x v="461"/>
    <s v="n.a."/>
  </r>
  <r>
    <x v="22"/>
    <x v="51"/>
    <x v="481"/>
    <x v="33"/>
    <n v="699"/>
    <s v="n.a."/>
    <s v="n.a."/>
    <x v="461"/>
    <s v="n.a."/>
  </r>
  <r>
    <x v="22"/>
    <x v="52"/>
    <x v="481"/>
    <x v="33"/>
    <n v="684"/>
    <s v="n.a."/>
    <s v="n.a."/>
    <x v="461"/>
    <s v="n.a."/>
  </r>
  <r>
    <x v="22"/>
    <x v="53"/>
    <x v="481"/>
    <x v="33"/>
    <n v="640"/>
    <s v="n.a."/>
    <s v="n.a."/>
    <x v="461"/>
    <s v="n.a."/>
  </r>
  <r>
    <x v="22"/>
    <x v="54"/>
    <x v="481"/>
    <x v="33"/>
    <n v="640"/>
    <s v="n.a."/>
    <s v="n.a."/>
    <x v="461"/>
    <s v="n.a."/>
  </r>
  <r>
    <x v="22"/>
    <x v="55"/>
    <x v="481"/>
    <x v="33"/>
    <n v="667"/>
    <s v="n.a."/>
    <s v="n.a."/>
    <x v="461"/>
    <s v="n.a."/>
  </r>
  <r>
    <x v="22"/>
    <x v="56"/>
    <x v="481"/>
    <x v="33"/>
    <n v="678"/>
    <s v="n.a."/>
    <s v="n.a."/>
    <x v="461"/>
    <s v="n.a."/>
  </r>
  <r>
    <x v="22"/>
    <x v="57"/>
    <x v="481"/>
    <x v="33"/>
    <n v="665"/>
    <s v="n.a."/>
    <s v="n.a."/>
    <x v="461"/>
    <s v="n.a."/>
  </r>
  <r>
    <x v="22"/>
    <x v="58"/>
    <x v="481"/>
    <x v="33"/>
    <n v="671"/>
    <s v="n.a."/>
    <s v="n.a."/>
    <x v="461"/>
    <s v="n.a."/>
  </r>
  <r>
    <x v="22"/>
    <x v="59"/>
    <x v="481"/>
    <x v="33"/>
    <n v="643"/>
    <s v="n.a."/>
    <s v="n.a."/>
    <x v="461"/>
    <s v="n.a."/>
  </r>
  <r>
    <x v="22"/>
    <x v="60"/>
    <x v="481"/>
    <x v="33"/>
    <n v="515"/>
    <s v="n.a."/>
    <s v="n.a."/>
    <x v="461"/>
    <s v="n.a."/>
  </r>
  <r>
    <x v="22"/>
    <x v="61"/>
    <x v="481"/>
    <x v="33"/>
    <n v="486"/>
    <s v="n.a."/>
    <s v="n.a."/>
    <x v="461"/>
    <s v="n.a."/>
  </r>
  <r>
    <x v="22"/>
    <x v="62"/>
    <x v="481"/>
    <x v="33"/>
    <n v="576"/>
    <s v="n.a."/>
    <s v="n.a."/>
    <x v="461"/>
    <s v="n.a."/>
  </r>
  <r>
    <x v="22"/>
    <x v="63"/>
    <x v="481"/>
    <x v="33"/>
    <n v="590"/>
    <s v="n.a."/>
    <s v="n.a."/>
    <x v="461"/>
    <s v="n.a."/>
  </r>
  <r>
    <x v="22"/>
    <x v="64"/>
    <x v="481"/>
    <x v="33"/>
    <n v="771"/>
    <s v="n.a."/>
    <s v="n.a."/>
    <x v="461"/>
    <s v="n.a."/>
  </r>
  <r>
    <x v="22"/>
    <x v="65"/>
    <x v="481"/>
    <x v="33"/>
    <n v="708"/>
    <s v="n.a."/>
    <s v="n.a."/>
    <x v="461"/>
    <s v="n.a."/>
  </r>
  <r>
    <x v="22"/>
    <x v="66"/>
    <x v="481"/>
    <x v="33"/>
    <n v="654"/>
    <s v="n.a."/>
    <s v="n.a."/>
    <x v="461"/>
    <s v="n.a."/>
  </r>
  <r>
    <x v="22"/>
    <x v="67"/>
    <x v="481"/>
    <x v="33"/>
    <n v="619"/>
    <s v="n.a."/>
    <s v="n.a."/>
    <x v="461"/>
    <s v="n.a."/>
  </r>
  <r>
    <x v="22"/>
    <x v="68"/>
    <x v="481"/>
    <x v="33"/>
    <n v="981"/>
    <s v="n.a."/>
    <s v="n.a."/>
    <x v="461"/>
    <s v="n.a."/>
  </r>
  <r>
    <x v="22"/>
    <x v="69"/>
    <x v="481"/>
    <x v="33"/>
    <n v="913"/>
    <s v="n.a."/>
    <s v="n.a."/>
    <x v="461"/>
    <s v="n.a."/>
  </r>
  <r>
    <x v="23"/>
    <x v="0"/>
    <x v="481"/>
    <x v="33"/>
    <n v="55119"/>
    <n v="830"/>
    <n v="78"/>
    <x v="461"/>
    <s v="n.a."/>
  </r>
  <r>
    <x v="23"/>
    <x v="1"/>
    <x v="481"/>
    <x v="33"/>
    <n v="54159"/>
    <n v="589"/>
    <n v="94"/>
    <x v="461"/>
    <s v="n.a."/>
  </r>
  <r>
    <x v="23"/>
    <x v="2"/>
    <x v="481"/>
    <x v="33"/>
    <n v="53522"/>
    <n v="-5752"/>
    <n v="543"/>
    <x v="461"/>
    <s v="n.a."/>
  </r>
  <r>
    <x v="23"/>
    <x v="3"/>
    <x v="481"/>
    <x v="33"/>
    <n v="58661"/>
    <n v="1213"/>
    <n v="-282"/>
    <x v="461"/>
    <s v="n.a."/>
  </r>
  <r>
    <x v="23"/>
    <x v="4"/>
    <x v="481"/>
    <x v="33"/>
    <n v="57655"/>
    <n v="1902"/>
    <n v="620"/>
    <x v="461"/>
    <s v="n.a."/>
  </r>
  <r>
    <x v="23"/>
    <x v="5"/>
    <x v="481"/>
    <x v="33"/>
    <n v="55303"/>
    <n v="1611"/>
    <n v="-474"/>
    <x v="461"/>
    <s v="n.a."/>
  </r>
  <r>
    <x v="23"/>
    <x v="6"/>
    <x v="481"/>
    <x v="33"/>
    <n v="54176"/>
    <n v="5152"/>
    <n v="351"/>
    <x v="461"/>
    <s v="n.a."/>
  </r>
  <r>
    <x v="23"/>
    <x v="7"/>
    <x v="481"/>
    <x v="33"/>
    <n v="48739"/>
    <n v="2265"/>
    <n v="55"/>
    <x v="461"/>
    <s v="n.a."/>
  </r>
  <r>
    <x v="23"/>
    <x v="8"/>
    <x v="481"/>
    <x v="33"/>
    <n v="46360"/>
    <n v="-676"/>
    <n v="733"/>
    <x v="461"/>
    <s v="n.a."/>
  </r>
  <r>
    <x v="23"/>
    <x v="9"/>
    <x v="481"/>
    <x v="33"/>
    <n v="46350"/>
    <n v="878"/>
    <n v="166"/>
    <x v="461"/>
    <s v="n.a."/>
  </r>
  <r>
    <x v="23"/>
    <x v="10"/>
    <x v="481"/>
    <x v="33"/>
    <n v="45143"/>
    <n v="-30"/>
    <n v="-613"/>
    <x v="461"/>
    <s v="n.a."/>
  </r>
  <r>
    <x v="23"/>
    <x v="11"/>
    <x v="481"/>
    <x v="33"/>
    <n v="45670"/>
    <n v="1766"/>
    <n v="214"/>
    <x v="461"/>
    <s v="n.a."/>
  </r>
  <r>
    <x v="23"/>
    <x v="12"/>
    <x v="481"/>
    <x v="33"/>
    <n v="43367"/>
    <n v="-159"/>
    <n v="-999"/>
    <x v="461"/>
    <s v="n.a."/>
  </r>
  <r>
    <x v="23"/>
    <x v="13"/>
    <x v="481"/>
    <x v="33"/>
    <n v="44175"/>
    <n v="503"/>
    <n v="412"/>
    <x v="461"/>
    <s v="n.a."/>
  </r>
  <r>
    <x v="23"/>
    <x v="14"/>
    <x v="481"/>
    <x v="33"/>
    <n v="43314"/>
    <n v="-182"/>
    <n v="323"/>
    <x v="461"/>
    <s v="n.a."/>
  </r>
  <r>
    <x v="23"/>
    <x v="15"/>
    <x v="481"/>
    <x v="33"/>
    <n v="43130"/>
    <n v="-191"/>
    <n v="770"/>
    <x v="461"/>
    <s v="n.a."/>
  </r>
  <r>
    <x v="23"/>
    <x v="16"/>
    <x v="481"/>
    <x v="33"/>
    <n v="42056"/>
    <n v="2870"/>
    <n v="269"/>
    <x v="461"/>
    <s v="n.a."/>
  </r>
  <r>
    <x v="23"/>
    <x v="17"/>
    <x v="481"/>
    <x v="33"/>
    <n v="38964"/>
    <n v="582"/>
    <n v="388"/>
    <x v="461"/>
    <s v="n.a."/>
  </r>
  <r>
    <x v="23"/>
    <x v="18"/>
    <x v="481"/>
    <x v="33"/>
    <n v="37983"/>
    <n v="-1125"/>
    <n v="-696"/>
    <x v="461"/>
    <s v="n.a."/>
  </r>
  <r>
    <x v="23"/>
    <x v="19"/>
    <x v="481"/>
    <x v="33"/>
    <n v="39734"/>
    <n v="-147"/>
    <n v="177"/>
    <x v="461"/>
    <s v="n.a."/>
  </r>
  <r>
    <x v="23"/>
    <x v="20"/>
    <x v="481"/>
    <x v="33"/>
    <n v="40081"/>
    <n v="221"/>
    <n v="-536"/>
    <x v="461"/>
    <s v="n.a."/>
  </r>
  <r>
    <x v="23"/>
    <x v="21"/>
    <x v="481"/>
    <x v="33"/>
    <n v="40545"/>
    <n v="-527"/>
    <n v="-89"/>
    <x v="461"/>
    <s v="n.a."/>
  </r>
  <r>
    <x v="23"/>
    <x v="22"/>
    <x v="481"/>
    <x v="33"/>
    <n v="41040"/>
    <n v="-872"/>
    <n v="725"/>
    <x v="461"/>
    <s v="n.a."/>
  </r>
  <r>
    <x v="23"/>
    <x v="23"/>
    <x v="481"/>
    <x v="33"/>
    <n v="41104"/>
    <n v="508"/>
    <n v="966"/>
    <x v="461"/>
    <s v="n.a."/>
  </r>
  <r>
    <x v="23"/>
    <x v="24"/>
    <x v="481"/>
    <x v="33"/>
    <n v="39862"/>
    <n v="-3085"/>
    <n v="46"/>
    <x v="461"/>
    <s v="n.a."/>
  </r>
  <r>
    <x v="23"/>
    <x v="25"/>
    <x v="481"/>
    <x v="33"/>
    <n v="43168"/>
    <n v="41"/>
    <n v="-831"/>
    <x v="461"/>
    <s v="n.a."/>
  </r>
  <r>
    <x v="23"/>
    <x v="26"/>
    <x v="481"/>
    <x v="33"/>
    <n v="43564"/>
    <n v="1231"/>
    <n v="95"/>
    <x v="461"/>
    <s v="n.a."/>
  </r>
  <r>
    <x v="23"/>
    <x v="27"/>
    <x v="481"/>
    <x v="33"/>
    <n v="42374"/>
    <n v="-60"/>
    <n v="-64"/>
    <x v="461"/>
    <s v="n.a."/>
  </r>
  <r>
    <x v="23"/>
    <x v="28"/>
    <x v="481"/>
    <x v="33"/>
    <n v="42529"/>
    <n v="1825"/>
    <n v="-428"/>
    <x v="461"/>
    <s v="n.a."/>
  </r>
  <r>
    <x v="23"/>
    <x v="29"/>
    <x v="481"/>
    <x v="33"/>
    <n v="41130"/>
    <n v="1620"/>
    <n v="-377"/>
    <x v="461"/>
    <s v="n.a."/>
  </r>
  <r>
    <x v="23"/>
    <x v="30"/>
    <x v="481"/>
    <x v="33"/>
    <n v="39874"/>
    <n v="1957"/>
    <n v="99"/>
    <x v="461"/>
    <s v="n.a."/>
  </r>
  <r>
    <x v="23"/>
    <x v="31"/>
    <x v="481"/>
    <x v="33"/>
    <n v="37767"/>
    <n v="-207"/>
    <n v="884"/>
    <x v="461"/>
    <s v="n.a."/>
  </r>
  <r>
    <x v="23"/>
    <x v="32"/>
    <x v="481"/>
    <x v="33"/>
    <n v="37142"/>
    <n v="1123"/>
    <n v="-761"/>
    <x v="461"/>
    <s v="n.a."/>
  </r>
  <r>
    <x v="23"/>
    <x v="33"/>
    <x v="481"/>
    <x v="33"/>
    <n v="36689"/>
    <s v="n.a."/>
    <s v="n.a."/>
    <x v="461"/>
    <s v="n.a."/>
  </r>
  <r>
    <x v="23"/>
    <x v="34"/>
    <x v="481"/>
    <x v="33"/>
    <n v="35309"/>
    <s v="n.a."/>
    <s v="n.a."/>
    <x v="461"/>
    <s v="n.a."/>
  </r>
  <r>
    <x v="23"/>
    <x v="35"/>
    <x v="481"/>
    <x v="33"/>
    <n v="33785"/>
    <s v="n.a."/>
    <s v="n.a."/>
    <x v="461"/>
    <s v="n.a."/>
  </r>
  <r>
    <x v="23"/>
    <x v="36"/>
    <x v="481"/>
    <x v="33"/>
    <n v="31373"/>
    <s v="n.a."/>
    <s v="n.a."/>
    <x v="461"/>
    <s v="n.a."/>
  </r>
  <r>
    <x v="23"/>
    <x v="37"/>
    <x v="481"/>
    <x v="33"/>
    <n v="31244"/>
    <s v="n.a."/>
    <s v="n.a."/>
    <x v="461"/>
    <s v="n.a."/>
  </r>
  <r>
    <x v="23"/>
    <x v="38"/>
    <x v="481"/>
    <x v="33"/>
    <n v="33902"/>
    <s v="n.a."/>
    <s v="n.a."/>
    <x v="461"/>
    <s v="n.a."/>
  </r>
  <r>
    <x v="23"/>
    <x v="39"/>
    <x v="481"/>
    <x v="33"/>
    <n v="35070"/>
    <s v="n.a."/>
    <s v="n.a."/>
    <x v="461"/>
    <s v="n.a."/>
  </r>
  <r>
    <x v="23"/>
    <x v="40"/>
    <x v="481"/>
    <x v="33"/>
    <n v="34086"/>
    <s v="n.a."/>
    <s v="n.a."/>
    <x v="461"/>
    <s v="n.a."/>
  </r>
  <r>
    <x v="23"/>
    <x v="41"/>
    <x v="481"/>
    <x v="33"/>
    <n v="34151"/>
    <s v="n.a."/>
    <s v="n.a."/>
    <x v="461"/>
    <s v="n.a."/>
  </r>
  <r>
    <x v="23"/>
    <x v="42"/>
    <x v="481"/>
    <x v="33"/>
    <n v="33228"/>
    <s v="n.a."/>
    <s v="n.a."/>
    <x v="461"/>
    <s v="n.a."/>
  </r>
  <r>
    <x v="23"/>
    <x v="43"/>
    <x v="481"/>
    <x v="33"/>
    <n v="36690"/>
    <s v="n.a."/>
    <s v="n.a."/>
    <x v="461"/>
    <s v="n.a."/>
  </r>
  <r>
    <x v="23"/>
    <x v="44"/>
    <x v="481"/>
    <x v="33"/>
    <n v="36926"/>
    <s v="n.a."/>
    <s v="n.a."/>
    <x v="461"/>
    <s v="n.a."/>
  </r>
  <r>
    <x v="23"/>
    <x v="45"/>
    <x v="481"/>
    <x v="33"/>
    <n v="37010"/>
    <s v="n.a."/>
    <s v="n.a."/>
    <x v="461"/>
    <s v="n.a."/>
  </r>
  <r>
    <x v="23"/>
    <x v="46"/>
    <x v="481"/>
    <x v="33"/>
    <n v="36540"/>
    <s v="n.a."/>
    <s v="n.a."/>
    <x v="461"/>
    <s v="n.a."/>
  </r>
  <r>
    <x v="23"/>
    <x v="47"/>
    <x v="481"/>
    <x v="33"/>
    <n v="50148"/>
    <s v="n.a."/>
    <s v="n.a."/>
    <x v="461"/>
    <s v="n.a."/>
  </r>
  <r>
    <x v="23"/>
    <x v="48"/>
    <x v="481"/>
    <x v="33"/>
    <n v="45504"/>
    <s v="n.a."/>
    <s v="n.a."/>
    <x v="461"/>
    <s v="n.a."/>
  </r>
  <r>
    <x v="23"/>
    <x v="49"/>
    <x v="481"/>
    <x v="33"/>
    <n v="46067"/>
    <s v="n.a."/>
    <s v="n.a."/>
    <x v="461"/>
    <s v="n.a."/>
  </r>
  <r>
    <x v="23"/>
    <x v="50"/>
    <x v="481"/>
    <x v="33"/>
    <n v="46081"/>
    <s v="n.a."/>
    <s v="n.a."/>
    <x v="461"/>
    <s v="n.a."/>
  </r>
  <r>
    <x v="23"/>
    <x v="51"/>
    <x v="481"/>
    <x v="33"/>
    <n v="41091"/>
    <s v="n.a."/>
    <s v="n.a."/>
    <x v="461"/>
    <s v="n.a."/>
  </r>
  <r>
    <x v="23"/>
    <x v="52"/>
    <x v="481"/>
    <x v="33"/>
    <n v="42438"/>
    <s v="n.a."/>
    <s v="n.a."/>
    <x v="461"/>
    <s v="n.a."/>
  </r>
  <r>
    <x v="23"/>
    <x v="53"/>
    <x v="481"/>
    <x v="33"/>
    <n v="44721"/>
    <s v="n.a."/>
    <s v="n.a."/>
    <x v="461"/>
    <s v="n.a."/>
  </r>
  <r>
    <x v="23"/>
    <x v="54"/>
    <x v="481"/>
    <x v="33"/>
    <n v="40037"/>
    <s v="n.a."/>
    <s v="n.a."/>
    <x v="461"/>
    <s v="n.a."/>
  </r>
  <r>
    <x v="23"/>
    <x v="55"/>
    <x v="481"/>
    <x v="33"/>
    <n v="41883"/>
    <s v="n.a."/>
    <s v="n.a."/>
    <x v="461"/>
    <s v="n.a."/>
  </r>
  <r>
    <x v="23"/>
    <x v="56"/>
    <x v="481"/>
    <x v="33"/>
    <n v="39669"/>
    <s v="n.a."/>
    <s v="n.a."/>
    <x v="461"/>
    <s v="n.a."/>
  </r>
  <r>
    <x v="23"/>
    <x v="57"/>
    <x v="481"/>
    <x v="33"/>
    <n v="41785"/>
    <s v="n.a."/>
    <s v="n.a."/>
    <x v="461"/>
    <s v="n.a."/>
  </r>
  <r>
    <x v="23"/>
    <x v="58"/>
    <x v="481"/>
    <x v="33"/>
    <n v="31635"/>
    <s v="n.a."/>
    <s v="n.a."/>
    <x v="461"/>
    <s v="n.a."/>
  </r>
  <r>
    <x v="23"/>
    <x v="59"/>
    <x v="481"/>
    <x v="33"/>
    <n v="29663"/>
    <s v="n.a."/>
    <s v="n.a."/>
    <x v="461"/>
    <s v="n.a."/>
  </r>
  <r>
    <x v="23"/>
    <x v="60"/>
    <x v="481"/>
    <x v="33"/>
    <n v="30529"/>
    <s v="n.a."/>
    <s v="n.a."/>
    <x v="461"/>
    <s v="n.a."/>
  </r>
  <r>
    <x v="23"/>
    <x v="61"/>
    <x v="481"/>
    <x v="33"/>
    <n v="29882"/>
    <s v="n.a."/>
    <s v="n.a."/>
    <x v="461"/>
    <s v="n.a."/>
  </r>
  <r>
    <x v="23"/>
    <x v="62"/>
    <x v="481"/>
    <x v="33"/>
    <n v="25587"/>
    <s v="n.a."/>
    <s v="n.a."/>
    <x v="461"/>
    <s v="n.a."/>
  </r>
  <r>
    <x v="23"/>
    <x v="63"/>
    <x v="481"/>
    <x v="33"/>
    <n v="30706"/>
    <s v="n.a."/>
    <s v="n.a."/>
    <x v="461"/>
    <s v="n.a."/>
  </r>
  <r>
    <x v="23"/>
    <x v="64"/>
    <x v="481"/>
    <x v="33"/>
    <n v="29857"/>
    <s v="n.a."/>
    <s v="n.a."/>
    <x v="461"/>
    <s v="n.a."/>
  </r>
  <r>
    <x v="23"/>
    <x v="65"/>
    <x v="481"/>
    <x v="33"/>
    <n v="32969"/>
    <s v="n.a."/>
    <s v="n.a."/>
    <x v="461"/>
    <s v="n.a."/>
  </r>
  <r>
    <x v="23"/>
    <x v="66"/>
    <x v="481"/>
    <x v="33"/>
    <n v="28463"/>
    <s v="n.a."/>
    <s v="n.a."/>
    <x v="461"/>
    <s v="n.a."/>
  </r>
  <r>
    <x v="23"/>
    <x v="67"/>
    <x v="481"/>
    <x v="33"/>
    <n v="31642"/>
    <s v="n.a."/>
    <s v="n.a."/>
    <x v="461"/>
    <s v="n.a."/>
  </r>
  <r>
    <x v="23"/>
    <x v="68"/>
    <x v="481"/>
    <x v="33"/>
    <n v="30853"/>
    <s v="n.a."/>
    <s v="n.a."/>
    <x v="461"/>
    <s v="n.a."/>
  </r>
  <r>
    <x v="23"/>
    <x v="69"/>
    <x v="481"/>
    <x v="33"/>
    <n v="32583"/>
    <s v="n.a."/>
    <s v="n.a."/>
    <x v="461"/>
    <s v="n.a."/>
  </r>
  <r>
    <x v="24"/>
    <x v="0"/>
    <x v="481"/>
    <x v="33"/>
    <n v="10826"/>
    <n v="310"/>
    <n v="11"/>
    <x v="461"/>
    <s v="n.a."/>
  </r>
  <r>
    <x v="24"/>
    <x v="1"/>
    <x v="481"/>
    <x v="33"/>
    <n v="10505"/>
    <n v="-599"/>
    <n v="23"/>
    <x v="461"/>
    <s v="n.a."/>
  </r>
  <r>
    <x v="24"/>
    <x v="2"/>
    <x v="481"/>
    <x v="33"/>
    <n v="11081"/>
    <n v="182"/>
    <n v="55"/>
    <x v="461"/>
    <s v="n.a."/>
  </r>
  <r>
    <x v="24"/>
    <x v="3"/>
    <x v="481"/>
    <x v="33"/>
    <n v="10844"/>
    <n v="799"/>
    <n v="-21"/>
    <x v="461"/>
    <s v="n.a."/>
  </r>
  <r>
    <x v="24"/>
    <x v="4"/>
    <x v="481"/>
    <x v="33"/>
    <n v="10066"/>
    <n v="-601"/>
    <n v="32"/>
    <x v="461"/>
    <s v="n.a."/>
  </r>
  <r>
    <x v="24"/>
    <x v="5"/>
    <x v="481"/>
    <x v="33"/>
    <n v="10635"/>
    <n v="-80"/>
    <n v="-28"/>
    <x v="461"/>
    <s v="n.a."/>
  </r>
  <r>
    <x v="24"/>
    <x v="6"/>
    <x v="481"/>
    <x v="33"/>
    <n v="10743"/>
    <n v="-678"/>
    <n v="46"/>
    <x v="461"/>
    <s v="n.a."/>
  </r>
  <r>
    <x v="24"/>
    <x v="7"/>
    <x v="481"/>
    <x v="33"/>
    <n v="11375"/>
    <n v="-484"/>
    <n v="24"/>
    <x v="461"/>
    <s v="n.a."/>
  </r>
  <r>
    <x v="24"/>
    <x v="8"/>
    <x v="481"/>
    <x v="33"/>
    <n v="11836"/>
    <n v="849"/>
    <n v="43"/>
    <x v="461"/>
    <s v="n.a."/>
  </r>
  <r>
    <x v="24"/>
    <x v="9"/>
    <x v="481"/>
    <x v="33"/>
    <n v="10942"/>
    <n v="-332"/>
    <n v="22"/>
    <x v="461"/>
    <s v="n.a."/>
  </r>
  <r>
    <x v="24"/>
    <x v="10"/>
    <x v="481"/>
    <x v="33"/>
    <n v="11252"/>
    <n v="-98"/>
    <n v="6"/>
    <x v="461"/>
    <s v="n.a."/>
  </r>
  <r>
    <x v="24"/>
    <x v="11"/>
    <x v="481"/>
    <x v="33"/>
    <n v="11345"/>
    <n v="508"/>
    <n v="15"/>
    <x v="461"/>
    <s v="n.a."/>
  </r>
  <r>
    <x v="24"/>
    <x v="12"/>
    <x v="481"/>
    <x v="33"/>
    <n v="10822"/>
    <n v="2073"/>
    <n v="-54"/>
    <x v="461"/>
    <s v="n.a."/>
  </r>
  <r>
    <x v="24"/>
    <x v="13"/>
    <x v="481"/>
    <x v="33"/>
    <n v="8804"/>
    <n v="925"/>
    <n v="31"/>
    <x v="461"/>
    <s v="n.a."/>
  </r>
  <r>
    <x v="24"/>
    <x v="14"/>
    <x v="481"/>
    <x v="33"/>
    <n v="7848"/>
    <n v="-192"/>
    <n v="47"/>
    <x v="461"/>
    <s v="n.a."/>
  </r>
  <r>
    <x v="24"/>
    <x v="15"/>
    <x v="481"/>
    <x v="33"/>
    <n v="7992"/>
    <n v="292"/>
    <n v="51"/>
    <x v="461"/>
    <s v="n.a."/>
  </r>
  <r>
    <x v="24"/>
    <x v="16"/>
    <x v="481"/>
    <x v="33"/>
    <n v="7649"/>
    <n v="55"/>
    <n v="23"/>
    <x v="461"/>
    <s v="n.a."/>
  </r>
  <r>
    <x v="24"/>
    <x v="17"/>
    <x v="481"/>
    <x v="33"/>
    <n v="7571"/>
    <n v="260"/>
    <n v="31"/>
    <x v="461"/>
    <s v="n.a."/>
  </r>
  <r>
    <x v="24"/>
    <x v="18"/>
    <x v="481"/>
    <x v="33"/>
    <n v="7282"/>
    <n v="551"/>
    <n v="-23"/>
    <x v="461"/>
    <s v="n.a."/>
  </r>
  <r>
    <x v="24"/>
    <x v="19"/>
    <x v="481"/>
    <x v="33"/>
    <n v="6755"/>
    <n v="548"/>
    <n v="9"/>
    <x v="461"/>
    <s v="n.a."/>
  </r>
  <r>
    <x v="24"/>
    <x v="20"/>
    <x v="481"/>
    <x v="33"/>
    <n v="6198"/>
    <n v="1261"/>
    <n v="-18"/>
    <x v="461"/>
    <s v="n.a."/>
  </r>
  <r>
    <x v="24"/>
    <x v="21"/>
    <x v="481"/>
    <x v="33"/>
    <n v="4955"/>
    <n v="-686"/>
    <n v="12"/>
    <x v="461"/>
    <s v="n.a."/>
  </r>
  <r>
    <x v="24"/>
    <x v="22"/>
    <x v="481"/>
    <x v="33"/>
    <n v="5630"/>
    <n v="-600"/>
    <n v="38"/>
    <x v="461"/>
    <s v="n.a."/>
  </r>
  <r>
    <x v="24"/>
    <x v="23"/>
    <x v="481"/>
    <x v="33"/>
    <n v="6190"/>
    <n v="-732"/>
    <n v="42"/>
    <x v="461"/>
    <s v="n.a."/>
  </r>
  <r>
    <x v="24"/>
    <x v="24"/>
    <x v="481"/>
    <x v="33"/>
    <n v="6879"/>
    <n v="-735"/>
    <n v="17"/>
    <x v="461"/>
    <s v="n.a."/>
  </r>
  <r>
    <x v="24"/>
    <x v="25"/>
    <x v="481"/>
    <x v="33"/>
    <n v="7599"/>
    <n v="61"/>
    <n v="5"/>
    <x v="461"/>
    <s v="n.a."/>
  </r>
  <r>
    <x v="24"/>
    <x v="26"/>
    <x v="481"/>
    <x v="33"/>
    <n v="7531"/>
    <n v="-351"/>
    <n v="20"/>
    <x v="461"/>
    <s v="n.a."/>
  </r>
  <r>
    <x v="24"/>
    <x v="27"/>
    <x v="481"/>
    <x v="33"/>
    <n v="7862"/>
    <n v="-1"/>
    <n v="22"/>
    <x v="461"/>
    <s v="n.a."/>
  </r>
  <r>
    <x v="24"/>
    <x v="28"/>
    <x v="481"/>
    <x v="33"/>
    <n v="7841"/>
    <n v="144"/>
    <n v="-2"/>
    <x v="461"/>
    <s v="n.a."/>
  </r>
  <r>
    <x v="24"/>
    <x v="29"/>
    <x v="481"/>
    <x v="33"/>
    <n v="7699"/>
    <n v="8"/>
    <n v="-9"/>
    <x v="461"/>
    <s v="n.a."/>
  </r>
  <r>
    <x v="24"/>
    <x v="30"/>
    <x v="481"/>
    <x v="33"/>
    <n v="7701"/>
    <n v="-108"/>
    <n v="13"/>
    <x v="461"/>
    <s v="n.a."/>
  </r>
  <r>
    <x v="24"/>
    <x v="31"/>
    <x v="481"/>
    <x v="33"/>
    <n v="7796"/>
    <n v="-240"/>
    <n v="75"/>
    <x v="461"/>
    <s v="n.a."/>
  </r>
  <r>
    <x v="24"/>
    <x v="32"/>
    <x v="481"/>
    <x v="33"/>
    <n v="7960"/>
    <n v="910"/>
    <n v="-28"/>
    <x v="461"/>
    <s v="n.a."/>
  </r>
  <r>
    <x v="24"/>
    <x v="33"/>
    <x v="481"/>
    <x v="33"/>
    <n v="7077"/>
    <s v="n.a."/>
    <s v="n.a."/>
    <x v="461"/>
    <s v="n.a."/>
  </r>
  <r>
    <x v="24"/>
    <x v="34"/>
    <x v="481"/>
    <x v="33"/>
    <n v="6514"/>
    <s v="n.a."/>
    <s v="n.a."/>
    <x v="461"/>
    <s v="n.a."/>
  </r>
  <r>
    <x v="24"/>
    <x v="35"/>
    <x v="481"/>
    <x v="33"/>
    <n v="6497"/>
    <s v="n.a."/>
    <s v="n.a."/>
    <x v="461"/>
    <s v="n.a."/>
  </r>
  <r>
    <x v="24"/>
    <x v="36"/>
    <x v="481"/>
    <x v="33"/>
    <n v="6652"/>
    <s v="n.a."/>
    <s v="n.a."/>
    <x v="461"/>
    <s v="n.a."/>
  </r>
  <r>
    <x v="24"/>
    <x v="37"/>
    <x v="481"/>
    <x v="33"/>
    <n v="6789"/>
    <s v="n.a."/>
    <s v="n.a."/>
    <x v="461"/>
    <s v="n.a."/>
  </r>
  <r>
    <x v="24"/>
    <x v="38"/>
    <x v="481"/>
    <x v="33"/>
    <n v="7112"/>
    <s v="n.a."/>
    <s v="n.a."/>
    <x v="461"/>
    <s v="n.a."/>
  </r>
  <r>
    <x v="24"/>
    <x v="39"/>
    <x v="481"/>
    <x v="33"/>
    <n v="7359"/>
    <s v="n.a."/>
    <s v="n.a."/>
    <x v="461"/>
    <s v="n.a."/>
  </r>
  <r>
    <x v="24"/>
    <x v="40"/>
    <x v="481"/>
    <x v="33"/>
    <n v="7175"/>
    <s v="n.a."/>
    <s v="n.a."/>
    <x v="461"/>
    <s v="n.a."/>
  </r>
  <r>
    <x v="24"/>
    <x v="41"/>
    <x v="481"/>
    <x v="33"/>
    <n v="6998"/>
    <s v="n.a."/>
    <s v="n.a."/>
    <x v="461"/>
    <s v="n.a."/>
  </r>
  <r>
    <x v="24"/>
    <x v="42"/>
    <x v="481"/>
    <x v="33"/>
    <n v="6329"/>
    <s v="n.a."/>
    <s v="n.a."/>
    <x v="461"/>
    <s v="n.a."/>
  </r>
  <r>
    <x v="24"/>
    <x v="43"/>
    <x v="481"/>
    <x v="33"/>
    <n v="6197"/>
    <s v="n.a."/>
    <s v="n.a."/>
    <x v="461"/>
    <s v="n.a."/>
  </r>
  <r>
    <x v="24"/>
    <x v="44"/>
    <x v="481"/>
    <x v="33"/>
    <n v="6308"/>
    <s v="n.a."/>
    <s v="n.a."/>
    <x v="461"/>
    <s v="n.a."/>
  </r>
  <r>
    <x v="24"/>
    <x v="45"/>
    <x v="481"/>
    <x v="33"/>
    <n v="5932"/>
    <s v="n.a."/>
    <s v="n.a."/>
    <x v="461"/>
    <s v="n.a."/>
  </r>
  <r>
    <x v="24"/>
    <x v="46"/>
    <x v="481"/>
    <x v="33"/>
    <n v="5415"/>
    <s v="n.a."/>
    <s v="n.a."/>
    <x v="461"/>
    <s v="n.a."/>
  </r>
  <r>
    <x v="24"/>
    <x v="47"/>
    <x v="481"/>
    <x v="33"/>
    <n v="5229"/>
    <s v="n.a."/>
    <s v="n.a."/>
    <x v="461"/>
    <s v="n.a."/>
  </r>
  <r>
    <x v="24"/>
    <x v="48"/>
    <x v="481"/>
    <x v="33"/>
    <n v="5279"/>
    <s v="n.a."/>
    <s v="n.a."/>
    <x v="461"/>
    <s v="n.a."/>
  </r>
  <r>
    <x v="24"/>
    <x v="49"/>
    <x v="481"/>
    <x v="33"/>
    <n v="4996"/>
    <s v="n.a."/>
    <s v="n.a."/>
    <x v="461"/>
    <s v="n.a."/>
  </r>
  <r>
    <x v="24"/>
    <x v="50"/>
    <x v="481"/>
    <x v="33"/>
    <n v="4565"/>
    <s v="n.a."/>
    <s v="n.a."/>
    <x v="461"/>
    <s v="n.a."/>
  </r>
  <r>
    <x v="24"/>
    <x v="51"/>
    <x v="481"/>
    <x v="33"/>
    <n v="4626"/>
    <s v="n.a."/>
    <s v="n.a."/>
    <x v="461"/>
    <s v="n.a."/>
  </r>
  <r>
    <x v="24"/>
    <x v="52"/>
    <x v="481"/>
    <x v="33"/>
    <n v="5051"/>
    <s v="n.a."/>
    <s v="n.a."/>
    <x v="461"/>
    <s v="n.a."/>
  </r>
  <r>
    <x v="24"/>
    <x v="53"/>
    <x v="481"/>
    <x v="33"/>
    <n v="4445"/>
    <s v="n.a."/>
    <s v="n.a."/>
    <x v="461"/>
    <s v="n.a."/>
  </r>
  <r>
    <x v="24"/>
    <x v="54"/>
    <x v="481"/>
    <x v="33"/>
    <n v="5022"/>
    <s v="n.a."/>
    <s v="n.a."/>
    <x v="461"/>
    <s v="n.a."/>
  </r>
  <r>
    <x v="24"/>
    <x v="55"/>
    <x v="481"/>
    <x v="33"/>
    <n v="5169"/>
    <s v="n.a."/>
    <s v="n.a."/>
    <x v="461"/>
    <s v="n.a."/>
  </r>
  <r>
    <x v="24"/>
    <x v="56"/>
    <x v="481"/>
    <x v="33"/>
    <n v="5893"/>
    <s v="n.a."/>
    <s v="n.a."/>
    <x v="461"/>
    <s v="n.a."/>
  </r>
  <r>
    <x v="24"/>
    <x v="57"/>
    <x v="481"/>
    <x v="33"/>
    <n v="5750"/>
    <s v="n.a."/>
    <s v="n.a."/>
    <x v="461"/>
    <s v="n.a."/>
  </r>
  <r>
    <x v="24"/>
    <x v="58"/>
    <x v="481"/>
    <x v="33"/>
    <n v="4979"/>
    <s v="n.a."/>
    <s v="n.a."/>
    <x v="461"/>
    <s v="n.a."/>
  </r>
  <r>
    <x v="24"/>
    <x v="59"/>
    <x v="481"/>
    <x v="33"/>
    <n v="5681"/>
    <s v="n.a."/>
    <s v="n.a."/>
    <x v="461"/>
    <s v="n.a."/>
  </r>
  <r>
    <x v="24"/>
    <x v="60"/>
    <x v="481"/>
    <x v="33"/>
    <n v="5363"/>
    <s v="n.a."/>
    <s v="n.a."/>
    <x v="461"/>
    <s v="n.a."/>
  </r>
  <r>
    <x v="24"/>
    <x v="61"/>
    <x v="481"/>
    <x v="33"/>
    <n v="4965"/>
    <s v="n.a."/>
    <s v="n.a."/>
    <x v="461"/>
    <s v="n.a."/>
  </r>
  <r>
    <x v="24"/>
    <x v="62"/>
    <x v="481"/>
    <x v="33"/>
    <n v="5189"/>
    <s v="n.a."/>
    <s v="n.a."/>
    <x v="461"/>
    <s v="n.a."/>
  </r>
  <r>
    <x v="24"/>
    <x v="63"/>
    <x v="481"/>
    <x v="33"/>
    <n v="4998"/>
    <s v="n.a."/>
    <s v="n.a."/>
    <x v="461"/>
    <s v="n.a."/>
  </r>
  <r>
    <x v="24"/>
    <x v="64"/>
    <x v="481"/>
    <x v="33"/>
    <n v="4895"/>
    <s v="n.a."/>
    <s v="n.a."/>
    <x v="461"/>
    <s v="n.a."/>
  </r>
  <r>
    <x v="24"/>
    <x v="65"/>
    <x v="481"/>
    <x v="33"/>
    <n v="4974"/>
    <s v="n.a."/>
    <s v="n.a."/>
    <x v="461"/>
    <s v="n.a."/>
  </r>
  <r>
    <x v="24"/>
    <x v="66"/>
    <x v="481"/>
    <x v="33"/>
    <n v="4970"/>
    <s v="n.a."/>
    <s v="n.a."/>
    <x v="461"/>
    <s v="n.a."/>
  </r>
  <r>
    <x v="24"/>
    <x v="67"/>
    <x v="481"/>
    <x v="33"/>
    <n v="5277"/>
    <s v="n.a."/>
    <s v="n.a."/>
    <x v="461"/>
    <s v="n.a."/>
  </r>
  <r>
    <x v="24"/>
    <x v="68"/>
    <x v="481"/>
    <x v="33"/>
    <n v="5850"/>
    <s v="n.a."/>
    <s v="n.a."/>
    <x v="461"/>
    <s v="n.a."/>
  </r>
  <r>
    <x v="24"/>
    <x v="69"/>
    <x v="481"/>
    <x v="33"/>
    <n v="5788"/>
    <s v="n.a."/>
    <s v="n.a."/>
    <x v="461"/>
    <s v="n.a."/>
  </r>
  <r>
    <x v="25"/>
    <x v="0"/>
    <x v="1246"/>
    <x v="531"/>
    <n v="23"/>
    <n v="3"/>
    <n v="0"/>
    <x v="1129"/>
    <n v="-2"/>
  </r>
  <r>
    <x v="25"/>
    <x v="1"/>
    <x v="1247"/>
    <x v="574"/>
    <n v="22"/>
    <n v="2"/>
    <n v="0"/>
    <x v="756"/>
    <n v="-8"/>
  </r>
  <r>
    <x v="25"/>
    <x v="2"/>
    <x v="1248"/>
    <x v="575"/>
    <n v="22"/>
    <n v="1"/>
    <n v="0"/>
    <x v="785"/>
    <n v="1"/>
  </r>
  <r>
    <x v="25"/>
    <x v="3"/>
    <x v="1249"/>
    <x v="576"/>
    <n v="22"/>
    <n v="0"/>
    <n v="0"/>
    <x v="1130"/>
    <n v="0"/>
  </r>
  <r>
    <x v="25"/>
    <x v="4"/>
    <x v="1248"/>
    <x v="533"/>
    <n v="23"/>
    <n v="0"/>
    <n v="0"/>
    <x v="1130"/>
    <n v="6"/>
  </r>
  <r>
    <x v="25"/>
    <x v="5"/>
    <x v="1250"/>
    <x v="577"/>
    <n v="32"/>
    <n v="4"/>
    <n v="0"/>
    <x v="757"/>
    <n v="6"/>
  </r>
  <r>
    <x v="25"/>
    <x v="6"/>
    <x v="1247"/>
    <x v="97"/>
    <n v="27"/>
    <n v="2"/>
    <n v="0"/>
    <x v="1131"/>
    <n v="1"/>
  </r>
  <r>
    <x v="25"/>
    <x v="7"/>
    <x v="1251"/>
    <x v="578"/>
    <n v="32"/>
    <n v="1"/>
    <n v="0"/>
    <x v="1132"/>
    <n v="-3"/>
  </r>
  <r>
    <x v="25"/>
    <x v="8"/>
    <x v="1252"/>
    <x v="576"/>
    <n v="30"/>
    <n v="0"/>
    <n v="0"/>
    <x v="1133"/>
    <n v="0"/>
  </r>
  <r>
    <x v="25"/>
    <x v="9"/>
    <x v="1249"/>
    <x v="575"/>
    <n v="32"/>
    <n v="5"/>
    <n v="0"/>
    <x v="1133"/>
    <n v="-3"/>
  </r>
  <r>
    <x v="25"/>
    <x v="10"/>
    <x v="1250"/>
    <x v="579"/>
    <n v="33"/>
    <n v="4"/>
    <n v="0"/>
    <x v="756"/>
    <n v="5"/>
  </r>
  <r>
    <x v="25"/>
    <x v="11"/>
    <x v="1251"/>
    <x v="575"/>
    <n v="31"/>
    <n v="2"/>
    <n v="0"/>
    <x v="1131"/>
    <n v="0"/>
  </r>
  <r>
    <x v="25"/>
    <x v="12"/>
    <x v="1253"/>
    <x v="575"/>
    <n v="24"/>
    <n v="1"/>
    <n v="-2"/>
    <x v="1131"/>
    <n v="1"/>
  </r>
  <r>
    <x v="25"/>
    <x v="13"/>
    <x v="198"/>
    <x v="575"/>
    <n v="167"/>
    <n v="2"/>
    <n v="10"/>
    <x v="1132"/>
    <n v="0"/>
  </r>
  <r>
    <x v="25"/>
    <x v="14"/>
    <x v="184"/>
    <x v="575"/>
    <n v="158"/>
    <n v="1"/>
    <n v="0"/>
    <x v="1132"/>
    <n v="1"/>
  </r>
  <r>
    <x v="25"/>
    <x v="15"/>
    <x v="1254"/>
    <x v="580"/>
    <n v="200"/>
    <n v="-20"/>
    <n v="2"/>
    <x v="1134"/>
    <n v="0"/>
  </r>
  <r>
    <x v="25"/>
    <x v="16"/>
    <x v="1255"/>
    <x v="576"/>
    <n v="218"/>
    <n v="1"/>
    <n v="1"/>
    <x v="1134"/>
    <n v="-1"/>
  </r>
  <r>
    <x v="25"/>
    <x v="17"/>
    <x v="1256"/>
    <x v="97"/>
    <n v="218"/>
    <n v="1"/>
    <n v="-2"/>
    <x v="1132"/>
    <n v="2"/>
  </r>
  <r>
    <x v="25"/>
    <x v="18"/>
    <x v="1256"/>
    <x v="575"/>
    <n v="220"/>
    <n v="2"/>
    <n v="0"/>
    <x v="1135"/>
    <n v="0"/>
  </r>
  <r>
    <x v="25"/>
    <x v="19"/>
    <x v="1257"/>
    <x v="531"/>
    <n v="212"/>
    <n v="1"/>
    <n v="0"/>
    <x v="1135"/>
    <n v="0"/>
  </r>
  <r>
    <x v="25"/>
    <x v="20"/>
    <x v="1258"/>
    <x v="97"/>
    <n v="211"/>
    <n v="3"/>
    <n v="0"/>
    <x v="1135"/>
    <n v="0"/>
  </r>
  <r>
    <x v="25"/>
    <x v="21"/>
    <x v="1259"/>
    <x v="576"/>
    <n v="209"/>
    <n v="2"/>
    <n v="-2"/>
    <x v="1135"/>
    <n v="-2"/>
  </r>
  <r>
    <x v="25"/>
    <x v="22"/>
    <x v="1260"/>
    <x v="97"/>
    <n v="213"/>
    <n v="3"/>
    <n v="0"/>
    <x v="1132"/>
    <n v="0"/>
  </r>
  <r>
    <x v="25"/>
    <x v="23"/>
    <x v="1253"/>
    <x v="575"/>
    <n v="25"/>
    <n v="2"/>
    <n v="0"/>
    <x v="1132"/>
    <n v="0"/>
  </r>
  <r>
    <x v="25"/>
    <x v="24"/>
    <x v="1247"/>
    <x v="70"/>
    <n v="28"/>
    <n v="1"/>
    <n v="0"/>
    <x v="1132"/>
    <n v="-9"/>
  </r>
  <r>
    <x v="25"/>
    <x v="25"/>
    <x v="1261"/>
    <x v="577"/>
    <n v="61"/>
    <n v="3"/>
    <n v="0"/>
    <x v="1136"/>
    <n v="7"/>
  </r>
  <r>
    <x v="25"/>
    <x v="26"/>
    <x v="1247"/>
    <x v="97"/>
    <n v="26"/>
    <n v="3"/>
    <n v="0"/>
    <x v="1137"/>
    <n v="0"/>
  </r>
  <r>
    <x v="25"/>
    <x v="27"/>
    <x v="1262"/>
    <x v="576"/>
    <n v="24"/>
    <n v="1"/>
    <n v="0"/>
    <x v="1137"/>
    <n v="-1"/>
  </r>
  <r>
    <x v="25"/>
    <x v="28"/>
    <x v="1263"/>
    <x v="576"/>
    <n v="27"/>
    <n v="2"/>
    <n v="-2"/>
    <x v="1133"/>
    <n v="-2"/>
  </r>
  <r>
    <x v="25"/>
    <x v="29"/>
    <x v="1252"/>
    <x v="576"/>
    <n v="28"/>
    <n v="0"/>
    <n v="0"/>
    <x v="760"/>
    <n v="0"/>
  </r>
  <r>
    <x v="25"/>
    <x v="30"/>
    <x v="1251"/>
    <x v="94"/>
    <n v="27"/>
    <n v="5"/>
    <n v="1"/>
    <x v="760"/>
    <n v="-1"/>
  </r>
  <r>
    <x v="25"/>
    <x v="31"/>
    <x v="1264"/>
    <x v="94"/>
    <n v="68"/>
    <n v="8"/>
    <n v="-1"/>
    <x v="756"/>
    <n v="-4"/>
  </r>
  <r>
    <x v="25"/>
    <x v="32"/>
    <x v="1265"/>
    <x v="94"/>
    <n v="62"/>
    <n v="4"/>
    <n v="4"/>
    <x v="1138"/>
    <n v="0"/>
  </r>
  <r>
    <x v="25"/>
    <x v="33"/>
    <x v="1266"/>
    <x v="33"/>
    <n v="54"/>
    <s v="n.a."/>
    <s v="n.a."/>
    <x v="1138"/>
    <n v="-512"/>
  </r>
  <r>
    <x v="25"/>
    <x v="34"/>
    <x v="1267"/>
    <x v="33"/>
    <n v="104"/>
    <s v="n.a."/>
    <s v="n.a."/>
    <x v="1139"/>
    <n v="-1487"/>
  </r>
  <r>
    <x v="25"/>
    <x v="35"/>
    <x v="1268"/>
    <x v="33"/>
    <n v="80"/>
    <s v="n.a."/>
    <s v="n.a."/>
    <x v="1140"/>
    <n v="3"/>
  </r>
  <r>
    <x v="25"/>
    <x v="36"/>
    <x v="1269"/>
    <x v="33"/>
    <n v="25"/>
    <s v="n.a."/>
    <s v="n.a."/>
    <x v="1141"/>
    <n v="3"/>
  </r>
  <r>
    <x v="25"/>
    <x v="37"/>
    <x v="1270"/>
    <x v="33"/>
    <n v="9"/>
    <s v="n.a."/>
    <s v="n.a."/>
    <x v="1142"/>
    <n v="4"/>
  </r>
  <r>
    <x v="25"/>
    <x v="38"/>
    <x v="837"/>
    <x v="33"/>
    <n v="8"/>
    <s v="n.a."/>
    <s v="n.a."/>
    <x v="1143"/>
    <n v="0"/>
  </r>
  <r>
    <x v="25"/>
    <x v="39"/>
    <x v="1271"/>
    <x v="33"/>
    <n v="5"/>
    <s v="n.a."/>
    <s v="n.a."/>
    <x v="1143"/>
    <n v="1"/>
  </r>
  <r>
    <x v="25"/>
    <x v="40"/>
    <x v="1272"/>
    <x v="33"/>
    <n v="4"/>
    <s v="n.a."/>
    <s v="n.a."/>
    <x v="1144"/>
    <n v="0"/>
  </r>
  <r>
    <x v="25"/>
    <x v="41"/>
    <x v="1273"/>
    <x v="33"/>
    <n v="3"/>
    <s v="n.a."/>
    <s v="n.a."/>
    <x v="1144"/>
    <n v="0"/>
  </r>
  <r>
    <x v="25"/>
    <x v="42"/>
    <x v="1274"/>
    <x v="33"/>
    <n v="2"/>
    <s v="n.a."/>
    <s v="n.a."/>
    <x v="1144"/>
    <n v="0"/>
  </r>
  <r>
    <x v="25"/>
    <x v="43"/>
    <x v="1274"/>
    <x v="33"/>
    <n v="2"/>
    <s v="n.a."/>
    <s v="n.a."/>
    <x v="1144"/>
    <n v="-1750"/>
  </r>
  <r>
    <x v="25"/>
    <x v="44"/>
    <x v="1275"/>
    <x v="33"/>
    <n v="2"/>
    <s v="n.a."/>
    <s v="n.a."/>
    <x v="1145"/>
    <n v="-750"/>
  </r>
  <r>
    <x v="25"/>
    <x v="45"/>
    <x v="67"/>
    <x v="33"/>
    <n v="2"/>
    <s v="n.a."/>
    <s v="n.a."/>
    <x v="1146"/>
    <n v="693"/>
  </r>
  <r>
    <x v="25"/>
    <x v="46"/>
    <x v="1276"/>
    <x v="33"/>
    <n v="102"/>
    <s v="n.a."/>
    <s v="n.a."/>
    <x v="1147"/>
    <n v="1500"/>
  </r>
  <r>
    <x v="25"/>
    <x v="47"/>
    <x v="1277"/>
    <x v="33"/>
    <n v="101"/>
    <s v="n.a."/>
    <s v="n.a."/>
    <x v="1148"/>
    <n v="-858"/>
  </r>
  <r>
    <x v="25"/>
    <x v="48"/>
    <x v="1278"/>
    <x v="33"/>
    <n v="554"/>
    <s v="n.a."/>
    <s v="n.a."/>
    <x v="1149"/>
    <n v="-548"/>
  </r>
  <r>
    <x v="25"/>
    <x v="49"/>
    <x v="1279"/>
    <x v="33"/>
    <n v="204"/>
    <s v="n.a."/>
    <s v="n.a."/>
    <x v="848"/>
    <n v="-87"/>
  </r>
  <r>
    <x v="25"/>
    <x v="50"/>
    <x v="1280"/>
    <x v="33"/>
    <n v="203"/>
    <s v="n.a."/>
    <s v="n.a."/>
    <x v="1150"/>
    <n v="100"/>
  </r>
  <r>
    <x v="25"/>
    <x v="51"/>
    <x v="1281"/>
    <x v="33"/>
    <n v="305"/>
    <s v="n.a."/>
    <s v="n.a."/>
    <x v="1151"/>
    <n v="0"/>
  </r>
  <r>
    <x v="25"/>
    <x v="52"/>
    <x v="1281"/>
    <x v="33"/>
    <n v="305"/>
    <s v="n.a."/>
    <s v="n.a."/>
    <x v="1151"/>
    <n v="201"/>
  </r>
  <r>
    <x v="25"/>
    <x v="53"/>
    <x v="1282"/>
    <x v="33"/>
    <n v="305"/>
    <s v="n.a."/>
    <s v="n.a."/>
    <x v="1152"/>
    <n v="-151"/>
  </r>
  <r>
    <x v="25"/>
    <x v="54"/>
    <x v="1283"/>
    <x v="33"/>
    <n v="306"/>
    <s v="n.a."/>
    <s v="n.a."/>
    <x v="1153"/>
    <n v="763"/>
  </r>
  <r>
    <x v="25"/>
    <x v="55"/>
    <x v="1284"/>
    <x v="33"/>
    <n v="1088"/>
    <s v="n.a."/>
    <s v="n.a."/>
    <x v="1154"/>
    <n v="-2562"/>
  </r>
  <r>
    <x v="25"/>
    <x v="56"/>
    <x v="1285"/>
    <x v="33"/>
    <n v="306"/>
    <s v="n.a."/>
    <s v="n.a."/>
    <x v="1155"/>
    <n v="2049"/>
  </r>
  <r>
    <x v="25"/>
    <x v="57"/>
    <x v="1286"/>
    <x v="33"/>
    <n v="2744"/>
    <s v="n.a."/>
    <s v="n.a."/>
    <x v="679"/>
    <n v="-1400"/>
  </r>
  <r>
    <x v="25"/>
    <x v="58"/>
    <x v="1287"/>
    <x v="33"/>
    <n v="1210"/>
    <s v="n.a."/>
    <s v="n.a."/>
    <x v="1156"/>
    <n v="1401"/>
  </r>
  <r>
    <x v="25"/>
    <x v="59"/>
    <x v="1288"/>
    <x v="33"/>
    <n v="1568"/>
    <s v="n.a."/>
    <s v="n.a."/>
    <x v="1157"/>
    <n v="-124"/>
  </r>
  <r>
    <x v="25"/>
    <x v="60"/>
    <x v="1289"/>
    <x v="33"/>
    <n v="2631"/>
    <s v="n.a."/>
    <s v="n.a."/>
    <x v="1158"/>
    <n v="974"/>
  </r>
  <r>
    <x v="25"/>
    <x v="61"/>
    <x v="1290"/>
    <x v="33"/>
    <n v="3413"/>
    <s v="n.a."/>
    <s v="n.a."/>
    <x v="1159"/>
    <n v="-651"/>
  </r>
  <r>
    <x v="25"/>
    <x v="62"/>
    <x v="1291"/>
    <x v="33"/>
    <n v="2657"/>
    <s v="n.a."/>
    <s v="n.a."/>
    <x v="1160"/>
    <n v="500"/>
  </r>
  <r>
    <x v="25"/>
    <x v="63"/>
    <x v="1292"/>
    <x v="33"/>
    <n v="3178"/>
    <s v="n.a."/>
    <s v="n.a."/>
    <x v="1161"/>
    <n v="-300"/>
  </r>
  <r>
    <x v="25"/>
    <x v="64"/>
    <x v="1293"/>
    <x v="33"/>
    <n v="2870"/>
    <s v="n.a."/>
    <s v="n.a."/>
    <x v="1162"/>
    <n v="1366"/>
  </r>
  <r>
    <x v="25"/>
    <x v="65"/>
    <x v="1294"/>
    <x v="33"/>
    <n v="3759"/>
    <s v="n.a."/>
    <s v="n.a."/>
    <x v="1163"/>
    <n v="-1204"/>
  </r>
  <r>
    <x v="25"/>
    <x v="66"/>
    <x v="1295"/>
    <x v="33"/>
    <n v="4014"/>
    <s v="n.a."/>
    <s v="n.a."/>
    <x v="1164"/>
    <n v="2366"/>
  </r>
  <r>
    <x v="25"/>
    <x v="67"/>
    <x v="1296"/>
    <x v="33"/>
    <n v="3381"/>
    <s v="n.a."/>
    <s v="n.a."/>
    <x v="152"/>
    <n v="-7804"/>
  </r>
  <r>
    <x v="25"/>
    <x v="68"/>
    <x v="1297"/>
    <x v="33"/>
    <n v="4309"/>
    <s v="n.a."/>
    <s v="n.a."/>
    <x v="449"/>
    <n v="1575"/>
  </r>
  <r>
    <x v="25"/>
    <x v="69"/>
    <x v="1298"/>
    <x v="33"/>
    <n v="3808"/>
    <s v="n.a."/>
    <s v="n.a."/>
    <x v="1165"/>
    <n v="998"/>
  </r>
  <r>
    <x v="26"/>
    <x v="0"/>
    <x v="481"/>
    <x v="33"/>
    <n v="13612"/>
    <n v="2607"/>
    <n v="20"/>
    <x v="461"/>
    <s v="n.a."/>
  </r>
  <r>
    <x v="26"/>
    <x v="1"/>
    <x v="481"/>
    <x v="33"/>
    <n v="11261"/>
    <n v="-254"/>
    <n v="153"/>
    <x v="461"/>
    <s v="n.a."/>
  </r>
  <r>
    <x v="26"/>
    <x v="2"/>
    <x v="481"/>
    <x v="33"/>
    <n v="13467"/>
    <n v="255"/>
    <n v="374"/>
    <x v="461"/>
    <s v="n.a."/>
  </r>
  <r>
    <x v="26"/>
    <x v="3"/>
    <x v="481"/>
    <x v="33"/>
    <n v="12715"/>
    <n v="-1"/>
    <n v="-285"/>
    <x v="461"/>
    <s v="n.a."/>
  </r>
  <r>
    <x v="26"/>
    <x v="4"/>
    <x v="481"/>
    <x v="33"/>
    <n v="12952"/>
    <n v="440"/>
    <n v="-60"/>
    <x v="461"/>
    <s v="n.a."/>
  </r>
  <r>
    <x v="26"/>
    <x v="5"/>
    <x v="481"/>
    <x v="33"/>
    <n v="15455"/>
    <n v="3827"/>
    <n v="223"/>
    <x v="461"/>
    <s v="n.a."/>
  </r>
  <r>
    <x v="26"/>
    <x v="6"/>
    <x v="481"/>
    <x v="33"/>
    <n v="11643"/>
    <n v="295"/>
    <n v="131"/>
    <x v="461"/>
    <s v="n.a."/>
  </r>
  <r>
    <x v="26"/>
    <x v="7"/>
    <x v="481"/>
    <x v="33"/>
    <n v="14499"/>
    <n v="2564"/>
    <n v="19"/>
    <x v="461"/>
    <s v="n.a."/>
  </r>
  <r>
    <x v="26"/>
    <x v="8"/>
    <x v="481"/>
    <x v="33"/>
    <n v="14597"/>
    <n v="1081"/>
    <n v="-844"/>
    <x v="461"/>
    <s v="n.a."/>
  </r>
  <r>
    <x v="26"/>
    <x v="9"/>
    <x v="481"/>
    <x v="33"/>
    <n v="15661"/>
    <n v="-631"/>
    <n v="13"/>
    <x v="461"/>
    <s v="n.a."/>
  </r>
  <r>
    <x v="26"/>
    <x v="10"/>
    <x v="481"/>
    <x v="33"/>
    <n v="16978"/>
    <n v="1355"/>
    <n v="85"/>
    <x v="461"/>
    <s v="n.a."/>
  </r>
  <r>
    <x v="26"/>
    <x v="11"/>
    <x v="481"/>
    <x v="33"/>
    <n v="15991"/>
    <n v="-454"/>
    <n v="315"/>
    <x v="461"/>
    <s v="n.a."/>
  </r>
  <r>
    <x v="26"/>
    <x v="12"/>
    <x v="481"/>
    <x v="33"/>
    <n v="16360"/>
    <n v="847"/>
    <n v="273"/>
    <x v="461"/>
    <s v="n.a."/>
  </r>
  <r>
    <x v="26"/>
    <x v="13"/>
    <x v="481"/>
    <x v="33"/>
    <n v="16543"/>
    <n v="-74"/>
    <n v="74"/>
    <x v="461"/>
    <s v="n.a."/>
  </r>
  <r>
    <x v="26"/>
    <x v="14"/>
    <x v="481"/>
    <x v="33"/>
    <n v="17847"/>
    <n v="4581"/>
    <n v="556"/>
    <x v="461"/>
    <s v="n.a."/>
  </r>
  <r>
    <x v="26"/>
    <x v="15"/>
    <x v="481"/>
    <x v="33"/>
    <n v="14605"/>
    <n v="711"/>
    <n v="-289"/>
    <x v="461"/>
    <s v="n.a."/>
  </r>
  <r>
    <x v="26"/>
    <x v="16"/>
    <x v="481"/>
    <x v="33"/>
    <n v="15413"/>
    <n v="1617"/>
    <n v="147"/>
    <x v="461"/>
    <s v="n.a."/>
  </r>
  <r>
    <x v="26"/>
    <x v="17"/>
    <x v="481"/>
    <x v="33"/>
    <n v="13754"/>
    <n v="399"/>
    <n v="51"/>
    <x v="461"/>
    <s v="n.a."/>
  </r>
  <r>
    <x v="26"/>
    <x v="18"/>
    <x v="481"/>
    <x v="33"/>
    <n v="15074"/>
    <n v="334"/>
    <n v="-843"/>
    <x v="461"/>
    <s v="n.a."/>
  </r>
  <r>
    <x v="26"/>
    <x v="19"/>
    <x v="481"/>
    <x v="33"/>
    <n v="15894"/>
    <n v="2211"/>
    <n v="465"/>
    <x v="461"/>
    <s v="n.a."/>
  </r>
  <r>
    <x v="26"/>
    <x v="20"/>
    <x v="481"/>
    <x v="33"/>
    <n v="13649"/>
    <n v="-182"/>
    <n v="-533"/>
    <x v="461"/>
    <s v="n.a."/>
  </r>
  <r>
    <x v="26"/>
    <x v="21"/>
    <x v="481"/>
    <x v="33"/>
    <n v="13816"/>
    <n v="-1120"/>
    <n v="-352"/>
    <x v="461"/>
    <s v="n.a."/>
  </r>
  <r>
    <x v="26"/>
    <x v="22"/>
    <x v="481"/>
    <x v="33"/>
    <n v="14897"/>
    <n v="-322"/>
    <n v="-1281"/>
    <x v="461"/>
    <s v="n.a."/>
  </r>
  <r>
    <x v="26"/>
    <x v="23"/>
    <x v="481"/>
    <x v="33"/>
    <n v="15600"/>
    <n v="2083"/>
    <n v="615"/>
    <x v="461"/>
    <s v="n.a."/>
  </r>
  <r>
    <x v="26"/>
    <x v="24"/>
    <x v="481"/>
    <x v="33"/>
    <n v="20807"/>
    <n v="-872"/>
    <n v="2138"/>
    <x v="461"/>
    <s v="n.a."/>
  </r>
  <r>
    <x v="26"/>
    <x v="25"/>
    <x v="481"/>
    <x v="33"/>
    <n v="21587"/>
    <n v="2007"/>
    <n v="-1559"/>
    <x v="461"/>
    <s v="n.a."/>
  </r>
  <r>
    <x v="26"/>
    <x v="26"/>
    <x v="481"/>
    <x v="33"/>
    <n v="19502"/>
    <n v="1137"/>
    <n v="897"/>
    <x v="461"/>
    <s v="n.a."/>
  </r>
  <r>
    <x v="26"/>
    <x v="27"/>
    <x v="481"/>
    <x v="33"/>
    <n v="18275"/>
    <n v="-730"/>
    <n v="1569"/>
    <x v="461"/>
    <s v="n.a."/>
  </r>
  <r>
    <x v="26"/>
    <x v="28"/>
    <x v="481"/>
    <x v="33"/>
    <n v="18934"/>
    <n v="1429"/>
    <n v="509"/>
    <x v="461"/>
    <s v="n.a."/>
  </r>
  <r>
    <x v="26"/>
    <x v="29"/>
    <x v="481"/>
    <x v="33"/>
    <n v="17464"/>
    <n v="-101"/>
    <n v="34"/>
    <x v="461"/>
    <s v="n.a."/>
  </r>
  <r>
    <x v="26"/>
    <x v="30"/>
    <x v="481"/>
    <x v="33"/>
    <n v="17558"/>
    <n v="3266"/>
    <n v="73"/>
    <x v="461"/>
    <s v="n.a."/>
  </r>
  <r>
    <x v="26"/>
    <x v="31"/>
    <x v="481"/>
    <x v="33"/>
    <n v="14262"/>
    <n v="-1480"/>
    <n v="-50"/>
    <x v="461"/>
    <s v="n.a."/>
  </r>
  <r>
    <x v="26"/>
    <x v="32"/>
    <x v="481"/>
    <x v="33"/>
    <n v="15664"/>
    <n v="876"/>
    <n v="173"/>
    <x v="461"/>
    <s v="n.a."/>
  </r>
  <r>
    <x v="26"/>
    <x v="33"/>
    <x v="481"/>
    <x v="33"/>
    <n v="14727"/>
    <s v="n.a."/>
    <s v="n.a."/>
    <x v="461"/>
    <s v="n.a."/>
  </r>
  <r>
    <x v="26"/>
    <x v="34"/>
    <x v="481"/>
    <x v="33"/>
    <n v="15955"/>
    <s v="n.a."/>
    <s v="n.a."/>
    <x v="461"/>
    <s v="n.a."/>
  </r>
  <r>
    <x v="26"/>
    <x v="35"/>
    <x v="481"/>
    <x v="33"/>
    <n v="14130"/>
    <s v="n.a."/>
    <s v="n.a."/>
    <x v="461"/>
    <s v="n.a."/>
  </r>
  <r>
    <x v="26"/>
    <x v="36"/>
    <x v="481"/>
    <x v="33"/>
    <n v="10654"/>
    <s v="n.a."/>
    <s v="n.a."/>
    <x v="461"/>
    <s v="n.a."/>
  </r>
  <r>
    <x v="26"/>
    <x v="37"/>
    <x v="481"/>
    <x v="33"/>
    <n v="11294"/>
    <s v="n.a."/>
    <s v="n.a."/>
    <x v="461"/>
    <s v="n.a."/>
  </r>
  <r>
    <x v="26"/>
    <x v="38"/>
    <x v="481"/>
    <x v="33"/>
    <n v="8922"/>
    <s v="n.a."/>
    <s v="n.a."/>
    <x v="461"/>
    <s v="n.a."/>
  </r>
  <r>
    <x v="26"/>
    <x v="39"/>
    <x v="481"/>
    <x v="33"/>
    <n v="7597"/>
    <s v="n.a."/>
    <s v="n.a."/>
    <x v="461"/>
    <s v="n.a."/>
  </r>
  <r>
    <x v="26"/>
    <x v="40"/>
    <x v="481"/>
    <x v="33"/>
    <n v="7887"/>
    <s v="n.a."/>
    <s v="n.a."/>
    <x v="461"/>
    <s v="n.a."/>
  </r>
  <r>
    <x v="26"/>
    <x v="41"/>
    <x v="481"/>
    <x v="33"/>
    <n v="10579"/>
    <s v="n.a."/>
    <s v="n.a."/>
    <x v="461"/>
    <s v="n.a."/>
  </r>
  <r>
    <x v="26"/>
    <x v="42"/>
    <x v="481"/>
    <x v="33"/>
    <n v="12168"/>
    <s v="n.a."/>
    <s v="n.a."/>
    <x v="461"/>
    <s v="n.a."/>
  </r>
  <r>
    <x v="26"/>
    <x v="43"/>
    <x v="481"/>
    <x v="33"/>
    <n v="12421"/>
    <s v="n.a."/>
    <s v="n.a."/>
    <x v="461"/>
    <s v="n.a."/>
  </r>
  <r>
    <x v="26"/>
    <x v="44"/>
    <x v="481"/>
    <x v="33"/>
    <n v="13702"/>
    <s v="n.a."/>
    <s v="n.a."/>
    <x v="461"/>
    <s v="n.a."/>
  </r>
  <r>
    <x v="26"/>
    <x v="45"/>
    <x v="481"/>
    <x v="33"/>
    <n v="15078"/>
    <s v="n.a."/>
    <s v="n.a."/>
    <x v="461"/>
    <s v="n.a."/>
  </r>
  <r>
    <x v="26"/>
    <x v="46"/>
    <x v="481"/>
    <x v="33"/>
    <n v="15750"/>
    <s v="n.a."/>
    <s v="n.a."/>
    <x v="461"/>
    <s v="n.a."/>
  </r>
  <r>
    <x v="26"/>
    <x v="47"/>
    <x v="481"/>
    <x v="33"/>
    <n v="14786"/>
    <s v="n.a."/>
    <s v="n.a."/>
    <x v="461"/>
    <s v="n.a."/>
  </r>
  <r>
    <x v="26"/>
    <x v="48"/>
    <x v="481"/>
    <x v="33"/>
    <n v="13955"/>
    <s v="n.a."/>
    <s v="n.a."/>
    <x v="461"/>
    <s v="n.a."/>
  </r>
  <r>
    <x v="26"/>
    <x v="49"/>
    <x v="481"/>
    <x v="33"/>
    <n v="7548"/>
    <s v="n.a."/>
    <s v="n.a."/>
    <x v="461"/>
    <s v="n.a."/>
  </r>
  <r>
    <x v="26"/>
    <x v="50"/>
    <x v="481"/>
    <x v="33"/>
    <n v="6640"/>
    <s v="n.a."/>
    <s v="n.a."/>
    <x v="461"/>
    <s v="n.a."/>
  </r>
  <r>
    <x v="26"/>
    <x v="51"/>
    <x v="481"/>
    <x v="33"/>
    <n v="6620"/>
    <s v="n.a."/>
    <s v="n.a."/>
    <x v="461"/>
    <s v="n.a."/>
  </r>
  <r>
    <x v="26"/>
    <x v="52"/>
    <x v="481"/>
    <x v="33"/>
    <n v="6028"/>
    <s v="n.a."/>
    <s v="n.a."/>
    <x v="461"/>
    <s v="n.a."/>
  </r>
  <r>
    <x v="26"/>
    <x v="53"/>
    <x v="481"/>
    <x v="33"/>
    <n v="5885"/>
    <s v="n.a."/>
    <s v="n.a."/>
    <x v="461"/>
    <s v="n.a."/>
  </r>
  <r>
    <x v="26"/>
    <x v="54"/>
    <x v="481"/>
    <x v="33"/>
    <n v="5205"/>
    <s v="n.a."/>
    <s v="n.a."/>
    <x v="461"/>
    <s v="n.a."/>
  </r>
  <r>
    <x v="26"/>
    <x v="55"/>
    <x v="481"/>
    <x v="33"/>
    <n v="5329"/>
    <s v="n.a."/>
    <s v="n.a."/>
    <x v="461"/>
    <s v="n.a."/>
  </r>
  <r>
    <x v="26"/>
    <x v="56"/>
    <x v="481"/>
    <x v="33"/>
    <n v="5636"/>
    <s v="n.a."/>
    <s v="n.a."/>
    <x v="461"/>
    <s v="n.a."/>
  </r>
  <r>
    <x v="26"/>
    <x v="57"/>
    <x v="481"/>
    <x v="33"/>
    <n v="5527"/>
    <s v="n.a."/>
    <s v="n.a."/>
    <x v="461"/>
    <s v="n.a."/>
  </r>
  <r>
    <x v="26"/>
    <x v="58"/>
    <x v="481"/>
    <x v="33"/>
    <n v="5302"/>
    <s v="n.a."/>
    <s v="n.a."/>
    <x v="461"/>
    <s v="n.a."/>
  </r>
  <r>
    <x v="26"/>
    <x v="59"/>
    <x v="481"/>
    <x v="33"/>
    <n v="5319"/>
    <s v="n.a."/>
    <s v="n.a."/>
    <x v="461"/>
    <s v="n.a."/>
  </r>
  <r>
    <x v="26"/>
    <x v="60"/>
    <x v="481"/>
    <x v="33"/>
    <n v="5352"/>
    <s v="n.a."/>
    <s v="n.a."/>
    <x v="461"/>
    <s v="n.a."/>
  </r>
  <r>
    <x v="26"/>
    <x v="61"/>
    <x v="481"/>
    <x v="33"/>
    <n v="5416"/>
    <s v="n.a."/>
    <s v="n.a."/>
    <x v="461"/>
    <s v="n.a."/>
  </r>
  <r>
    <x v="26"/>
    <x v="62"/>
    <x v="481"/>
    <x v="33"/>
    <n v="5504"/>
    <s v="n.a."/>
    <s v="n.a."/>
    <x v="461"/>
    <s v="n.a."/>
  </r>
  <r>
    <x v="26"/>
    <x v="63"/>
    <x v="481"/>
    <x v="33"/>
    <n v="6075"/>
    <s v="n.a."/>
    <s v="n.a."/>
    <x v="461"/>
    <s v="n.a."/>
  </r>
  <r>
    <x v="26"/>
    <x v="64"/>
    <x v="481"/>
    <x v="33"/>
    <n v="5664"/>
    <s v="n.a."/>
    <s v="n.a."/>
    <x v="461"/>
    <s v="n.a."/>
  </r>
  <r>
    <x v="26"/>
    <x v="65"/>
    <x v="481"/>
    <x v="33"/>
    <n v="4793"/>
    <s v="n.a."/>
    <s v="n.a."/>
    <x v="461"/>
    <s v="n.a."/>
  </r>
  <r>
    <x v="26"/>
    <x v="66"/>
    <x v="481"/>
    <x v="33"/>
    <n v="4551"/>
    <s v="n.a."/>
    <s v="n.a."/>
    <x v="461"/>
    <s v="n.a."/>
  </r>
  <r>
    <x v="26"/>
    <x v="67"/>
    <x v="481"/>
    <x v="33"/>
    <n v="5765"/>
    <s v="n.a."/>
    <s v="n.a."/>
    <x v="461"/>
    <s v="n.a."/>
  </r>
  <r>
    <x v="26"/>
    <x v="68"/>
    <x v="481"/>
    <x v="33"/>
    <n v="6629"/>
    <s v="n.a."/>
    <s v="n.a."/>
    <x v="461"/>
    <s v="n.a."/>
  </r>
  <r>
    <x v="26"/>
    <x v="69"/>
    <x v="481"/>
    <x v="33"/>
    <n v="6268"/>
    <s v="n.a."/>
    <s v="n.a."/>
    <x v="461"/>
    <s v="n.a."/>
  </r>
  <r>
    <x v="27"/>
    <x v="0"/>
    <x v="1299"/>
    <x v="581"/>
    <n v="3689"/>
    <n v="208"/>
    <n v="1"/>
    <x v="1166"/>
    <n v="338"/>
  </r>
  <r>
    <x v="27"/>
    <x v="1"/>
    <x v="1300"/>
    <x v="582"/>
    <n v="3485"/>
    <n v="-229"/>
    <n v="-1"/>
    <x v="1167"/>
    <n v="-1113"/>
  </r>
  <r>
    <x v="27"/>
    <x v="2"/>
    <x v="1301"/>
    <x v="583"/>
    <n v="3718"/>
    <n v="10"/>
    <n v="5"/>
    <x v="1168"/>
    <n v="409"/>
  </r>
  <r>
    <x v="27"/>
    <x v="3"/>
    <x v="1302"/>
    <x v="584"/>
    <n v="3519"/>
    <n v="457"/>
    <n v="-25"/>
    <x v="1169"/>
    <n v="-1485"/>
  </r>
  <r>
    <x v="27"/>
    <x v="4"/>
    <x v="1303"/>
    <x v="403"/>
    <n v="3087"/>
    <n v="-72"/>
    <n v="12"/>
    <x v="1170"/>
    <n v="60"/>
  </r>
  <r>
    <x v="27"/>
    <x v="5"/>
    <x v="1304"/>
    <x v="585"/>
    <n v="3185"/>
    <n v="299"/>
    <n v="-20"/>
    <x v="1171"/>
    <n v="1413"/>
  </r>
  <r>
    <x v="27"/>
    <x v="6"/>
    <x v="1305"/>
    <x v="586"/>
    <n v="3104"/>
    <n v="59"/>
    <n v="-133"/>
    <x v="1172"/>
    <n v="-1012"/>
  </r>
  <r>
    <x v="27"/>
    <x v="7"/>
    <x v="1306"/>
    <x v="587"/>
    <n v="3262"/>
    <n v="-98"/>
    <n v="-50"/>
    <x v="1173"/>
    <n v="124"/>
  </r>
  <r>
    <x v="27"/>
    <x v="8"/>
    <x v="1307"/>
    <x v="588"/>
    <n v="3482"/>
    <n v="55"/>
    <n v="-67"/>
    <x v="1174"/>
    <n v="2600"/>
  </r>
  <r>
    <x v="27"/>
    <x v="9"/>
    <x v="1308"/>
    <x v="589"/>
    <n v="3603"/>
    <n v="164"/>
    <n v="-29"/>
    <x v="1175"/>
    <n v="480"/>
  </r>
  <r>
    <x v="27"/>
    <x v="10"/>
    <x v="1309"/>
    <x v="590"/>
    <n v="3624"/>
    <n v="105"/>
    <n v="-22"/>
    <x v="1176"/>
    <n v="-1388"/>
  </r>
  <r>
    <x v="27"/>
    <x v="11"/>
    <x v="1310"/>
    <x v="591"/>
    <n v="2851"/>
    <n v="338"/>
    <n v="-1"/>
    <x v="1177"/>
    <n v="-1323"/>
  </r>
  <r>
    <x v="27"/>
    <x v="12"/>
    <x v="1311"/>
    <x v="592"/>
    <n v="2517"/>
    <n v="260"/>
    <n v="-34"/>
    <x v="1178"/>
    <n v="1133"/>
  </r>
  <r>
    <x v="27"/>
    <x v="13"/>
    <x v="306"/>
    <x v="593"/>
    <n v="2276"/>
    <n v="-27"/>
    <n v="-37"/>
    <x v="1179"/>
    <n v="153"/>
  </r>
  <r>
    <x v="27"/>
    <x v="14"/>
    <x v="1312"/>
    <x v="594"/>
    <n v="2371"/>
    <n v="107"/>
    <n v="15"/>
    <x v="1180"/>
    <n v="-303"/>
  </r>
  <r>
    <x v="27"/>
    <x v="15"/>
    <x v="1313"/>
    <x v="595"/>
    <n v="2248"/>
    <n v="-138"/>
    <n v="26"/>
    <x v="1181"/>
    <n v="-523"/>
  </r>
  <r>
    <x v="27"/>
    <x v="16"/>
    <x v="1314"/>
    <x v="596"/>
    <n v="2371"/>
    <n v="-114"/>
    <n v="13"/>
    <x v="1182"/>
    <n v="-1417"/>
  </r>
  <r>
    <x v="27"/>
    <x v="17"/>
    <x v="1315"/>
    <x v="597"/>
    <n v="2720"/>
    <n v="1084"/>
    <n v="3"/>
    <x v="1183"/>
    <n v="-2418"/>
  </r>
  <r>
    <x v="27"/>
    <x v="18"/>
    <x v="1316"/>
    <x v="598"/>
    <n v="1653"/>
    <n v="507"/>
    <n v="-11"/>
    <x v="1184"/>
    <n v="-1132"/>
  </r>
  <r>
    <x v="27"/>
    <x v="19"/>
    <x v="1317"/>
    <x v="599"/>
    <n v="1182"/>
    <n v="74"/>
    <n v="1"/>
    <x v="1185"/>
    <n v="458"/>
  </r>
  <r>
    <x v="27"/>
    <x v="20"/>
    <x v="1318"/>
    <x v="405"/>
    <n v="1132"/>
    <n v="-1001"/>
    <n v="8"/>
    <x v="1186"/>
    <n v="1258"/>
  </r>
  <r>
    <x v="27"/>
    <x v="21"/>
    <x v="1319"/>
    <x v="600"/>
    <n v="2132"/>
    <n v="-82"/>
    <n v="4"/>
    <x v="1187"/>
    <n v="-569"/>
  </r>
  <r>
    <x v="27"/>
    <x v="22"/>
    <x v="1320"/>
    <x v="601"/>
    <n v="2221"/>
    <n v="144"/>
    <n v="11"/>
    <x v="1188"/>
    <n v="106"/>
  </r>
  <r>
    <x v="27"/>
    <x v="23"/>
    <x v="1321"/>
    <x v="602"/>
    <n v="2065"/>
    <n v="-581"/>
    <n v="24"/>
    <x v="1189"/>
    <n v="-629"/>
  </r>
  <r>
    <x v="27"/>
    <x v="24"/>
    <x v="1322"/>
    <x v="603"/>
    <n v="2925"/>
    <n v="-47"/>
    <n v="3"/>
    <x v="1190"/>
    <n v="-1959"/>
  </r>
  <r>
    <x v="27"/>
    <x v="25"/>
    <x v="1323"/>
    <x v="455"/>
    <n v="3002"/>
    <n v="149"/>
    <n v="2"/>
    <x v="1191"/>
    <n v="-709"/>
  </r>
  <r>
    <x v="27"/>
    <x v="26"/>
    <x v="1324"/>
    <x v="604"/>
    <n v="2852"/>
    <n v="475"/>
    <n v="14"/>
    <x v="1192"/>
    <n v="-1445"/>
  </r>
  <r>
    <x v="27"/>
    <x v="27"/>
    <x v="1325"/>
    <x v="605"/>
    <n v="2382"/>
    <n v="117"/>
    <n v="-7"/>
    <x v="1193"/>
    <n v="200"/>
  </r>
  <r>
    <x v="27"/>
    <x v="28"/>
    <x v="1326"/>
    <x v="606"/>
    <n v="2299"/>
    <n v="-211"/>
    <n v="4"/>
    <x v="1194"/>
    <n v="348"/>
  </r>
  <r>
    <x v="27"/>
    <x v="29"/>
    <x v="1327"/>
    <x v="607"/>
    <n v="2506"/>
    <n v="55"/>
    <n v="-7"/>
    <x v="1195"/>
    <n v="1441"/>
  </r>
  <r>
    <x v="27"/>
    <x v="30"/>
    <x v="1328"/>
    <x v="608"/>
    <n v="2459"/>
    <n v="143"/>
    <n v="-4"/>
    <x v="1196"/>
    <n v="-760"/>
  </r>
  <r>
    <x v="27"/>
    <x v="31"/>
    <x v="1329"/>
    <x v="609"/>
    <n v="2689"/>
    <n v="-320"/>
    <n v="29"/>
    <x v="1197"/>
    <n v="-624"/>
  </r>
  <r>
    <x v="27"/>
    <x v="32"/>
    <x v="1330"/>
    <x v="610"/>
    <n v="2930"/>
    <n v="258"/>
    <n v="-17"/>
    <x v="1198"/>
    <n v="2335"/>
  </r>
  <r>
    <x v="27"/>
    <x v="33"/>
    <x v="1331"/>
    <x v="33"/>
    <n v="2687"/>
    <s v="n.a."/>
    <s v="n.a."/>
    <x v="1199"/>
    <n v="-415"/>
  </r>
  <r>
    <x v="27"/>
    <x v="34"/>
    <x v="1332"/>
    <x v="33"/>
    <n v="2672"/>
    <s v="n.a."/>
    <s v="n.a."/>
    <x v="1200"/>
    <n v="4170"/>
  </r>
  <r>
    <x v="27"/>
    <x v="35"/>
    <x v="1333"/>
    <x v="33"/>
    <n v="2344"/>
    <s v="n.a."/>
    <s v="n.a."/>
    <x v="1201"/>
    <n v="-1437"/>
  </r>
  <r>
    <x v="27"/>
    <x v="36"/>
    <x v="1334"/>
    <x v="33"/>
    <n v="2286"/>
    <s v="n.a."/>
    <s v="n.a."/>
    <x v="1202"/>
    <n v="-981"/>
  </r>
  <r>
    <x v="27"/>
    <x v="37"/>
    <x v="1335"/>
    <x v="33"/>
    <n v="2226"/>
    <s v="n.a."/>
    <s v="n.a."/>
    <x v="1203"/>
    <n v="411"/>
  </r>
  <r>
    <x v="27"/>
    <x v="38"/>
    <x v="1336"/>
    <x v="33"/>
    <n v="1060"/>
    <s v="n.a."/>
    <s v="n.a."/>
    <x v="1204"/>
    <n v="1472"/>
  </r>
  <r>
    <x v="27"/>
    <x v="39"/>
    <x v="1337"/>
    <x v="33"/>
    <n v="852"/>
    <s v="n.a."/>
    <s v="n.a."/>
    <x v="1205"/>
    <n v="-421"/>
  </r>
  <r>
    <x v="27"/>
    <x v="40"/>
    <x v="1338"/>
    <x v="33"/>
    <n v="581"/>
    <s v="n.a."/>
    <s v="n.a."/>
    <x v="1206"/>
    <n v="62"/>
  </r>
  <r>
    <x v="27"/>
    <x v="41"/>
    <x v="1339"/>
    <x v="33"/>
    <n v="405"/>
    <s v="n.a."/>
    <s v="n.a."/>
    <x v="1207"/>
    <n v="3101"/>
  </r>
  <r>
    <x v="27"/>
    <x v="42"/>
    <x v="1340"/>
    <x v="33"/>
    <n v="406"/>
    <s v="n.a."/>
    <s v="n.a."/>
    <x v="1208"/>
    <n v="257"/>
  </r>
  <r>
    <x v="27"/>
    <x v="43"/>
    <x v="1341"/>
    <x v="33"/>
    <n v="52"/>
    <s v="n.a."/>
    <s v="n.a."/>
    <x v="1209"/>
    <n v="-576"/>
  </r>
  <r>
    <x v="27"/>
    <x v="44"/>
    <x v="1342"/>
    <x v="33"/>
    <n v="44"/>
    <s v="n.a."/>
    <s v="n.a."/>
    <x v="1210"/>
    <n v="1972"/>
  </r>
  <r>
    <x v="27"/>
    <x v="45"/>
    <x v="1343"/>
    <x v="33"/>
    <n v="51"/>
    <s v="n.a."/>
    <s v="n.a."/>
    <x v="206"/>
    <n v="-600"/>
  </r>
  <r>
    <x v="27"/>
    <x v="46"/>
    <x v="1344"/>
    <x v="33"/>
    <n v="51"/>
    <s v="n.a."/>
    <s v="n.a."/>
    <x v="1211"/>
    <n v="1124"/>
  </r>
  <r>
    <x v="27"/>
    <x v="47"/>
    <x v="1345"/>
    <x v="33"/>
    <n v="51"/>
    <s v="n.a."/>
    <s v="n.a."/>
    <x v="1212"/>
    <n v="11"/>
  </r>
  <r>
    <x v="27"/>
    <x v="48"/>
    <x v="1346"/>
    <x v="33"/>
    <n v="328"/>
    <s v="n.a."/>
    <s v="n.a."/>
    <x v="1213"/>
    <n v="100"/>
  </r>
  <r>
    <x v="27"/>
    <x v="49"/>
    <x v="1347"/>
    <x v="33"/>
    <n v="329"/>
    <s v="n.a."/>
    <s v="n.a."/>
    <x v="1214"/>
    <n v="1211"/>
  </r>
  <r>
    <x v="27"/>
    <x v="50"/>
    <x v="1348"/>
    <x v="33"/>
    <n v="601"/>
    <s v="n.a."/>
    <s v="n.a."/>
    <x v="1215"/>
    <n v="349"/>
  </r>
  <r>
    <x v="27"/>
    <x v="51"/>
    <x v="1349"/>
    <x v="33"/>
    <n v="1191"/>
    <s v="n.a."/>
    <s v="n.a."/>
    <x v="1216"/>
    <n v="13"/>
  </r>
  <r>
    <x v="27"/>
    <x v="52"/>
    <x v="1350"/>
    <x v="33"/>
    <n v="1209"/>
    <s v="n.a."/>
    <s v="n.a."/>
    <x v="1217"/>
    <n v="-519"/>
  </r>
  <r>
    <x v="27"/>
    <x v="53"/>
    <x v="1351"/>
    <x v="33"/>
    <n v="1190"/>
    <s v="n.a."/>
    <s v="n.a."/>
    <x v="1218"/>
    <n v="-481"/>
  </r>
  <r>
    <x v="27"/>
    <x v="54"/>
    <x v="1352"/>
    <x v="33"/>
    <n v="1191"/>
    <s v="n.a."/>
    <s v="n.a."/>
    <x v="1219"/>
    <n v="-800"/>
  </r>
  <r>
    <x v="27"/>
    <x v="55"/>
    <x v="1353"/>
    <x v="33"/>
    <n v="1192"/>
    <s v="n.a."/>
    <s v="n.a."/>
    <x v="1220"/>
    <n v="223"/>
  </r>
  <r>
    <x v="27"/>
    <x v="56"/>
    <x v="1354"/>
    <x v="33"/>
    <n v="1193"/>
    <s v="n.a."/>
    <s v="n.a."/>
    <x v="1221"/>
    <n v="2"/>
  </r>
  <r>
    <x v="27"/>
    <x v="57"/>
    <x v="1355"/>
    <x v="33"/>
    <n v="1200"/>
    <s v="n.a."/>
    <s v="n.a."/>
    <x v="1222"/>
    <n v="-393"/>
  </r>
  <r>
    <x v="27"/>
    <x v="58"/>
    <x v="1356"/>
    <x v="33"/>
    <n v="1196"/>
    <s v="n.a."/>
    <s v="n.a."/>
    <x v="1223"/>
    <n v="-1299"/>
  </r>
  <r>
    <x v="27"/>
    <x v="59"/>
    <x v="1357"/>
    <x v="33"/>
    <n v="1195"/>
    <s v="n.a."/>
    <s v="n.a."/>
    <x v="1224"/>
    <n v="565"/>
  </r>
  <r>
    <x v="27"/>
    <x v="60"/>
    <x v="1358"/>
    <x v="33"/>
    <n v="1174"/>
    <s v="n.a."/>
    <s v="n.a."/>
    <x v="213"/>
    <n v="710"/>
  </r>
  <r>
    <x v="27"/>
    <x v="61"/>
    <x v="1359"/>
    <x v="33"/>
    <n v="82"/>
    <s v="n.a."/>
    <s v="n.a."/>
    <x v="1225"/>
    <n v="-951"/>
  </r>
  <r>
    <x v="27"/>
    <x v="62"/>
    <x v="1360"/>
    <x v="33"/>
    <n v="82"/>
    <s v="n.a."/>
    <s v="n.a."/>
    <x v="1226"/>
    <n v="-704"/>
  </r>
  <r>
    <x v="27"/>
    <x v="63"/>
    <x v="1361"/>
    <x v="33"/>
    <n v="81"/>
    <s v="n.a."/>
    <s v="n.a."/>
    <x v="1227"/>
    <n v="-1282"/>
  </r>
  <r>
    <x v="27"/>
    <x v="64"/>
    <x v="1362"/>
    <x v="33"/>
    <n v="81"/>
    <s v="n.a."/>
    <s v="n.a."/>
    <x v="1228"/>
    <n v="-230"/>
  </r>
  <r>
    <x v="27"/>
    <x v="65"/>
    <x v="1363"/>
    <x v="33"/>
    <n v="81"/>
    <s v="n.a."/>
    <s v="n.a."/>
    <x v="1229"/>
    <n v="-65"/>
  </r>
  <r>
    <x v="27"/>
    <x v="66"/>
    <x v="1364"/>
    <x v="33"/>
    <n v="80"/>
    <s v="n.a."/>
    <s v="n.a."/>
    <x v="1230"/>
    <n v="107"/>
  </r>
  <r>
    <x v="27"/>
    <x v="67"/>
    <x v="1365"/>
    <x v="33"/>
    <n v="1"/>
    <s v="n.a."/>
    <s v="n.a."/>
    <x v="1231"/>
    <n v="-1100"/>
  </r>
  <r>
    <x v="27"/>
    <x v="68"/>
    <x v="1366"/>
    <x v="33"/>
    <n v="0"/>
    <s v="n.a."/>
    <s v="n.a."/>
    <x v="1232"/>
    <n v="-1691"/>
  </r>
  <r>
    <x v="27"/>
    <x v="69"/>
    <x v="1367"/>
    <x v="33"/>
    <n v="26"/>
    <s v="n.a."/>
    <s v="n.a."/>
    <x v="1233"/>
    <n v="88"/>
  </r>
  <r>
    <x v="28"/>
    <x v="0"/>
    <x v="1368"/>
    <x v="611"/>
    <n v="3090227"/>
    <n v="11645"/>
    <n v="-4643"/>
    <x v="1234"/>
    <n v="-7429"/>
  </r>
  <r>
    <x v="28"/>
    <x v="1"/>
    <x v="1369"/>
    <x v="612"/>
    <n v="3057695"/>
    <n v="-485"/>
    <n v="7645"/>
    <x v="1235"/>
    <n v="-13371"/>
  </r>
  <r>
    <x v="28"/>
    <x v="2"/>
    <x v="1370"/>
    <x v="613"/>
    <n v="3089781"/>
    <n v="20106"/>
    <n v="8255"/>
    <x v="1236"/>
    <n v="18818"/>
  </r>
  <r>
    <x v="28"/>
    <x v="3"/>
    <x v="1371"/>
    <x v="614"/>
    <n v="3049693"/>
    <n v="100158"/>
    <n v="-27188"/>
    <x v="1237"/>
    <n v="4026"/>
  </r>
  <r>
    <x v="28"/>
    <x v="4"/>
    <x v="1372"/>
    <x v="615"/>
    <n v="2951073"/>
    <n v="14144"/>
    <n v="11842"/>
    <x v="1238"/>
    <n v="6917"/>
  </r>
  <r>
    <x v="28"/>
    <x v="5"/>
    <x v="1373"/>
    <x v="616"/>
    <n v="2907200"/>
    <n v="30617"/>
    <n v="-29860"/>
    <x v="1239"/>
    <n v="1390"/>
  </r>
  <r>
    <x v="28"/>
    <x v="6"/>
    <x v="1374"/>
    <x v="617"/>
    <n v="2928981"/>
    <n v="14344"/>
    <n v="4823"/>
    <x v="1240"/>
    <n v="-16633"/>
  </r>
  <r>
    <x v="28"/>
    <x v="7"/>
    <x v="1375"/>
    <x v="618"/>
    <n v="2882899"/>
    <n v="109246"/>
    <n v="-7105"/>
    <x v="1241"/>
    <n v="2506"/>
  </r>
  <r>
    <x v="28"/>
    <x v="8"/>
    <x v="1376"/>
    <x v="619"/>
    <n v="2772803"/>
    <n v="5887"/>
    <n v="29062"/>
    <x v="1242"/>
    <n v="5469"/>
  </r>
  <r>
    <x v="28"/>
    <x v="9"/>
    <x v="1377"/>
    <x v="620"/>
    <n v="2725396"/>
    <n v="37470"/>
    <n v="4671"/>
    <x v="1243"/>
    <n v="-10358"/>
  </r>
  <r>
    <x v="28"/>
    <x v="10"/>
    <x v="1378"/>
    <x v="621"/>
    <n v="2688374"/>
    <n v="-12126"/>
    <n v="-20883"/>
    <x v="1244"/>
    <n v="-9700"/>
  </r>
  <r>
    <x v="28"/>
    <x v="11"/>
    <x v="1379"/>
    <x v="622"/>
    <n v="2726610"/>
    <n v="7064"/>
    <n v="12323"/>
    <x v="1245"/>
    <n v="10362"/>
  </r>
  <r>
    <x v="28"/>
    <x v="12"/>
    <x v="1380"/>
    <x v="623"/>
    <n v="2693146"/>
    <n v="-9196"/>
    <n v="-38500"/>
    <x v="1246"/>
    <n v="5655"/>
  </r>
  <r>
    <x v="28"/>
    <x v="13"/>
    <x v="1381"/>
    <x v="624"/>
    <n v="2770232"/>
    <n v="52081"/>
    <n v="27536"/>
    <x v="1247"/>
    <n v="10036"/>
  </r>
  <r>
    <x v="28"/>
    <x v="14"/>
    <x v="1382"/>
    <x v="625"/>
    <n v="2650358"/>
    <n v="35864"/>
    <n v="24727"/>
    <x v="1248"/>
    <n v="21408"/>
  </r>
  <r>
    <x v="28"/>
    <x v="15"/>
    <x v="1383"/>
    <x v="626"/>
    <n v="2588232"/>
    <n v="1220"/>
    <n v="33483"/>
    <x v="1249"/>
    <n v="5229"/>
  </r>
  <r>
    <x v="28"/>
    <x v="16"/>
    <x v="1384"/>
    <x v="627"/>
    <n v="2575622"/>
    <n v="21816"/>
    <n v="35783"/>
    <x v="1250"/>
    <n v="-11302"/>
  </r>
  <r>
    <x v="28"/>
    <x v="17"/>
    <x v="1385"/>
    <x v="628"/>
    <n v="2497157"/>
    <n v="38545"/>
    <n v="13850"/>
    <x v="1251"/>
    <n v="-2064"/>
  </r>
  <r>
    <x v="28"/>
    <x v="18"/>
    <x v="1386"/>
    <x v="629"/>
    <n v="2449001"/>
    <n v="9157"/>
    <n v="-24764"/>
    <x v="1252"/>
    <n v="-10917"/>
  </r>
  <r>
    <x v="28"/>
    <x v="19"/>
    <x v="1387"/>
    <x v="630"/>
    <n v="2476135"/>
    <n v="36091"/>
    <n v="12013"/>
    <x v="1253"/>
    <n v="-4866"/>
  </r>
  <r>
    <x v="28"/>
    <x v="20"/>
    <x v="1388"/>
    <x v="631"/>
    <n v="2416328"/>
    <n v="32281"/>
    <n v="-9645"/>
    <x v="1254"/>
    <n v="19605"/>
  </r>
  <r>
    <x v="28"/>
    <x v="21"/>
    <x v="1389"/>
    <x v="632"/>
    <n v="2385167"/>
    <n v="37885"/>
    <n v="174"/>
    <x v="1255"/>
    <n v="-31367"/>
  </r>
  <r>
    <x v="28"/>
    <x v="22"/>
    <x v="1390"/>
    <x v="633"/>
    <n v="2345804"/>
    <n v="5161"/>
    <n v="34372"/>
    <x v="1256"/>
    <n v="14604"/>
  </r>
  <r>
    <x v="28"/>
    <x v="23"/>
    <x v="1391"/>
    <x v="634"/>
    <n v="2257258"/>
    <n v="43866"/>
    <n v="38625"/>
    <x v="1257"/>
    <n v="23824"/>
  </r>
  <r>
    <x v="28"/>
    <x v="24"/>
    <x v="1392"/>
    <x v="635"/>
    <n v="2188552"/>
    <n v="-7251"/>
    <n v="-12532"/>
    <x v="1258"/>
    <n v="-20516"/>
  </r>
  <r>
    <x v="28"/>
    <x v="25"/>
    <x v="1393"/>
    <x v="636"/>
    <n v="2199596"/>
    <n v="13776"/>
    <n v="-60195"/>
    <x v="1259"/>
    <n v="17140"/>
  </r>
  <r>
    <x v="28"/>
    <x v="26"/>
    <x v="1394"/>
    <x v="637"/>
    <n v="2255143"/>
    <n v="-1425"/>
    <n v="-7072"/>
    <x v="1260"/>
    <n v="28803"/>
  </r>
  <r>
    <x v="28"/>
    <x v="27"/>
    <x v="1395"/>
    <x v="638"/>
    <n v="2250752"/>
    <n v="-7726"/>
    <n v="-7249"/>
    <x v="1261"/>
    <n v="-2094"/>
  </r>
  <r>
    <x v="28"/>
    <x v="28"/>
    <x v="1396"/>
    <x v="639"/>
    <n v="2261976"/>
    <n v="66673"/>
    <n v="-15334"/>
    <x v="1262"/>
    <n v="35576"/>
  </r>
  <r>
    <x v="28"/>
    <x v="29"/>
    <x v="1397"/>
    <x v="640"/>
    <n v="2214420"/>
    <n v="14359"/>
    <n v="-18994"/>
    <x v="1263"/>
    <n v="19452"/>
  </r>
  <r>
    <x v="28"/>
    <x v="30"/>
    <x v="1398"/>
    <x v="641"/>
    <n v="2223347"/>
    <n v="38785"/>
    <n v="5093"/>
    <x v="1264"/>
    <n v="2013"/>
  </r>
  <r>
    <x v="28"/>
    <x v="31"/>
    <x v="1399"/>
    <x v="642"/>
    <n v="2216884"/>
    <n v="83147"/>
    <n v="30795"/>
    <x v="1265"/>
    <n v="-9218"/>
  </r>
  <r>
    <x v="28"/>
    <x v="32"/>
    <x v="1400"/>
    <x v="643"/>
    <n v="2114852"/>
    <n v="23984"/>
    <n v="-34515"/>
    <x v="1266"/>
    <n v="18328"/>
  </r>
  <r>
    <x v="28"/>
    <x v="33"/>
    <x v="1401"/>
    <x v="33"/>
    <n v="2130398"/>
    <s v="n.a."/>
    <s v="n.a."/>
    <x v="1267"/>
    <n v="7511"/>
  </r>
  <r>
    <x v="28"/>
    <x v="34"/>
    <x v="1402"/>
    <x v="33"/>
    <n v="2100707"/>
    <s v="n.a."/>
    <s v="n.a."/>
    <x v="1268"/>
    <n v="22537"/>
  </r>
  <r>
    <x v="28"/>
    <x v="35"/>
    <x v="1403"/>
    <x v="33"/>
    <n v="2107172"/>
    <s v="n.a."/>
    <s v="n.a."/>
    <x v="1269"/>
    <n v="-1127"/>
  </r>
  <r>
    <x v="28"/>
    <x v="36"/>
    <x v="1404"/>
    <x v="33"/>
    <n v="2144612"/>
    <s v="n.a."/>
    <s v="n.a."/>
    <x v="1270"/>
    <n v="-21407"/>
  </r>
  <r>
    <x v="28"/>
    <x v="37"/>
    <x v="1405"/>
    <x v="33"/>
    <n v="2178685"/>
    <s v="n.a."/>
    <s v="n.a."/>
    <x v="1271"/>
    <n v="-8893"/>
  </r>
  <r>
    <x v="28"/>
    <x v="38"/>
    <x v="1406"/>
    <x v="33"/>
    <n v="2190404"/>
    <s v="n.a."/>
    <s v="n.a."/>
    <x v="1272"/>
    <n v="28019"/>
  </r>
  <r>
    <x v="28"/>
    <x v="39"/>
    <x v="1407"/>
    <x v="33"/>
    <n v="2202549"/>
    <s v="n.a."/>
    <s v="n.a."/>
    <x v="1273"/>
    <n v="-19678"/>
  </r>
  <r>
    <x v="28"/>
    <x v="40"/>
    <x v="1408"/>
    <x v="33"/>
    <n v="2174880"/>
    <s v="n.a."/>
    <s v="n.a."/>
    <x v="1274"/>
    <n v="-11153"/>
  </r>
  <r>
    <x v="28"/>
    <x v="41"/>
    <x v="1409"/>
    <x v="33"/>
    <n v="2168123"/>
    <s v="n.a."/>
    <s v="n.a."/>
    <x v="1275"/>
    <n v="-24806"/>
  </r>
  <r>
    <x v="28"/>
    <x v="42"/>
    <x v="1410"/>
    <x v="33"/>
    <n v="2117634"/>
    <s v="n.a."/>
    <s v="n.a."/>
    <x v="1276"/>
    <n v="-26012"/>
  </r>
  <r>
    <x v="28"/>
    <x v="43"/>
    <x v="1411"/>
    <x v="33"/>
    <n v="2150021"/>
    <s v="n.a."/>
    <s v="n.a."/>
    <x v="1277"/>
    <n v="-21846"/>
  </r>
  <r>
    <x v="28"/>
    <x v="44"/>
    <x v="1412"/>
    <x v="33"/>
    <n v="2143992"/>
    <s v="n.a."/>
    <s v="n.a."/>
    <x v="1278"/>
    <n v="14273"/>
  </r>
  <r>
    <x v="28"/>
    <x v="45"/>
    <x v="1413"/>
    <x v="33"/>
    <n v="2104372"/>
    <s v="n.a."/>
    <s v="n.a."/>
    <x v="1279"/>
    <n v="-7133"/>
  </r>
  <r>
    <x v="28"/>
    <x v="46"/>
    <x v="1414"/>
    <x v="33"/>
    <n v="2165045"/>
    <s v="n.a."/>
    <s v="n.a."/>
    <x v="1280"/>
    <n v="2484"/>
  </r>
  <r>
    <x v="28"/>
    <x v="47"/>
    <x v="1415"/>
    <x v="33"/>
    <n v="2103447"/>
    <s v="n.a."/>
    <s v="n.a."/>
    <x v="1281"/>
    <n v="12232"/>
  </r>
  <r>
    <x v="28"/>
    <x v="48"/>
    <x v="1416"/>
    <x v="33"/>
    <n v="2064996"/>
    <s v="n.a."/>
    <s v="n.a."/>
    <x v="1282"/>
    <n v="16684"/>
  </r>
  <r>
    <x v="28"/>
    <x v="49"/>
    <x v="1417"/>
    <x v="33"/>
    <n v="2066542"/>
    <s v="n.a."/>
    <s v="n.a."/>
    <x v="1283"/>
    <n v="1271"/>
  </r>
  <r>
    <x v="28"/>
    <x v="50"/>
    <x v="1418"/>
    <x v="33"/>
    <n v="2069795"/>
    <s v="n.a."/>
    <s v="n.a."/>
    <x v="1284"/>
    <n v="7017"/>
  </r>
  <r>
    <x v="28"/>
    <x v="51"/>
    <x v="1419"/>
    <x v="33"/>
    <n v="2037596"/>
    <s v="n.a."/>
    <s v="n.a."/>
    <x v="1285"/>
    <n v="-8115"/>
  </r>
  <r>
    <x v="28"/>
    <x v="52"/>
    <x v="1420"/>
    <x v="33"/>
    <n v="2042170"/>
    <s v="n.a."/>
    <s v="n.a."/>
    <x v="1286"/>
    <n v="46394"/>
  </r>
  <r>
    <x v="28"/>
    <x v="53"/>
    <x v="1421"/>
    <x v="33"/>
    <n v="1819455"/>
    <s v="n.a."/>
    <s v="n.a."/>
    <x v="1287"/>
    <n v="-7384"/>
  </r>
  <r>
    <x v="28"/>
    <x v="54"/>
    <x v="1422"/>
    <x v="33"/>
    <n v="1767796"/>
    <s v="n.a."/>
    <s v="n.a."/>
    <x v="1288"/>
    <n v="-17837"/>
  </r>
  <r>
    <x v="28"/>
    <x v="55"/>
    <x v="1423"/>
    <x v="33"/>
    <n v="1743346"/>
    <s v="n.a."/>
    <s v="n.a."/>
    <x v="1289"/>
    <n v="-18890"/>
  </r>
  <r>
    <x v="28"/>
    <x v="56"/>
    <x v="1424"/>
    <x v="33"/>
    <n v="1750525"/>
    <s v="n.a."/>
    <s v="n.a."/>
    <x v="1290"/>
    <n v="-612"/>
  </r>
  <r>
    <x v="28"/>
    <x v="57"/>
    <x v="1425"/>
    <x v="33"/>
    <n v="1752229"/>
    <s v="n.a."/>
    <s v="n.a."/>
    <x v="1291"/>
    <n v="-22839"/>
  </r>
  <r>
    <x v="28"/>
    <x v="58"/>
    <x v="1426"/>
    <x v="33"/>
    <n v="1735240"/>
    <s v="n.a."/>
    <s v="n.a."/>
    <x v="1292"/>
    <n v="23972"/>
  </r>
  <r>
    <x v="28"/>
    <x v="59"/>
    <x v="1427"/>
    <x v="33"/>
    <n v="1717019"/>
    <s v="n.a."/>
    <s v="n.a."/>
    <x v="1293"/>
    <n v="6166"/>
  </r>
  <r>
    <x v="28"/>
    <x v="60"/>
    <x v="1428"/>
    <x v="33"/>
    <n v="1750630"/>
    <s v="n.a."/>
    <s v="n.a."/>
    <x v="1294"/>
    <n v="-3558"/>
  </r>
  <r>
    <x v="28"/>
    <x v="61"/>
    <x v="1429"/>
    <x v="33"/>
    <n v="1716160"/>
    <s v="n.a."/>
    <s v="n.a."/>
    <x v="1295"/>
    <n v="-35708"/>
  </r>
  <r>
    <x v="28"/>
    <x v="62"/>
    <x v="1430"/>
    <x v="33"/>
    <n v="1695163"/>
    <s v="n.a."/>
    <s v="n.a."/>
    <x v="1296"/>
    <n v="14821"/>
  </r>
  <r>
    <x v="28"/>
    <x v="63"/>
    <x v="1431"/>
    <x v="33"/>
    <n v="1704014"/>
    <s v="n.a."/>
    <s v="n.a."/>
    <x v="1297"/>
    <n v="-8062"/>
  </r>
  <r>
    <x v="28"/>
    <x v="64"/>
    <x v="1432"/>
    <x v="33"/>
    <n v="1729935"/>
    <s v="n.a."/>
    <s v="n.a."/>
    <x v="1298"/>
    <n v="51068"/>
  </r>
  <r>
    <x v="28"/>
    <x v="65"/>
    <x v="1433"/>
    <x v="33"/>
    <n v="1739342"/>
    <s v="n.a."/>
    <s v="n.a."/>
    <x v="1299"/>
    <n v="36582"/>
  </r>
  <r>
    <x v="28"/>
    <x v="66"/>
    <x v="1434"/>
    <x v="33"/>
    <n v="1735360"/>
    <s v="n.a."/>
    <s v="n.a."/>
    <x v="1300"/>
    <n v="86377"/>
  </r>
  <r>
    <x v="28"/>
    <x v="67"/>
    <x v="1435"/>
    <x v="33"/>
    <n v="1842697"/>
    <s v="n.a."/>
    <s v="n.a."/>
    <x v="1301"/>
    <n v="9481"/>
  </r>
  <r>
    <x v="28"/>
    <x v="68"/>
    <x v="1436"/>
    <x v="33"/>
    <n v="1931692"/>
    <s v="n.a."/>
    <s v="n.a."/>
    <x v="1302"/>
    <n v="14965"/>
  </r>
  <r>
    <x v="28"/>
    <x v="69"/>
    <x v="1437"/>
    <x v="33"/>
    <n v="1853537"/>
    <s v="n.a."/>
    <s v="n.a."/>
    <x v="1303"/>
    <n v="-30807"/>
  </r>
  <r>
    <x v="29"/>
    <x v="0"/>
    <x v="1438"/>
    <x v="644"/>
    <n v="1649303"/>
    <n v="10628"/>
    <n v="3693"/>
    <x v="1304"/>
    <n v="-6955"/>
  </r>
  <r>
    <x v="29"/>
    <x v="1"/>
    <x v="1439"/>
    <x v="645"/>
    <n v="1610455"/>
    <n v="15628"/>
    <n v="12013"/>
    <x v="1305"/>
    <n v="1649"/>
  </r>
  <r>
    <x v="29"/>
    <x v="2"/>
    <x v="1440"/>
    <x v="646"/>
    <n v="1605910"/>
    <n v="14756"/>
    <n v="5831"/>
    <x v="1306"/>
    <n v="11790"/>
  </r>
  <r>
    <x v="29"/>
    <x v="3"/>
    <x v="1441"/>
    <x v="647"/>
    <n v="1577202"/>
    <n v="40451"/>
    <n v="-10364"/>
    <x v="1307"/>
    <n v="4168"/>
  </r>
  <r>
    <x v="29"/>
    <x v="4"/>
    <x v="1442"/>
    <x v="648"/>
    <n v="1537141"/>
    <n v="-2439"/>
    <n v="1822"/>
    <x v="1308"/>
    <n v="315"/>
  </r>
  <r>
    <x v="29"/>
    <x v="5"/>
    <x v="1443"/>
    <x v="649"/>
    <n v="1542100"/>
    <n v="11167"/>
    <n v="-11502"/>
    <x v="1309"/>
    <n v="-1185"/>
  </r>
  <r>
    <x v="29"/>
    <x v="6"/>
    <x v="1444"/>
    <x v="650"/>
    <n v="1547100"/>
    <n v="-20597"/>
    <n v="5988"/>
    <x v="1310"/>
    <n v="3318"/>
  </r>
  <r>
    <x v="29"/>
    <x v="7"/>
    <x v="1445"/>
    <x v="651"/>
    <n v="1532397"/>
    <n v="23361"/>
    <n v="-3713"/>
    <x v="1311"/>
    <n v="-6983"/>
  </r>
  <r>
    <x v="29"/>
    <x v="8"/>
    <x v="1446"/>
    <x v="652"/>
    <n v="1501336"/>
    <n v="8036"/>
    <n v="22666"/>
    <x v="1312"/>
    <n v="646"/>
  </r>
  <r>
    <x v="29"/>
    <x v="9"/>
    <x v="1447"/>
    <x v="653"/>
    <n v="1449742"/>
    <n v="-17037"/>
    <n v="8504"/>
    <x v="1313"/>
    <n v="-19940"/>
  </r>
  <r>
    <x v="29"/>
    <x v="10"/>
    <x v="1448"/>
    <x v="654"/>
    <n v="1443808"/>
    <n v="17096"/>
    <n v="-9394"/>
    <x v="1314"/>
    <n v="-2123"/>
  </r>
  <r>
    <x v="29"/>
    <x v="11"/>
    <x v="1449"/>
    <x v="655"/>
    <n v="1440220"/>
    <n v="12749"/>
    <n v="9657"/>
    <x v="1315"/>
    <n v="11087"/>
  </r>
  <r>
    <x v="29"/>
    <x v="12"/>
    <x v="1450"/>
    <x v="656"/>
    <n v="1423770"/>
    <n v="-22800"/>
    <n v="-17391"/>
    <x v="1316"/>
    <n v="9770"/>
  </r>
  <r>
    <x v="29"/>
    <x v="13"/>
    <x v="1451"/>
    <x v="657"/>
    <n v="1471551"/>
    <n v="45698"/>
    <n v="18987"/>
    <x v="1317"/>
    <n v="12087"/>
  </r>
  <r>
    <x v="29"/>
    <x v="14"/>
    <x v="1452"/>
    <x v="658"/>
    <n v="1390157"/>
    <n v="15318"/>
    <n v="14836"/>
    <x v="1318"/>
    <n v="6925"/>
  </r>
  <r>
    <x v="29"/>
    <x v="15"/>
    <x v="1453"/>
    <x v="659"/>
    <n v="1353333"/>
    <n v="-15213"/>
    <n v="24303"/>
    <x v="1319"/>
    <n v="20482"/>
  </r>
  <r>
    <x v="29"/>
    <x v="16"/>
    <x v="1454"/>
    <x v="660"/>
    <n v="1352065"/>
    <n v="23392"/>
    <n v="24325"/>
    <x v="1320"/>
    <n v="-11286"/>
  </r>
  <r>
    <x v="29"/>
    <x v="17"/>
    <x v="1455"/>
    <x v="661"/>
    <n v="1304053"/>
    <n v="11269"/>
    <n v="12890"/>
    <x v="1321"/>
    <n v="2775"/>
  </r>
  <r>
    <x v="29"/>
    <x v="18"/>
    <x v="1456"/>
    <x v="662"/>
    <n v="1279003"/>
    <n v="17450"/>
    <n v="-6571"/>
    <x v="1322"/>
    <n v="-7257"/>
  </r>
  <r>
    <x v="29"/>
    <x v="19"/>
    <x v="1457"/>
    <x v="663"/>
    <n v="1277433"/>
    <n v="-5204"/>
    <n v="8057"/>
    <x v="1323"/>
    <n v="-12334"/>
  </r>
  <r>
    <x v="29"/>
    <x v="20"/>
    <x v="1458"/>
    <x v="664"/>
    <n v="1258885"/>
    <n v="25523"/>
    <n v="1855"/>
    <x v="1324"/>
    <n v="12939"/>
  </r>
  <r>
    <x v="29"/>
    <x v="21"/>
    <x v="1459"/>
    <x v="665"/>
    <n v="1217445"/>
    <n v="19273"/>
    <n v="-358"/>
    <x v="1325"/>
    <n v="-19701"/>
  </r>
  <r>
    <x v="29"/>
    <x v="22"/>
    <x v="1460"/>
    <x v="666"/>
    <n v="1204284"/>
    <n v="-11221"/>
    <n v="17937"/>
    <x v="1326"/>
    <n v="7303"/>
  </r>
  <r>
    <x v="29"/>
    <x v="23"/>
    <x v="1461"/>
    <x v="667"/>
    <n v="1186072"/>
    <n v="54750"/>
    <n v="20555"/>
    <x v="1327"/>
    <n v="26998"/>
  </r>
  <r>
    <x v="29"/>
    <x v="24"/>
    <x v="1462"/>
    <x v="668"/>
    <n v="1128957"/>
    <n v="-13480"/>
    <n v="-8239"/>
    <x v="1328"/>
    <n v="-11795"/>
  </r>
  <r>
    <x v="29"/>
    <x v="25"/>
    <x v="1463"/>
    <x v="669"/>
    <n v="1160957"/>
    <n v="10446"/>
    <n v="-27496"/>
    <x v="1329"/>
    <n v="15757"/>
  </r>
  <r>
    <x v="29"/>
    <x v="26"/>
    <x v="1464"/>
    <x v="670"/>
    <n v="1182439"/>
    <n v="8389"/>
    <n v="-4632"/>
    <x v="1330"/>
    <n v="31598"/>
  </r>
  <r>
    <x v="29"/>
    <x v="27"/>
    <x v="1465"/>
    <x v="671"/>
    <n v="1178774"/>
    <n v="3178"/>
    <n v="-6334"/>
    <x v="1331"/>
    <n v="-7343"/>
  </r>
  <r>
    <x v="29"/>
    <x v="28"/>
    <x v="1466"/>
    <x v="672"/>
    <n v="1169846"/>
    <n v="56143"/>
    <n v="-9308"/>
    <x v="1332"/>
    <n v="18839"/>
  </r>
  <r>
    <x v="29"/>
    <x v="29"/>
    <x v="1467"/>
    <x v="673"/>
    <n v="1142162"/>
    <n v="-12579"/>
    <n v="-10154"/>
    <x v="1333"/>
    <n v="27830"/>
  </r>
  <r>
    <x v="29"/>
    <x v="30"/>
    <x v="1468"/>
    <x v="674"/>
    <n v="1149724"/>
    <n v="26508"/>
    <n v="542"/>
    <x v="1334"/>
    <n v="7199"/>
  </r>
  <r>
    <x v="29"/>
    <x v="31"/>
    <x v="1469"/>
    <x v="675"/>
    <n v="1143748"/>
    <n v="5916"/>
    <n v="19287"/>
    <x v="1335"/>
    <n v="-5620"/>
  </r>
  <r>
    <x v="29"/>
    <x v="32"/>
    <x v="1470"/>
    <x v="676"/>
    <n v="1123127"/>
    <n v="11744"/>
    <n v="-19344"/>
    <x v="1336"/>
    <n v="13079"/>
  </r>
  <r>
    <x v="29"/>
    <x v="33"/>
    <x v="1471"/>
    <x v="33"/>
    <n v="1124927"/>
    <s v="n.a."/>
    <s v="n.a."/>
    <x v="1337"/>
    <n v="-3012"/>
  </r>
  <r>
    <x v="29"/>
    <x v="34"/>
    <x v="1472"/>
    <x v="33"/>
    <n v="1143526"/>
    <s v="n.a."/>
    <s v="n.a."/>
    <x v="1338"/>
    <n v="3316"/>
  </r>
  <r>
    <x v="29"/>
    <x v="35"/>
    <x v="1473"/>
    <x v="33"/>
    <n v="1126713"/>
    <s v="n.a."/>
    <s v="n.a."/>
    <x v="1339"/>
    <n v="782"/>
  </r>
  <r>
    <x v="29"/>
    <x v="36"/>
    <x v="1474"/>
    <x v="33"/>
    <n v="1124910"/>
    <s v="n.a."/>
    <s v="n.a."/>
    <x v="1340"/>
    <n v="-24128"/>
  </r>
  <r>
    <x v="29"/>
    <x v="37"/>
    <x v="1475"/>
    <x v="33"/>
    <n v="1111397"/>
    <s v="n.a."/>
    <s v="n.a."/>
    <x v="1341"/>
    <n v="-10702"/>
  </r>
  <r>
    <x v="29"/>
    <x v="38"/>
    <x v="1476"/>
    <x v="33"/>
    <n v="1111786"/>
    <s v="n.a."/>
    <s v="n.a."/>
    <x v="1342"/>
    <n v="12278"/>
  </r>
  <r>
    <x v="29"/>
    <x v="39"/>
    <x v="1477"/>
    <x v="33"/>
    <n v="1120869"/>
    <s v="n.a."/>
    <s v="n.a."/>
    <x v="1343"/>
    <n v="-15656"/>
  </r>
  <r>
    <x v="29"/>
    <x v="40"/>
    <x v="1478"/>
    <x v="33"/>
    <n v="1113194"/>
    <s v="n.a."/>
    <s v="n.a."/>
    <x v="1344"/>
    <n v="-4799"/>
  </r>
  <r>
    <x v="29"/>
    <x v="41"/>
    <x v="1479"/>
    <x v="33"/>
    <n v="1099065"/>
    <s v="n.a."/>
    <s v="n.a."/>
    <x v="1345"/>
    <n v="-25664"/>
  </r>
  <r>
    <x v="29"/>
    <x v="42"/>
    <x v="1480"/>
    <x v="33"/>
    <n v="1079879"/>
    <s v="n.a."/>
    <s v="n.a."/>
    <x v="1346"/>
    <n v="-16706"/>
  </r>
  <r>
    <x v="29"/>
    <x v="43"/>
    <x v="1481"/>
    <x v="33"/>
    <n v="1094556"/>
    <s v="n.a."/>
    <s v="n.a."/>
    <x v="1347"/>
    <n v="-18582"/>
  </r>
  <r>
    <x v="29"/>
    <x v="44"/>
    <x v="1482"/>
    <x v="33"/>
    <n v="1076393"/>
    <s v="n.a."/>
    <s v="n.a."/>
    <x v="1348"/>
    <n v="4640"/>
  </r>
  <r>
    <x v="29"/>
    <x v="45"/>
    <x v="1483"/>
    <x v="33"/>
    <n v="1033680"/>
    <s v="n.a."/>
    <s v="n.a."/>
    <x v="1349"/>
    <n v="-7089"/>
  </r>
  <r>
    <x v="29"/>
    <x v="46"/>
    <x v="1484"/>
    <x v="33"/>
    <n v="1092902"/>
    <s v="n.a."/>
    <s v="n.a."/>
    <x v="1350"/>
    <n v="-8224"/>
  </r>
  <r>
    <x v="29"/>
    <x v="47"/>
    <x v="1485"/>
    <x v="33"/>
    <n v="1041564"/>
    <s v="n.a."/>
    <s v="n.a."/>
    <x v="1351"/>
    <n v="9743"/>
  </r>
  <r>
    <x v="29"/>
    <x v="48"/>
    <x v="1486"/>
    <x v="33"/>
    <n v="1036573"/>
    <s v="n.a."/>
    <s v="n.a."/>
    <x v="1352"/>
    <n v="19186"/>
  </r>
  <r>
    <x v="29"/>
    <x v="49"/>
    <x v="1487"/>
    <x v="33"/>
    <n v="1035284"/>
    <s v="n.a."/>
    <s v="n.a."/>
    <x v="1353"/>
    <n v="-2413"/>
  </r>
  <r>
    <x v="29"/>
    <x v="50"/>
    <x v="1488"/>
    <x v="33"/>
    <n v="1034047"/>
    <s v="n.a."/>
    <s v="n.a."/>
    <x v="1354"/>
    <n v="3212"/>
  </r>
  <r>
    <x v="29"/>
    <x v="51"/>
    <x v="1489"/>
    <x v="33"/>
    <n v="1018654"/>
    <s v="n.a."/>
    <s v="n.a."/>
    <x v="1355"/>
    <n v="-9777"/>
  </r>
  <r>
    <x v="29"/>
    <x v="52"/>
    <x v="1490"/>
    <x v="33"/>
    <n v="1031237"/>
    <s v="n.a."/>
    <s v="n.a."/>
    <x v="1356"/>
    <n v="32248"/>
  </r>
  <r>
    <x v="29"/>
    <x v="53"/>
    <x v="1491"/>
    <x v="33"/>
    <n v="901053"/>
    <s v="n.a."/>
    <s v="n.a."/>
    <x v="1357"/>
    <n v="-4296"/>
  </r>
  <r>
    <x v="29"/>
    <x v="54"/>
    <x v="1492"/>
    <x v="33"/>
    <n v="899021"/>
    <s v="n.a."/>
    <s v="n.a."/>
    <x v="1358"/>
    <n v="-13876"/>
  </r>
  <r>
    <x v="29"/>
    <x v="55"/>
    <x v="1493"/>
    <x v="33"/>
    <n v="888817"/>
    <s v="n.a."/>
    <s v="n.a."/>
    <x v="1359"/>
    <n v="-11689"/>
  </r>
  <r>
    <x v="29"/>
    <x v="56"/>
    <x v="1494"/>
    <x v="33"/>
    <n v="874475"/>
    <s v="n.a."/>
    <s v="n.a."/>
    <x v="1360"/>
    <n v="-4692"/>
  </r>
  <r>
    <x v="29"/>
    <x v="57"/>
    <x v="1495"/>
    <x v="33"/>
    <n v="900126"/>
    <s v="n.a."/>
    <s v="n.a."/>
    <x v="1361"/>
    <n v="-11813"/>
  </r>
  <r>
    <x v="29"/>
    <x v="58"/>
    <x v="1496"/>
    <x v="33"/>
    <n v="901628"/>
    <s v="n.a."/>
    <s v="n.a."/>
    <x v="1362"/>
    <n v="17033"/>
  </r>
  <r>
    <x v="29"/>
    <x v="59"/>
    <x v="1497"/>
    <x v="33"/>
    <n v="902298"/>
    <s v="n.a."/>
    <s v="n.a."/>
    <x v="1363"/>
    <n v="11114"/>
  </r>
  <r>
    <x v="29"/>
    <x v="60"/>
    <x v="1498"/>
    <x v="33"/>
    <n v="920799"/>
    <s v="n.a."/>
    <s v="n.a."/>
    <x v="1364"/>
    <n v="-112"/>
  </r>
  <r>
    <x v="29"/>
    <x v="61"/>
    <x v="1499"/>
    <x v="33"/>
    <n v="899144"/>
    <s v="n.a."/>
    <s v="n.a."/>
    <x v="1365"/>
    <n v="-24094"/>
  </r>
  <r>
    <x v="29"/>
    <x v="62"/>
    <x v="1500"/>
    <x v="33"/>
    <n v="898411"/>
    <s v="n.a."/>
    <s v="n.a."/>
    <x v="1366"/>
    <n v="6720"/>
  </r>
  <r>
    <x v="29"/>
    <x v="63"/>
    <x v="1501"/>
    <x v="33"/>
    <n v="892201"/>
    <s v="n.a."/>
    <s v="n.a."/>
    <x v="1367"/>
    <n v="-3880"/>
  </r>
  <r>
    <x v="29"/>
    <x v="64"/>
    <x v="1502"/>
    <x v="33"/>
    <n v="912265"/>
    <s v="n.a."/>
    <s v="n.a."/>
    <x v="1368"/>
    <n v="32068"/>
  </r>
  <r>
    <x v="29"/>
    <x v="65"/>
    <x v="1503"/>
    <x v="33"/>
    <n v="915932"/>
    <s v="n.a."/>
    <s v="n.a."/>
    <x v="1369"/>
    <n v="33697"/>
  </r>
  <r>
    <x v="29"/>
    <x v="66"/>
    <x v="1504"/>
    <x v="33"/>
    <n v="926588"/>
    <s v="n.a."/>
    <s v="n.a."/>
    <x v="1370"/>
    <n v="84908"/>
  </r>
  <r>
    <x v="29"/>
    <x v="67"/>
    <x v="1505"/>
    <x v="33"/>
    <n v="982580"/>
    <s v="n.a."/>
    <s v="n.a."/>
    <x v="1371"/>
    <n v="7677"/>
  </r>
  <r>
    <x v="29"/>
    <x v="68"/>
    <x v="1506"/>
    <x v="33"/>
    <n v="1036209"/>
    <s v="n.a."/>
    <s v="n.a."/>
    <x v="1372"/>
    <n v="7102"/>
  </r>
  <r>
    <x v="29"/>
    <x v="69"/>
    <x v="1507"/>
    <x v="33"/>
    <n v="991232"/>
    <s v="n.a."/>
    <s v="n.a."/>
    <x v="1373"/>
    <n v="-22466"/>
  </r>
  <r>
    <x v="30"/>
    <x v="0"/>
    <x v="1508"/>
    <x v="677"/>
    <n v="1801246"/>
    <n v="10986"/>
    <n v="1820"/>
    <x v="1374"/>
    <n v="-8218"/>
  </r>
  <r>
    <x v="30"/>
    <x v="1"/>
    <x v="1509"/>
    <x v="678"/>
    <n v="1762356"/>
    <n v="17210"/>
    <n v="13025"/>
    <x v="1375"/>
    <n v="-1985"/>
  </r>
  <r>
    <x v="30"/>
    <x v="2"/>
    <x v="1510"/>
    <x v="679"/>
    <n v="1756376"/>
    <n v="7620"/>
    <n v="7586"/>
    <x v="1376"/>
    <n v="12186"/>
  </r>
  <r>
    <x v="30"/>
    <x v="3"/>
    <x v="1511"/>
    <x v="680"/>
    <n v="1733427"/>
    <n v="43235"/>
    <n v="-10625"/>
    <x v="1377"/>
    <n v="3179"/>
  </r>
  <r>
    <x v="30"/>
    <x v="4"/>
    <x v="1512"/>
    <x v="681"/>
    <n v="1691855"/>
    <n v="-2036"/>
    <n v="2836"/>
    <x v="1378"/>
    <n v="1979"/>
  </r>
  <r>
    <x v="30"/>
    <x v="5"/>
    <x v="1513"/>
    <x v="682"/>
    <n v="1695462"/>
    <n v="7822"/>
    <n v="-12586"/>
    <x v="1379"/>
    <n v="-2297"/>
  </r>
  <r>
    <x v="30"/>
    <x v="6"/>
    <x v="1514"/>
    <x v="683"/>
    <n v="1705051"/>
    <n v="-19808"/>
    <n v="6427"/>
    <x v="1380"/>
    <n v="2425"/>
  </r>
  <r>
    <x v="30"/>
    <x v="7"/>
    <x v="1515"/>
    <x v="684"/>
    <n v="1689679"/>
    <n v="28166"/>
    <n v="-2359"/>
    <x v="1381"/>
    <n v="-8146"/>
  </r>
  <r>
    <x v="30"/>
    <x v="8"/>
    <x v="1516"/>
    <x v="685"/>
    <n v="1652460"/>
    <n v="9961"/>
    <n v="25979"/>
    <x v="1382"/>
    <n v="2738"/>
  </r>
  <r>
    <x v="30"/>
    <x v="9"/>
    <x v="1517"/>
    <x v="686"/>
    <n v="1595924"/>
    <n v="-17175"/>
    <n v="7586"/>
    <x v="1383"/>
    <n v="-19772"/>
  </r>
  <r>
    <x v="30"/>
    <x v="10"/>
    <x v="1518"/>
    <x v="687"/>
    <n v="1589972"/>
    <n v="16525"/>
    <n v="-10526"/>
    <x v="1384"/>
    <n v="-317"/>
  </r>
  <r>
    <x v="30"/>
    <x v="11"/>
    <x v="1519"/>
    <x v="688"/>
    <n v="1588916"/>
    <n v="16665"/>
    <n v="9353"/>
    <x v="1385"/>
    <n v="9880"/>
  </r>
  <r>
    <x v="30"/>
    <x v="12"/>
    <x v="1520"/>
    <x v="689"/>
    <n v="1569358"/>
    <n v="-21397"/>
    <n v="-20344"/>
    <x v="1386"/>
    <n v="10494"/>
  </r>
  <r>
    <x v="30"/>
    <x v="13"/>
    <x v="1521"/>
    <x v="690"/>
    <n v="1618052"/>
    <n v="48640"/>
    <n v="20641"/>
    <x v="1387"/>
    <n v="13576"/>
  </r>
  <r>
    <x v="30"/>
    <x v="14"/>
    <x v="1522"/>
    <x v="691"/>
    <n v="1532521"/>
    <n v="15386"/>
    <n v="16629"/>
    <x v="1388"/>
    <n v="7400"/>
  </r>
  <r>
    <x v="30"/>
    <x v="15"/>
    <x v="1523"/>
    <x v="692"/>
    <n v="1494106"/>
    <n v="-14159"/>
    <n v="26721"/>
    <x v="1389"/>
    <n v="18740"/>
  </r>
  <r>
    <x v="30"/>
    <x v="16"/>
    <x v="1524"/>
    <x v="693"/>
    <n v="1488683"/>
    <n v="26053"/>
    <n v="26614"/>
    <x v="1390"/>
    <n v="-10666"/>
  </r>
  <r>
    <x v="30"/>
    <x v="17"/>
    <x v="1525"/>
    <x v="694"/>
    <n v="1437447"/>
    <n v="13879"/>
    <n v="14060"/>
    <x v="1391"/>
    <n v="3299"/>
  </r>
  <r>
    <x v="30"/>
    <x v="18"/>
    <x v="1526"/>
    <x v="695"/>
    <n v="1409551"/>
    <n v="16202"/>
    <n v="-9721"/>
    <x v="1392"/>
    <n v="-5979"/>
  </r>
  <r>
    <x v="30"/>
    <x v="19"/>
    <x v="1527"/>
    <x v="696"/>
    <n v="1411813"/>
    <n v="-2359"/>
    <n v="8898"/>
    <x v="1393"/>
    <n v="-11126"/>
  </r>
  <r>
    <x v="30"/>
    <x v="20"/>
    <x v="1528"/>
    <x v="697"/>
    <n v="1389731"/>
    <n v="25958"/>
    <n v="-370"/>
    <x v="1394"/>
    <n v="14320"/>
  </r>
  <r>
    <x v="30"/>
    <x v="21"/>
    <x v="1529"/>
    <x v="698"/>
    <n v="1349890"/>
    <n v="15973"/>
    <n v="-3773"/>
    <x v="1395"/>
    <n v="-21258"/>
  </r>
  <r>
    <x v="30"/>
    <x v="22"/>
    <x v="1530"/>
    <x v="699"/>
    <n v="1340871"/>
    <n v="-10909"/>
    <n v="25864"/>
    <x v="1396"/>
    <n v="8604"/>
  </r>
  <r>
    <x v="30"/>
    <x v="23"/>
    <x v="1531"/>
    <x v="700"/>
    <n v="1320481"/>
    <n v="55368"/>
    <n v="23901"/>
    <x v="1397"/>
    <n v="25087"/>
  </r>
  <r>
    <x v="30"/>
    <x v="24"/>
    <x v="1532"/>
    <x v="701"/>
    <n v="1259705"/>
    <n v="-17512"/>
    <n v="-8090"/>
    <x v="1398"/>
    <n v="-9464"/>
  </r>
  <r>
    <x v="30"/>
    <x v="25"/>
    <x v="1533"/>
    <x v="702"/>
    <n v="1297637"/>
    <n v="12779"/>
    <n v="-29370"/>
    <x v="1399"/>
    <n v="13182"/>
  </r>
  <r>
    <x v="30"/>
    <x v="26"/>
    <x v="1534"/>
    <x v="703"/>
    <n v="1318310"/>
    <n v="11086"/>
    <n v="-5510"/>
    <x v="1400"/>
    <n v="29101"/>
  </r>
  <r>
    <x v="30"/>
    <x v="27"/>
    <x v="1535"/>
    <x v="704"/>
    <n v="1312850"/>
    <n v="2854"/>
    <n v="-5885"/>
    <x v="1401"/>
    <n v="-6456"/>
  </r>
  <r>
    <x v="30"/>
    <x v="28"/>
    <x v="1536"/>
    <x v="705"/>
    <n v="1303346"/>
    <n v="62798"/>
    <n v="-10715"/>
    <x v="1402"/>
    <n v="21091"/>
  </r>
  <r>
    <x v="30"/>
    <x v="29"/>
    <x v="1537"/>
    <x v="706"/>
    <n v="1269766"/>
    <n v="-10710"/>
    <n v="-11655"/>
    <x v="1403"/>
    <n v="27773"/>
  </r>
  <r>
    <x v="30"/>
    <x v="30"/>
    <x v="1538"/>
    <x v="707"/>
    <n v="1277181"/>
    <n v="30853"/>
    <n v="610"/>
    <x v="1404"/>
    <n v="6624"/>
  </r>
  <r>
    <x v="30"/>
    <x v="31"/>
    <x v="1539"/>
    <x v="708"/>
    <n v="1266446"/>
    <n v="6055"/>
    <n v="22213"/>
    <x v="1405"/>
    <n v="-3639"/>
  </r>
  <r>
    <x v="30"/>
    <x v="32"/>
    <x v="1540"/>
    <x v="709"/>
    <n v="1244491"/>
    <n v="13247"/>
    <n v="-22021"/>
    <x v="1406"/>
    <n v="11222"/>
  </r>
  <r>
    <x v="30"/>
    <x v="33"/>
    <x v="1541"/>
    <x v="33"/>
    <n v="1246887"/>
    <s v="n.a."/>
    <s v="n.a."/>
    <x v="1407"/>
    <n v="-1503"/>
  </r>
  <r>
    <x v="30"/>
    <x v="34"/>
    <x v="1542"/>
    <x v="33"/>
    <n v="1263944"/>
    <s v="n.a."/>
    <s v="n.a."/>
    <x v="1408"/>
    <n v="1252"/>
  </r>
  <r>
    <x v="30"/>
    <x v="35"/>
    <x v="1543"/>
    <x v="33"/>
    <n v="1252423"/>
    <s v="n.a."/>
    <s v="n.a."/>
    <x v="1409"/>
    <n v="2486"/>
  </r>
  <r>
    <x v="30"/>
    <x v="36"/>
    <x v="1544"/>
    <x v="33"/>
    <n v="1242000"/>
    <s v="n.a."/>
    <s v="n.a."/>
    <x v="1410"/>
    <n v="-22625"/>
  </r>
  <r>
    <x v="30"/>
    <x v="37"/>
    <x v="1545"/>
    <x v="33"/>
    <n v="1230487"/>
    <s v="n.a."/>
    <s v="n.a."/>
    <x v="1411"/>
    <n v="-8720"/>
  </r>
  <r>
    <x v="30"/>
    <x v="38"/>
    <x v="1546"/>
    <x v="33"/>
    <n v="1235706"/>
    <s v="n.a."/>
    <s v="n.a."/>
    <x v="1412"/>
    <n v="11310"/>
  </r>
  <r>
    <x v="30"/>
    <x v="39"/>
    <x v="1547"/>
    <x v="33"/>
    <n v="1249854"/>
    <s v="n.a."/>
    <s v="n.a."/>
    <x v="1413"/>
    <n v="-15986"/>
  </r>
  <r>
    <x v="30"/>
    <x v="40"/>
    <x v="1548"/>
    <x v="33"/>
    <n v="1236904"/>
    <s v="n.a."/>
    <s v="n.a."/>
    <x v="1414"/>
    <n v="-5384"/>
  </r>
  <r>
    <x v="30"/>
    <x v="41"/>
    <x v="1549"/>
    <x v="33"/>
    <n v="1223152"/>
    <s v="n.a."/>
    <s v="n.a."/>
    <x v="1415"/>
    <n v="-27693"/>
  </r>
  <r>
    <x v="30"/>
    <x v="42"/>
    <x v="1550"/>
    <x v="33"/>
    <n v="1206964"/>
    <s v="n.a."/>
    <s v="n.a."/>
    <x v="1416"/>
    <n v="-15726"/>
  </r>
  <r>
    <x v="30"/>
    <x v="43"/>
    <x v="1551"/>
    <x v="33"/>
    <n v="1224561"/>
    <s v="n.a."/>
    <s v="n.a."/>
    <x v="1417"/>
    <n v="-24658"/>
  </r>
  <r>
    <x v="30"/>
    <x v="44"/>
    <x v="1552"/>
    <x v="33"/>
    <n v="1209677"/>
    <s v="n.a."/>
    <s v="n.a."/>
    <x v="1418"/>
    <n v="5067"/>
  </r>
  <r>
    <x v="30"/>
    <x v="45"/>
    <x v="1553"/>
    <x v="33"/>
    <n v="1165864"/>
    <s v="n.a."/>
    <s v="n.a."/>
    <x v="1419"/>
    <n v="-4524"/>
  </r>
  <r>
    <x v="30"/>
    <x v="46"/>
    <x v="1554"/>
    <x v="33"/>
    <n v="1218774"/>
    <s v="n.a."/>
    <s v="n.a."/>
    <x v="1420"/>
    <n v="-6983"/>
  </r>
  <r>
    <x v="30"/>
    <x v="47"/>
    <x v="1555"/>
    <x v="33"/>
    <n v="1173740"/>
    <s v="n.a."/>
    <s v="n.a."/>
    <x v="1421"/>
    <n v="5338"/>
  </r>
  <r>
    <x v="30"/>
    <x v="48"/>
    <x v="1556"/>
    <x v="33"/>
    <n v="1164248"/>
    <s v="n.a."/>
    <s v="n.a."/>
    <x v="1422"/>
    <n v="19318"/>
  </r>
  <r>
    <x v="30"/>
    <x v="49"/>
    <x v="1557"/>
    <x v="33"/>
    <n v="1166464"/>
    <s v="n.a."/>
    <s v="n.a."/>
    <x v="1423"/>
    <n v="-4260"/>
  </r>
  <r>
    <x v="30"/>
    <x v="50"/>
    <x v="1558"/>
    <x v="33"/>
    <n v="1165497"/>
    <s v="n.a."/>
    <s v="n.a."/>
    <x v="1424"/>
    <n v="-2918"/>
  </r>
  <r>
    <x v="30"/>
    <x v="51"/>
    <x v="1559"/>
    <x v="33"/>
    <n v="1147365"/>
    <s v="n.a."/>
    <s v="n.a."/>
    <x v="1425"/>
    <n v="-6689"/>
  </r>
  <r>
    <x v="30"/>
    <x v="52"/>
    <x v="1560"/>
    <x v="33"/>
    <n v="1160414"/>
    <s v="n.a."/>
    <s v="n.a."/>
    <x v="1426"/>
    <n v="34610"/>
  </r>
  <r>
    <x v="30"/>
    <x v="53"/>
    <x v="1561"/>
    <x v="33"/>
    <n v="1031025"/>
    <s v="n.a."/>
    <s v="n.a."/>
    <x v="1427"/>
    <n v="-8365"/>
  </r>
  <r>
    <x v="30"/>
    <x v="54"/>
    <x v="1562"/>
    <x v="33"/>
    <n v="1022089"/>
    <s v="n.a."/>
    <s v="n.a."/>
    <x v="1428"/>
    <n v="-13204"/>
  </r>
  <r>
    <x v="30"/>
    <x v="55"/>
    <x v="1563"/>
    <x v="33"/>
    <n v="1012098"/>
    <s v="n.a."/>
    <s v="n.a."/>
    <x v="1429"/>
    <n v="-14782"/>
  </r>
  <r>
    <x v="30"/>
    <x v="56"/>
    <x v="1564"/>
    <x v="33"/>
    <n v="997805"/>
    <s v="n.a."/>
    <s v="n.a."/>
    <x v="1430"/>
    <n v="-3010"/>
  </r>
  <r>
    <x v="30"/>
    <x v="57"/>
    <x v="1565"/>
    <x v="33"/>
    <n v="1027637"/>
    <s v="n.a."/>
    <s v="n.a."/>
    <x v="1431"/>
    <n v="-16998"/>
  </r>
  <r>
    <x v="30"/>
    <x v="58"/>
    <x v="1566"/>
    <x v="33"/>
    <n v="1015857"/>
    <s v="n.a."/>
    <s v="n.a."/>
    <x v="1432"/>
    <n v="16974"/>
  </r>
  <r>
    <x v="30"/>
    <x v="59"/>
    <x v="1567"/>
    <x v="33"/>
    <n v="1012656"/>
    <s v="n.a."/>
    <s v="n.a."/>
    <x v="1433"/>
    <n v="11497"/>
  </r>
  <r>
    <x v="30"/>
    <x v="60"/>
    <x v="1568"/>
    <x v="33"/>
    <n v="1032162"/>
    <s v="n.a."/>
    <s v="n.a."/>
    <x v="1434"/>
    <n v="-424"/>
  </r>
  <r>
    <x v="30"/>
    <x v="61"/>
    <x v="1569"/>
    <x v="33"/>
    <n v="1008979"/>
    <s v="n.a."/>
    <s v="n.a."/>
    <x v="1435"/>
    <n v="-28776"/>
  </r>
  <r>
    <x v="30"/>
    <x v="62"/>
    <x v="1570"/>
    <x v="33"/>
    <n v="1005259"/>
    <s v="n.a."/>
    <s v="n.a."/>
    <x v="1436"/>
    <n v="12287"/>
  </r>
  <r>
    <x v="30"/>
    <x v="63"/>
    <x v="1571"/>
    <x v="33"/>
    <n v="1008430"/>
    <s v="n.a."/>
    <s v="n.a."/>
    <x v="1437"/>
    <n v="590"/>
  </r>
  <r>
    <x v="30"/>
    <x v="64"/>
    <x v="1572"/>
    <x v="33"/>
    <n v="1025485"/>
    <s v="n.a."/>
    <s v="n.a."/>
    <x v="1438"/>
    <n v="39705"/>
  </r>
  <r>
    <x v="30"/>
    <x v="65"/>
    <x v="1573"/>
    <x v="33"/>
    <n v="1030559"/>
    <s v="n.a."/>
    <s v="n.a."/>
    <x v="1439"/>
    <n v="35017"/>
  </r>
  <r>
    <x v="30"/>
    <x v="66"/>
    <x v="1574"/>
    <x v="33"/>
    <n v="1037199"/>
    <s v="n.a."/>
    <s v="n.a."/>
    <x v="1440"/>
    <n v="87747"/>
  </r>
  <r>
    <x v="30"/>
    <x v="67"/>
    <x v="1575"/>
    <x v="33"/>
    <n v="1099373"/>
    <s v="n.a."/>
    <s v="n.a."/>
    <x v="1441"/>
    <n v="5373"/>
  </r>
  <r>
    <x v="30"/>
    <x v="68"/>
    <x v="1576"/>
    <x v="33"/>
    <n v="1161794"/>
    <s v="n.a."/>
    <s v="n.a."/>
    <x v="1442"/>
    <n v="-39013"/>
  </r>
  <r>
    <x v="30"/>
    <x v="69"/>
    <x v="1577"/>
    <x v="33"/>
    <n v="1518891"/>
    <s v="n.a."/>
    <s v="n.a."/>
    <x v="1443"/>
    <n v="-32826"/>
  </r>
  <r>
    <x v="31"/>
    <x v="0"/>
    <x v="1578"/>
    <x v="710"/>
    <n v="379909"/>
    <n v="-62563"/>
    <n v="1594"/>
    <x v="1444"/>
    <n v="4738"/>
  </r>
  <r>
    <x v="31"/>
    <x v="1"/>
    <x v="1579"/>
    <x v="711"/>
    <n v="441275"/>
    <n v="26899"/>
    <n v="3873"/>
    <x v="1445"/>
    <n v="3150"/>
  </r>
  <r>
    <x v="31"/>
    <x v="2"/>
    <x v="1580"/>
    <x v="712"/>
    <n v="412351"/>
    <n v="58275"/>
    <n v="-940"/>
    <x v="1446"/>
    <n v="375"/>
  </r>
  <r>
    <x v="31"/>
    <x v="3"/>
    <x v="1581"/>
    <x v="713"/>
    <n v="350480"/>
    <n v="-51011"/>
    <n v="-2406"/>
    <x v="1447"/>
    <n v="-1865"/>
  </r>
  <r>
    <x v="31"/>
    <x v="4"/>
    <x v="1582"/>
    <x v="714"/>
    <n v="405407"/>
    <n v="1276"/>
    <n v="3905"/>
    <x v="1448"/>
    <n v="-428"/>
  </r>
  <r>
    <x v="31"/>
    <x v="5"/>
    <x v="1583"/>
    <x v="715"/>
    <n v="396807"/>
    <n v="65866"/>
    <n v="-6314"/>
    <x v="1449"/>
    <n v="-1894"/>
  </r>
  <r>
    <x v="31"/>
    <x v="6"/>
    <x v="1584"/>
    <x v="716"/>
    <n v="333237"/>
    <n v="-57710"/>
    <n v="-201"/>
    <x v="1450"/>
    <n v="-1119"/>
  </r>
  <r>
    <x v="31"/>
    <x v="7"/>
    <x v="1585"/>
    <x v="717"/>
    <n v="389917"/>
    <n v="16009"/>
    <n v="855"/>
    <x v="1451"/>
    <n v="3226"/>
  </r>
  <r>
    <x v="31"/>
    <x v="8"/>
    <x v="1586"/>
    <x v="718"/>
    <n v="373097"/>
    <n v="46516"/>
    <n v="7285"/>
    <x v="1452"/>
    <n v="1443"/>
  </r>
  <r>
    <x v="31"/>
    <x v="9"/>
    <x v="1587"/>
    <x v="719"/>
    <n v="319219"/>
    <n v="-30072"/>
    <n v="1933"/>
    <x v="1453"/>
    <n v="-54"/>
  </r>
  <r>
    <x v="31"/>
    <x v="10"/>
    <x v="1588"/>
    <x v="720"/>
    <n v="347106"/>
    <n v="16834"/>
    <n v="-12399"/>
    <x v="1454"/>
    <n v="-1766"/>
  </r>
  <r>
    <x v="31"/>
    <x v="11"/>
    <x v="1589"/>
    <x v="721"/>
    <n v="338961"/>
    <n v="-5078"/>
    <n v="3371"/>
    <x v="1455"/>
    <n v="3030"/>
  </r>
  <r>
    <x v="31"/>
    <x v="12"/>
    <x v="1590"/>
    <x v="722"/>
    <n v="333279"/>
    <n v="4139"/>
    <n v="-2234"/>
    <x v="1456"/>
    <n v="1324"/>
  </r>
  <r>
    <x v="31"/>
    <x v="13"/>
    <x v="1591"/>
    <x v="723"/>
    <n v="338848"/>
    <n v="3130"/>
    <n v="1302"/>
    <x v="1457"/>
    <n v="-2760"/>
  </r>
  <r>
    <x v="31"/>
    <x v="14"/>
    <x v="1592"/>
    <x v="724"/>
    <n v="331059"/>
    <n v="-14075"/>
    <n v="3217"/>
    <x v="1458"/>
    <n v="376"/>
  </r>
  <r>
    <x v="31"/>
    <x v="15"/>
    <x v="1593"/>
    <x v="725"/>
    <n v="343876"/>
    <n v="7359"/>
    <n v="-745"/>
    <x v="1459"/>
    <n v="-2169"/>
  </r>
  <r>
    <x v="31"/>
    <x v="16"/>
    <x v="1594"/>
    <x v="726"/>
    <n v="338924"/>
    <n v="18498"/>
    <n v="3081"/>
    <x v="1460"/>
    <n v="-2170"/>
  </r>
  <r>
    <x v="31"/>
    <x v="17"/>
    <x v="1595"/>
    <x v="727"/>
    <n v="320527"/>
    <n v="6762"/>
    <n v="1626"/>
    <x v="1461"/>
    <n v="3251"/>
  </r>
  <r>
    <x v="31"/>
    <x v="18"/>
    <x v="1596"/>
    <x v="728"/>
    <n v="309018"/>
    <n v="-21392"/>
    <n v="-4428"/>
    <x v="1462"/>
    <n v="45"/>
  </r>
  <r>
    <x v="31"/>
    <x v="19"/>
    <x v="1597"/>
    <x v="729"/>
    <n v="336868"/>
    <n v="601"/>
    <n v="2928"/>
    <x v="1463"/>
    <n v="1218"/>
  </r>
  <r>
    <x v="31"/>
    <x v="20"/>
    <x v="1598"/>
    <x v="730"/>
    <n v="334071"/>
    <n v="27607"/>
    <n v="-1974"/>
    <x v="1464"/>
    <n v="-9983"/>
  </r>
  <r>
    <x v="31"/>
    <x v="21"/>
    <x v="1599"/>
    <x v="731"/>
    <n v="310083"/>
    <n v="-1387"/>
    <n v="-253"/>
    <x v="1465"/>
    <n v="11323"/>
  </r>
  <r>
    <x v="31"/>
    <x v="22"/>
    <x v="1600"/>
    <x v="732"/>
    <n v="318529"/>
    <n v="4563"/>
    <n v="3815"/>
    <x v="1466"/>
    <n v="-5518"/>
  </r>
  <r>
    <x v="31"/>
    <x v="23"/>
    <x v="1601"/>
    <x v="733"/>
    <n v="285703"/>
    <n v="45957"/>
    <n v="6868"/>
    <x v="1467"/>
    <n v="-935"/>
  </r>
  <r>
    <x v="31"/>
    <x v="24"/>
    <x v="1602"/>
    <x v="734"/>
    <n v="245146"/>
    <n v="-5919"/>
    <n v="-1766"/>
    <x v="1468"/>
    <n v="-2465"/>
  </r>
  <r>
    <x v="31"/>
    <x v="25"/>
    <x v="1603"/>
    <x v="735"/>
    <n v="241687"/>
    <n v="-17521"/>
    <n v="-6877"/>
    <x v="1469"/>
    <n v="3590"/>
  </r>
  <r>
    <x v="31"/>
    <x v="26"/>
    <x v="1604"/>
    <x v="736"/>
    <n v="259835"/>
    <n v="450"/>
    <n v="-2217"/>
    <x v="1470"/>
    <n v="-1264"/>
  </r>
  <r>
    <x v="31"/>
    <x v="27"/>
    <x v="1605"/>
    <x v="737"/>
    <n v="257378"/>
    <n v="-2617"/>
    <n v="3051"/>
    <x v="1471"/>
    <n v="10295"/>
  </r>
  <r>
    <x v="31"/>
    <x v="28"/>
    <x v="1606"/>
    <x v="738"/>
    <n v="249327"/>
    <n v="3612"/>
    <n v="-2594"/>
    <x v="1472"/>
    <n v="2878"/>
  </r>
  <r>
    <x v="31"/>
    <x v="29"/>
    <x v="1607"/>
    <x v="739"/>
    <n v="242538"/>
    <n v="31037"/>
    <n v="-1764"/>
    <x v="1473"/>
    <n v="2241"/>
  </r>
  <r>
    <x v="31"/>
    <x v="30"/>
    <x v="1608"/>
    <x v="740"/>
    <n v="225971"/>
    <n v="2612"/>
    <n v="1662"/>
    <x v="1474"/>
    <n v="-1446"/>
  </r>
  <r>
    <x v="31"/>
    <x v="31"/>
    <x v="1609"/>
    <x v="741"/>
    <n v="222744"/>
    <n v="6428"/>
    <n v="4797"/>
    <x v="1475"/>
    <n v="-2924"/>
  </r>
  <r>
    <x v="31"/>
    <x v="32"/>
    <x v="1610"/>
    <x v="742"/>
    <n v="209829"/>
    <n v="-3998"/>
    <n v="-4849"/>
    <x v="1476"/>
    <n v="-78"/>
  </r>
  <r>
    <x v="31"/>
    <x v="33"/>
    <x v="1611"/>
    <x v="33"/>
    <n v="228538"/>
    <s v="n.a."/>
    <s v="n.a."/>
    <x v="1477"/>
    <n v="3088"/>
  </r>
  <r>
    <x v="31"/>
    <x v="34"/>
    <x v="1612"/>
    <x v="33"/>
    <n v="192585"/>
    <s v="n.a."/>
    <s v="n.a."/>
    <x v="1478"/>
    <n v="-1745"/>
  </r>
  <r>
    <x v="31"/>
    <x v="35"/>
    <x v="1613"/>
    <x v="33"/>
    <n v="204546"/>
    <s v="n.a."/>
    <s v="n.a."/>
    <x v="1479"/>
    <n v="765"/>
  </r>
  <r>
    <x v="31"/>
    <x v="36"/>
    <x v="1614"/>
    <x v="33"/>
    <n v="194738"/>
    <s v="n.a."/>
    <s v="n.a."/>
    <x v="1480"/>
    <n v="4493"/>
  </r>
  <r>
    <x v="31"/>
    <x v="37"/>
    <x v="1615"/>
    <x v="33"/>
    <n v="180966"/>
    <s v="n.a."/>
    <s v="n.a."/>
    <x v="1481"/>
    <n v="217"/>
  </r>
  <r>
    <x v="31"/>
    <x v="38"/>
    <x v="1616"/>
    <x v="33"/>
    <n v="209484"/>
    <s v="n.a."/>
    <s v="n.a."/>
    <x v="1482"/>
    <n v="-470"/>
  </r>
  <r>
    <x v="31"/>
    <x v="39"/>
    <x v="1617"/>
    <x v="33"/>
    <n v="208738"/>
    <s v="n.a."/>
    <s v="n.a."/>
    <x v="1483"/>
    <n v="2863"/>
  </r>
  <r>
    <x v="31"/>
    <x v="40"/>
    <x v="1618"/>
    <x v="33"/>
    <n v="189840"/>
    <s v="n.a."/>
    <s v="n.a."/>
    <x v="1484"/>
    <n v="1941"/>
  </r>
  <r>
    <x v="31"/>
    <x v="41"/>
    <x v="1619"/>
    <x v="33"/>
    <n v="211054"/>
    <s v="n.a."/>
    <s v="n.a."/>
    <x v="1485"/>
    <n v="-7680"/>
  </r>
  <r>
    <x v="31"/>
    <x v="42"/>
    <x v="1620"/>
    <x v="33"/>
    <n v="212565"/>
    <s v="n.a."/>
    <s v="n.a."/>
    <x v="1486"/>
    <n v="127"/>
  </r>
  <r>
    <x v="31"/>
    <x v="43"/>
    <x v="1621"/>
    <x v="33"/>
    <n v="214591"/>
    <s v="n.a."/>
    <s v="n.a."/>
    <x v="1487"/>
    <n v="-8478"/>
  </r>
  <r>
    <x v="31"/>
    <x v="44"/>
    <x v="1622"/>
    <x v="33"/>
    <n v="193679"/>
    <s v="n.a."/>
    <s v="n.a."/>
    <x v="1488"/>
    <n v="8902"/>
  </r>
  <r>
    <x v="31"/>
    <x v="45"/>
    <x v="1623"/>
    <x v="33"/>
    <n v="196055"/>
    <s v="n.a."/>
    <s v="n.a."/>
    <x v="1489"/>
    <n v="3339"/>
  </r>
  <r>
    <x v="31"/>
    <x v="46"/>
    <x v="1624"/>
    <x v="33"/>
    <n v="201482"/>
    <s v="n.a."/>
    <s v="n.a."/>
    <x v="1490"/>
    <n v="-1164"/>
  </r>
  <r>
    <x v="31"/>
    <x v="47"/>
    <x v="1625"/>
    <x v="33"/>
    <n v="175714"/>
    <s v="n.a."/>
    <s v="n.a."/>
    <x v="1491"/>
    <n v="-2011"/>
  </r>
  <r>
    <x v="31"/>
    <x v="48"/>
    <x v="1626"/>
    <x v="33"/>
    <n v="178913"/>
    <s v="n.a."/>
    <s v="n.a."/>
    <x v="1492"/>
    <n v="3241"/>
  </r>
  <r>
    <x v="31"/>
    <x v="49"/>
    <x v="1627"/>
    <x v="33"/>
    <n v="148981"/>
    <s v="n.a."/>
    <s v="n.a."/>
    <x v="1493"/>
    <n v="588"/>
  </r>
  <r>
    <x v="31"/>
    <x v="50"/>
    <x v="1628"/>
    <x v="33"/>
    <n v="151653"/>
    <s v="n.a."/>
    <s v="n.a."/>
    <x v="1494"/>
    <n v="-465"/>
  </r>
  <r>
    <x v="31"/>
    <x v="51"/>
    <x v="1629"/>
    <x v="33"/>
    <n v="149037"/>
    <s v="n.a."/>
    <s v="n.a."/>
    <x v="1495"/>
    <n v="252"/>
  </r>
  <r>
    <x v="31"/>
    <x v="52"/>
    <x v="1630"/>
    <x v="33"/>
    <n v="150036"/>
    <s v="n.a."/>
    <s v="n.a."/>
    <x v="1496"/>
    <n v="-2780"/>
  </r>
  <r>
    <x v="31"/>
    <x v="53"/>
    <x v="1631"/>
    <x v="33"/>
    <n v="100537"/>
    <s v="n.a."/>
    <s v="n.a."/>
    <x v="1497"/>
    <n v="7"/>
  </r>
  <r>
    <x v="31"/>
    <x v="54"/>
    <x v="1632"/>
    <x v="33"/>
    <n v="95542"/>
    <s v="n.a."/>
    <s v="n.a."/>
    <x v="1498"/>
    <n v="-210"/>
  </r>
  <r>
    <x v="31"/>
    <x v="55"/>
    <x v="1633"/>
    <x v="33"/>
    <n v="85273"/>
    <s v="n.a."/>
    <s v="n.a."/>
    <x v="1499"/>
    <n v="-1110"/>
  </r>
  <r>
    <x v="31"/>
    <x v="56"/>
    <x v="1634"/>
    <x v="33"/>
    <n v="90818"/>
    <s v="n.a."/>
    <s v="n.a."/>
    <x v="1500"/>
    <n v="-3676"/>
  </r>
  <r>
    <x v="31"/>
    <x v="57"/>
    <x v="1635"/>
    <x v="33"/>
    <n v="101115"/>
    <s v="n.a."/>
    <s v="n.a."/>
    <x v="1501"/>
    <n v="468"/>
  </r>
  <r>
    <x v="31"/>
    <x v="58"/>
    <x v="1636"/>
    <x v="33"/>
    <n v="94852"/>
    <s v="n.a."/>
    <s v="n.a."/>
    <x v="1502"/>
    <n v="346"/>
  </r>
  <r>
    <x v="31"/>
    <x v="59"/>
    <x v="1637"/>
    <x v="33"/>
    <n v="102730"/>
    <s v="n.a."/>
    <s v="n.a."/>
    <x v="1503"/>
    <n v="3596"/>
  </r>
  <r>
    <x v="31"/>
    <x v="60"/>
    <x v="1638"/>
    <x v="33"/>
    <n v="110222"/>
    <s v="n.a."/>
    <s v="n.a."/>
    <x v="1504"/>
    <n v="-2159"/>
  </r>
  <r>
    <x v="31"/>
    <x v="61"/>
    <x v="1639"/>
    <x v="33"/>
    <n v="104712"/>
    <s v="n.a."/>
    <s v="n.a."/>
    <x v="1505"/>
    <n v="-2024"/>
  </r>
  <r>
    <x v="31"/>
    <x v="62"/>
    <x v="1640"/>
    <x v="33"/>
    <n v="105759"/>
    <s v="n.a."/>
    <s v="n.a."/>
    <x v="1506"/>
    <n v="508"/>
  </r>
  <r>
    <x v="31"/>
    <x v="63"/>
    <x v="1641"/>
    <x v="33"/>
    <n v="109104"/>
    <s v="n.a."/>
    <s v="n.a."/>
    <x v="1507"/>
    <n v="-1061"/>
  </r>
  <r>
    <x v="31"/>
    <x v="64"/>
    <x v="1642"/>
    <x v="33"/>
    <n v="101763"/>
    <s v="n.a."/>
    <s v="n.a."/>
    <x v="1508"/>
    <n v="837"/>
  </r>
  <r>
    <x v="31"/>
    <x v="65"/>
    <x v="1643"/>
    <x v="33"/>
    <n v="104892"/>
    <s v="n.a."/>
    <s v="n.a."/>
    <x v="1509"/>
    <n v="1627"/>
  </r>
  <r>
    <x v="31"/>
    <x v="66"/>
    <x v="1644"/>
    <x v="33"/>
    <n v="112875"/>
    <s v="n.a."/>
    <s v="n.a."/>
    <x v="1510"/>
    <n v="3553"/>
  </r>
  <r>
    <x v="31"/>
    <x v="67"/>
    <x v="1645"/>
    <x v="33"/>
    <n v="111687"/>
    <s v="n.a."/>
    <s v="n.a."/>
    <x v="1511"/>
    <n v="-1422"/>
  </r>
  <r>
    <x v="31"/>
    <x v="68"/>
    <x v="1646"/>
    <x v="33"/>
    <n v="127044"/>
    <s v="n.a."/>
    <s v="n.a."/>
    <x v="1512"/>
    <n v="1936"/>
  </r>
  <r>
    <x v="31"/>
    <x v="69"/>
    <x v="1647"/>
    <x v="33"/>
    <n v="138611"/>
    <s v="n.a."/>
    <s v="n.a."/>
    <x v="1513"/>
    <n v="1336"/>
  </r>
  <r>
    <x v="32"/>
    <x v="0"/>
    <x v="1648"/>
    <x v="743"/>
    <n v="4884"/>
    <n v="917"/>
    <n v="-27"/>
    <x v="1025"/>
    <n v="680"/>
  </r>
  <r>
    <x v="32"/>
    <x v="1"/>
    <x v="1649"/>
    <x v="744"/>
    <n v="4069"/>
    <n v="196"/>
    <n v="-17"/>
    <x v="1514"/>
    <n v="-656"/>
  </r>
  <r>
    <x v="32"/>
    <x v="2"/>
    <x v="1650"/>
    <x v="745"/>
    <n v="4039"/>
    <n v="540"/>
    <n v="16"/>
    <x v="1515"/>
    <n v="-12"/>
  </r>
  <r>
    <x v="32"/>
    <x v="3"/>
    <x v="1651"/>
    <x v="746"/>
    <n v="3587"/>
    <n v="381"/>
    <n v="-27"/>
    <x v="1516"/>
    <n v="70"/>
  </r>
  <r>
    <x v="32"/>
    <x v="4"/>
    <x v="1336"/>
    <x v="747"/>
    <n v="3419"/>
    <n v="277"/>
    <n v="-18"/>
    <x v="1517"/>
    <n v="-44"/>
  </r>
  <r>
    <x v="32"/>
    <x v="5"/>
    <x v="1652"/>
    <x v="748"/>
    <n v="3715"/>
    <n v="776"/>
    <n v="-20"/>
    <x v="1518"/>
    <n v="-252"/>
  </r>
  <r>
    <x v="32"/>
    <x v="6"/>
    <x v="1653"/>
    <x v="405"/>
    <n v="3000"/>
    <n v="72"/>
    <n v="-9"/>
    <x v="1519"/>
    <n v="185"/>
  </r>
  <r>
    <x v="32"/>
    <x v="7"/>
    <x v="1654"/>
    <x v="578"/>
    <n v="3112"/>
    <n v="-18"/>
    <n v="-2"/>
    <x v="1520"/>
    <n v="16"/>
  </r>
  <r>
    <x v="32"/>
    <x v="8"/>
    <x v="1655"/>
    <x v="162"/>
    <n v="3054"/>
    <n v="171"/>
    <n v="1"/>
    <x v="1521"/>
    <n v="-137"/>
  </r>
  <r>
    <x v="32"/>
    <x v="9"/>
    <x v="1656"/>
    <x v="348"/>
    <n v="2978"/>
    <n v="230"/>
    <n v="-4"/>
    <x v="1522"/>
    <n v="-89"/>
  </r>
  <r>
    <x v="32"/>
    <x v="10"/>
    <x v="1657"/>
    <x v="749"/>
    <n v="2803"/>
    <n v="228"/>
    <n v="-27"/>
    <x v="1523"/>
    <n v="27"/>
  </r>
  <r>
    <x v="32"/>
    <x v="11"/>
    <x v="1658"/>
    <x v="397"/>
    <n v="3553"/>
    <n v="116"/>
    <n v="28"/>
    <x v="1524"/>
    <n v="-271"/>
  </r>
  <r>
    <x v="32"/>
    <x v="12"/>
    <x v="1659"/>
    <x v="750"/>
    <n v="3470"/>
    <n v="84"/>
    <n v="-74"/>
    <x v="1525"/>
    <n v="-257"/>
  </r>
  <r>
    <x v="32"/>
    <x v="13"/>
    <x v="1660"/>
    <x v="751"/>
    <n v="3499"/>
    <n v="-129"/>
    <n v="4"/>
    <x v="1526"/>
    <n v="-58"/>
  </r>
  <r>
    <x v="32"/>
    <x v="14"/>
    <x v="1659"/>
    <x v="752"/>
    <n v="3155"/>
    <n v="258"/>
    <n v="16"/>
    <x v="1527"/>
    <n v="580"/>
  </r>
  <r>
    <x v="32"/>
    <x v="15"/>
    <x v="1661"/>
    <x v="753"/>
    <n v="2633"/>
    <n v="110"/>
    <n v="18"/>
    <x v="1528"/>
    <n v="306"/>
  </r>
  <r>
    <x v="32"/>
    <x v="16"/>
    <x v="1662"/>
    <x v="754"/>
    <n v="2576"/>
    <n v="111"/>
    <n v="42"/>
    <x v="1529"/>
    <n v="-26"/>
  </r>
  <r>
    <x v="32"/>
    <x v="17"/>
    <x v="1663"/>
    <x v="755"/>
    <n v="2516"/>
    <n v="131"/>
    <n v="16"/>
    <x v="1530"/>
    <n v="152"/>
  </r>
  <r>
    <x v="32"/>
    <x v="18"/>
    <x v="1664"/>
    <x v="756"/>
    <n v="2544"/>
    <n v="954"/>
    <n v="-16"/>
    <x v="1531"/>
    <n v="263"/>
  </r>
  <r>
    <x v="32"/>
    <x v="19"/>
    <x v="1665"/>
    <x v="757"/>
    <n v="2698"/>
    <n v="46"/>
    <n v="10"/>
    <x v="1532"/>
    <n v="984"/>
  </r>
  <r>
    <x v="32"/>
    <x v="20"/>
    <x v="1666"/>
    <x v="76"/>
    <n v="2792"/>
    <n v="35"/>
    <n v="-18"/>
    <x v="1533"/>
    <n v="-107"/>
  </r>
  <r>
    <x v="32"/>
    <x v="21"/>
    <x v="1667"/>
    <x v="758"/>
    <n v="2806"/>
    <n v="184"/>
    <n v="-12"/>
    <x v="1534"/>
    <n v="48"/>
  </r>
  <r>
    <x v="32"/>
    <x v="22"/>
    <x v="1668"/>
    <x v="759"/>
    <n v="2724"/>
    <n v="307"/>
    <n v="27"/>
    <x v="1535"/>
    <n v="-103"/>
  </r>
  <r>
    <x v="32"/>
    <x v="23"/>
    <x v="1669"/>
    <x v="760"/>
    <n v="2419"/>
    <n v="246"/>
    <n v="10"/>
    <x v="1536"/>
    <n v="-179"/>
  </r>
  <r>
    <x v="32"/>
    <x v="24"/>
    <x v="1670"/>
    <x v="761"/>
    <n v="2306"/>
    <n v="173"/>
    <n v="-3"/>
    <x v="1537"/>
    <n v="-1550"/>
  </r>
  <r>
    <x v="32"/>
    <x v="25"/>
    <x v="1671"/>
    <x v="762"/>
    <n v="2306"/>
    <n v="188"/>
    <n v="-46"/>
    <x v="1538"/>
    <n v="175"/>
  </r>
  <r>
    <x v="32"/>
    <x v="26"/>
    <x v="1672"/>
    <x v="763"/>
    <n v="2189"/>
    <n v="182"/>
    <n v="-6"/>
    <x v="1539"/>
    <n v="52"/>
  </r>
  <r>
    <x v="32"/>
    <x v="27"/>
    <x v="1673"/>
    <x v="764"/>
    <n v="2033"/>
    <n v="73"/>
    <n v="-18"/>
    <x v="1540"/>
    <n v="138"/>
  </r>
  <r>
    <x v="32"/>
    <x v="28"/>
    <x v="1674"/>
    <x v="536"/>
    <n v="1987"/>
    <n v="86"/>
    <n v="-13"/>
    <x v="1541"/>
    <n v="99"/>
  </r>
  <r>
    <x v="32"/>
    <x v="29"/>
    <x v="1675"/>
    <x v="765"/>
    <n v="1916"/>
    <n v="122"/>
    <n v="7"/>
    <x v="1542"/>
    <n v="113"/>
  </r>
  <r>
    <x v="32"/>
    <x v="30"/>
    <x v="1676"/>
    <x v="766"/>
    <n v="1855"/>
    <n v="88"/>
    <n v="2"/>
    <x v="1543"/>
    <n v="217"/>
  </r>
  <r>
    <x v="32"/>
    <x v="31"/>
    <x v="1677"/>
    <x v="767"/>
    <n v="1854"/>
    <n v="214"/>
    <n v="-243"/>
    <x v="1544"/>
    <n v="653"/>
  </r>
  <r>
    <x v="32"/>
    <x v="32"/>
    <x v="286"/>
    <x v="768"/>
    <n v="1848"/>
    <n v="141"/>
    <n v="-15"/>
    <x v="1545"/>
    <n v="240"/>
  </r>
  <r>
    <x v="32"/>
    <x v="33"/>
    <x v="1678"/>
    <x v="33"/>
    <n v="1763"/>
    <s v="n.a."/>
    <s v="n.a."/>
    <x v="1546"/>
    <n v="378"/>
  </r>
  <r>
    <x v="32"/>
    <x v="34"/>
    <x v="1679"/>
    <x v="33"/>
    <n v="1829"/>
    <s v="n.a."/>
    <s v="n.a."/>
    <x v="1547"/>
    <n v="-277"/>
  </r>
  <r>
    <x v="32"/>
    <x v="35"/>
    <x v="1680"/>
    <x v="33"/>
    <n v="1769"/>
    <s v="n.a."/>
    <s v="n.a."/>
    <x v="1548"/>
    <n v="292"/>
  </r>
  <r>
    <x v="32"/>
    <x v="36"/>
    <x v="1681"/>
    <x v="33"/>
    <n v="1510"/>
    <s v="n.a."/>
    <s v="n.a."/>
    <x v="1549"/>
    <n v="499"/>
  </r>
  <r>
    <x v="32"/>
    <x v="37"/>
    <x v="1682"/>
    <x v="33"/>
    <n v="1337"/>
    <s v="n.a."/>
    <s v="n.a."/>
    <x v="1550"/>
    <n v="275"/>
  </r>
  <r>
    <x v="32"/>
    <x v="38"/>
    <x v="1683"/>
    <x v="33"/>
    <n v="1301"/>
    <s v="n.a."/>
    <s v="n.a."/>
    <x v="1551"/>
    <n v="237"/>
  </r>
  <r>
    <x v="32"/>
    <x v="39"/>
    <x v="883"/>
    <x v="33"/>
    <n v="1205"/>
    <s v="n.a."/>
    <s v="n.a."/>
    <x v="1552"/>
    <n v="399"/>
  </r>
  <r>
    <x v="32"/>
    <x v="40"/>
    <x v="1684"/>
    <x v="33"/>
    <n v="1093"/>
    <s v="n.a."/>
    <s v="n.a."/>
    <x v="1553"/>
    <n v="362"/>
  </r>
  <r>
    <x v="32"/>
    <x v="41"/>
    <x v="1685"/>
    <x v="33"/>
    <n v="934"/>
    <s v="n.a."/>
    <s v="n.a."/>
    <x v="1554"/>
    <n v="60"/>
  </r>
  <r>
    <x v="32"/>
    <x v="42"/>
    <x v="1686"/>
    <x v="33"/>
    <n v="915"/>
    <s v="n.a."/>
    <s v="n.a."/>
    <x v="1555"/>
    <n v="199"/>
  </r>
  <r>
    <x v="32"/>
    <x v="43"/>
    <x v="1687"/>
    <x v="33"/>
    <n v="788"/>
    <s v="n.a."/>
    <s v="n.a."/>
    <x v="1556"/>
    <n v="245"/>
  </r>
  <r>
    <x v="32"/>
    <x v="44"/>
    <x v="1688"/>
    <x v="33"/>
    <n v="726"/>
    <s v="n.a."/>
    <s v="n.a."/>
    <x v="1557"/>
    <n v="89"/>
  </r>
  <r>
    <x v="32"/>
    <x v="45"/>
    <x v="1689"/>
    <x v="33"/>
    <n v="757"/>
    <s v="n.a."/>
    <s v="n.a."/>
    <x v="1558"/>
    <n v="42"/>
  </r>
  <r>
    <x v="32"/>
    <x v="46"/>
    <x v="1690"/>
    <x v="33"/>
    <n v="762"/>
    <s v="n.a."/>
    <s v="n.a."/>
    <x v="1559"/>
    <n v="-42"/>
  </r>
  <r>
    <x v="32"/>
    <x v="47"/>
    <x v="1125"/>
    <x v="33"/>
    <n v="778"/>
    <s v="n.a."/>
    <s v="n.a."/>
    <x v="1558"/>
    <n v="44"/>
  </r>
  <r>
    <x v="32"/>
    <x v="48"/>
    <x v="1691"/>
    <x v="33"/>
    <n v="832"/>
    <s v="n.a."/>
    <s v="n.a."/>
    <x v="1560"/>
    <n v="-54"/>
  </r>
  <r>
    <x v="32"/>
    <x v="49"/>
    <x v="1692"/>
    <x v="33"/>
    <n v="770"/>
    <s v="n.a."/>
    <s v="n.a."/>
    <x v="1561"/>
    <n v="72"/>
  </r>
  <r>
    <x v="32"/>
    <x v="50"/>
    <x v="1693"/>
    <x v="33"/>
    <n v="803"/>
    <s v="n.a."/>
    <s v="n.a."/>
    <x v="1562"/>
    <n v="-32"/>
  </r>
  <r>
    <x v="32"/>
    <x v="51"/>
    <x v="1694"/>
    <x v="33"/>
    <n v="809"/>
    <s v="n.a."/>
    <s v="n.a."/>
    <x v="1563"/>
    <n v="-19"/>
  </r>
  <r>
    <x v="32"/>
    <x v="52"/>
    <x v="1695"/>
    <x v="33"/>
    <n v="830"/>
    <s v="n.a."/>
    <s v="n.a."/>
    <x v="1564"/>
    <n v="-45"/>
  </r>
  <r>
    <x v="32"/>
    <x v="53"/>
    <x v="1696"/>
    <x v="33"/>
    <n v="805"/>
    <s v="n.a."/>
    <s v="n.a."/>
    <x v="1565"/>
    <n v="41"/>
  </r>
  <r>
    <x v="32"/>
    <x v="54"/>
    <x v="1697"/>
    <x v="33"/>
    <n v="818"/>
    <s v="n.a."/>
    <s v="n.a."/>
    <x v="1566"/>
    <n v="-95"/>
  </r>
  <r>
    <x v="32"/>
    <x v="55"/>
    <x v="1698"/>
    <x v="33"/>
    <n v="820"/>
    <s v="n.a."/>
    <s v="n.a."/>
    <x v="1567"/>
    <n v="-84"/>
  </r>
  <r>
    <x v="32"/>
    <x v="56"/>
    <x v="1699"/>
    <x v="33"/>
    <n v="844"/>
    <s v="n.a."/>
    <s v="n.a."/>
    <x v="1568"/>
    <n v="-158"/>
  </r>
  <r>
    <x v="32"/>
    <x v="57"/>
    <x v="1700"/>
    <x v="33"/>
    <n v="932"/>
    <s v="n.a."/>
    <s v="n.a."/>
    <x v="1569"/>
    <n v="-15"/>
  </r>
  <r>
    <x v="32"/>
    <x v="58"/>
    <x v="1701"/>
    <x v="33"/>
    <n v="950"/>
    <s v="n.a."/>
    <s v="n.a."/>
    <x v="1570"/>
    <n v="-293"/>
  </r>
  <r>
    <x v="32"/>
    <x v="59"/>
    <x v="1702"/>
    <x v="33"/>
    <n v="960"/>
    <s v="n.a."/>
    <s v="n.a."/>
    <x v="1571"/>
    <n v="-81"/>
  </r>
  <r>
    <x v="32"/>
    <x v="60"/>
    <x v="1703"/>
    <x v="33"/>
    <n v="1038"/>
    <s v="n.a."/>
    <s v="n.a."/>
    <x v="1572"/>
    <n v="-260"/>
  </r>
  <r>
    <x v="32"/>
    <x v="61"/>
    <x v="1704"/>
    <x v="33"/>
    <n v="1092"/>
    <s v="n.a."/>
    <s v="n.a."/>
    <x v="1573"/>
    <n v="-215"/>
  </r>
  <r>
    <x v="32"/>
    <x v="62"/>
    <x v="1705"/>
    <x v="33"/>
    <n v="1163"/>
    <s v="n.a."/>
    <s v="n.a."/>
    <x v="1574"/>
    <n v="-52"/>
  </r>
  <r>
    <x v="32"/>
    <x v="63"/>
    <x v="1706"/>
    <x v="33"/>
    <n v="1200"/>
    <s v="n.a."/>
    <s v="n.a."/>
    <x v="1575"/>
    <n v="-251"/>
  </r>
  <r>
    <x v="32"/>
    <x v="64"/>
    <x v="1707"/>
    <x v="33"/>
    <n v="1240"/>
    <s v="n.a."/>
    <s v="n.a."/>
    <x v="1576"/>
    <n v="-109"/>
  </r>
  <r>
    <x v="32"/>
    <x v="65"/>
    <x v="1708"/>
    <x v="33"/>
    <n v="1297"/>
    <s v="n.a."/>
    <s v="n.a."/>
    <x v="1577"/>
    <n v="-121"/>
  </r>
  <r>
    <x v="32"/>
    <x v="66"/>
    <x v="1709"/>
    <x v="33"/>
    <n v="1300"/>
    <s v="n.a."/>
    <s v="n.a."/>
    <x v="1578"/>
    <n v="-554"/>
  </r>
  <r>
    <x v="32"/>
    <x v="67"/>
    <x v="1710"/>
    <x v="33"/>
    <n v="1342"/>
    <s v="n.a."/>
    <s v="n.a."/>
    <x v="1579"/>
    <n v="-395"/>
  </r>
  <r>
    <x v="32"/>
    <x v="68"/>
    <x v="1711"/>
    <x v="33"/>
    <n v="1437"/>
    <s v="n.a."/>
    <s v="n.a."/>
    <x v="1580"/>
    <n v="-261"/>
  </r>
  <r>
    <x v="32"/>
    <x v="69"/>
    <x v="1712"/>
    <x v="33"/>
    <n v="1410"/>
    <s v="n.a."/>
    <s v="n.a."/>
    <x v="1581"/>
    <n v="-5"/>
  </r>
  <r>
    <x v="33"/>
    <x v="0"/>
    <x v="1713"/>
    <x v="769"/>
    <n v="166325"/>
    <n v="-5512"/>
    <n v="466"/>
    <x v="1582"/>
    <n v="213"/>
  </r>
  <r>
    <x v="33"/>
    <x v="1"/>
    <x v="1714"/>
    <x v="770"/>
    <n v="171487"/>
    <n v="-11820"/>
    <n v="251"/>
    <x v="1583"/>
    <n v="-225"/>
  </r>
  <r>
    <x v="33"/>
    <x v="2"/>
    <x v="1715"/>
    <x v="771"/>
    <n v="183112"/>
    <n v="-16826"/>
    <n v="1200"/>
    <x v="1584"/>
    <n v="-1655"/>
  </r>
  <r>
    <x v="33"/>
    <x v="3"/>
    <x v="1716"/>
    <x v="772"/>
    <n v="198623"/>
    <n v="-11894"/>
    <n v="-791"/>
    <x v="1585"/>
    <n v="-821"/>
  </r>
  <r>
    <x v="33"/>
    <x v="4"/>
    <x v="1717"/>
    <x v="773"/>
    <n v="211446"/>
    <n v="1645"/>
    <n v="1292"/>
    <x v="1586"/>
    <n v="161"/>
  </r>
  <r>
    <x v="33"/>
    <x v="5"/>
    <x v="1718"/>
    <x v="774"/>
    <n v="208327"/>
    <n v="3229"/>
    <n v="-1348"/>
    <x v="1587"/>
    <n v="-1806"/>
  </r>
  <r>
    <x v="33"/>
    <x v="6"/>
    <x v="1719"/>
    <x v="775"/>
    <n v="206509"/>
    <n v="2215"/>
    <n v="1371"/>
    <x v="1588"/>
    <n v="105"/>
  </r>
  <r>
    <x v="33"/>
    <x v="7"/>
    <x v="1720"/>
    <x v="776"/>
    <n v="202976"/>
    <n v="418"/>
    <n v="424"/>
    <x v="1589"/>
    <n v="454"/>
  </r>
  <r>
    <x v="33"/>
    <x v="8"/>
    <x v="1721"/>
    <x v="777"/>
    <n v="202283"/>
    <n v="1848"/>
    <n v="2264"/>
    <x v="1590"/>
    <n v="3709"/>
  </r>
  <r>
    <x v="33"/>
    <x v="9"/>
    <x v="1722"/>
    <x v="778"/>
    <n v="198181"/>
    <n v="-3214"/>
    <n v="662"/>
    <x v="4"/>
    <n v="343"/>
  </r>
  <r>
    <x v="33"/>
    <x v="10"/>
    <x v="1723"/>
    <x v="779"/>
    <n v="200720"/>
    <n v="-26232"/>
    <n v="-551"/>
    <x v="1591"/>
    <n v="-394"/>
  </r>
  <r>
    <x v="33"/>
    <x v="11"/>
    <x v="1724"/>
    <x v="780"/>
    <n v="227669"/>
    <n v="-1243"/>
    <n v="873"/>
    <x v="1592"/>
    <n v="280"/>
  </r>
  <r>
    <x v="33"/>
    <x v="12"/>
    <x v="1725"/>
    <x v="781"/>
    <n v="227814"/>
    <n v="-405"/>
    <n v="-3489"/>
    <x v="1593"/>
    <n v="-1585"/>
  </r>
  <r>
    <x v="33"/>
    <x v="13"/>
    <x v="1726"/>
    <x v="782"/>
    <n v="231939"/>
    <n v="-231"/>
    <n v="1560"/>
    <x v="1594"/>
    <n v="-8"/>
  </r>
  <r>
    <x v="33"/>
    <x v="14"/>
    <x v="1727"/>
    <x v="783"/>
    <n v="230684"/>
    <n v="2947"/>
    <n v="1726"/>
    <x v="1595"/>
    <n v="-464"/>
  </r>
  <r>
    <x v="33"/>
    <x v="15"/>
    <x v="1728"/>
    <x v="784"/>
    <n v="226049"/>
    <n v="-803"/>
    <n v="3004"/>
    <x v="711"/>
    <n v="-60"/>
  </r>
  <r>
    <x v="33"/>
    <x v="16"/>
    <x v="1729"/>
    <x v="785"/>
    <n v="223851"/>
    <n v="3728"/>
    <n v="1195"/>
    <x v="1596"/>
    <n v="-1151"/>
  </r>
  <r>
    <x v="33"/>
    <x v="17"/>
    <x v="1730"/>
    <x v="786"/>
    <n v="218912"/>
    <n v="1375"/>
    <n v="1684"/>
    <x v="1597"/>
    <n v="-3672"/>
  </r>
  <r>
    <x v="33"/>
    <x v="18"/>
    <x v="1731"/>
    <x v="787"/>
    <n v="215668"/>
    <n v="-1189"/>
    <n v="-2769"/>
    <x v="1598"/>
    <n v="712"/>
  </r>
  <r>
    <x v="33"/>
    <x v="19"/>
    <x v="1732"/>
    <x v="788"/>
    <n v="219862"/>
    <n v="1589"/>
    <n v="493"/>
    <x v="1599"/>
    <n v="-780"/>
  </r>
  <r>
    <x v="33"/>
    <x v="20"/>
    <x v="1733"/>
    <x v="789"/>
    <n v="217549"/>
    <n v="1668"/>
    <n v="-2099"/>
    <x v="1600"/>
    <n v="-505"/>
  </r>
  <r>
    <x v="33"/>
    <x v="21"/>
    <x v="1734"/>
    <x v="790"/>
    <n v="218259"/>
    <n v="-2838"/>
    <n v="469"/>
    <x v="1601"/>
    <n v="-159"/>
  </r>
  <r>
    <x v="33"/>
    <x v="22"/>
    <x v="1735"/>
    <x v="791"/>
    <n v="221588"/>
    <n v="2582"/>
    <n v="3436"/>
    <x v="1602"/>
    <n v="-356"/>
  </r>
  <r>
    <x v="33"/>
    <x v="23"/>
    <x v="1736"/>
    <x v="792"/>
    <n v="215807"/>
    <n v="-1497"/>
    <n v="3554"/>
    <x v="1603"/>
    <n v="2953"/>
  </r>
  <r>
    <x v="33"/>
    <x v="24"/>
    <x v="1737"/>
    <x v="793"/>
    <n v="213329"/>
    <n v="-3753"/>
    <n v="-823"/>
    <x v="1604"/>
    <n v="966"/>
  </r>
  <r>
    <x v="33"/>
    <x v="25"/>
    <x v="1738"/>
    <x v="794"/>
    <n v="217858"/>
    <n v="1961"/>
    <n v="-1925"/>
    <x v="1605"/>
    <n v="719"/>
  </r>
  <r>
    <x v="33"/>
    <x v="26"/>
    <x v="1739"/>
    <x v="208"/>
    <n v="218756"/>
    <n v="-466"/>
    <n v="-286"/>
    <x v="1606"/>
    <n v="-615"/>
  </r>
  <r>
    <x v="33"/>
    <x v="27"/>
    <x v="1740"/>
    <x v="795"/>
    <n v="219694"/>
    <n v="-3164"/>
    <n v="81"/>
    <x v="1607"/>
    <n v="295"/>
  </r>
  <r>
    <x v="33"/>
    <x v="28"/>
    <x v="1741"/>
    <x v="796"/>
    <n v="222729"/>
    <n v="-1412"/>
    <n v="-1944"/>
    <x v="1608"/>
    <n v="614"/>
  </r>
  <r>
    <x v="33"/>
    <x v="29"/>
    <x v="1742"/>
    <x v="797"/>
    <n v="225890"/>
    <n v="2510"/>
    <n v="-1976"/>
    <x v="1609"/>
    <n v="-302"/>
  </r>
  <r>
    <x v="33"/>
    <x v="30"/>
    <x v="1743"/>
    <x v="798"/>
    <n v="225342"/>
    <n v="4629"/>
    <n v="399"/>
    <x v="1610"/>
    <n v="426"/>
  </r>
  <r>
    <x v="33"/>
    <x v="31"/>
    <x v="1744"/>
    <x v="799"/>
    <n v="220434"/>
    <n v="3617"/>
    <n v="4442"/>
    <x v="1611"/>
    <n v="1058"/>
  </r>
  <r>
    <x v="33"/>
    <x v="32"/>
    <x v="1745"/>
    <x v="800"/>
    <n v="212233"/>
    <n v="3398"/>
    <n v="-2974"/>
    <x v="1612"/>
    <n v="1107"/>
  </r>
  <r>
    <x v="33"/>
    <x v="33"/>
    <x v="1746"/>
    <x v="33"/>
    <n v="212138"/>
    <s v="n.a."/>
    <s v="n.a."/>
    <x v="1613"/>
    <n v="636"/>
  </r>
  <r>
    <x v="33"/>
    <x v="34"/>
    <x v="1747"/>
    <x v="33"/>
    <n v="216212"/>
    <s v="n.a."/>
    <s v="n.a."/>
    <x v="1614"/>
    <n v="234"/>
  </r>
  <r>
    <x v="33"/>
    <x v="35"/>
    <x v="1748"/>
    <x v="33"/>
    <n v="224891"/>
    <s v="n.a."/>
    <s v="n.a."/>
    <x v="1615"/>
    <n v="119"/>
  </r>
  <r>
    <x v="33"/>
    <x v="36"/>
    <x v="1749"/>
    <x v="33"/>
    <n v="219238"/>
    <s v="n.a."/>
    <s v="n.a."/>
    <x v="1616"/>
    <n v="249"/>
  </r>
  <r>
    <x v="33"/>
    <x v="37"/>
    <x v="1750"/>
    <x v="33"/>
    <n v="221166"/>
    <s v="n.a."/>
    <s v="n.a."/>
    <x v="833"/>
    <n v="61"/>
  </r>
  <r>
    <x v="33"/>
    <x v="38"/>
    <x v="1751"/>
    <x v="33"/>
    <n v="226785"/>
    <s v="n.a."/>
    <s v="n.a."/>
    <x v="1617"/>
    <n v="-246"/>
  </r>
  <r>
    <x v="33"/>
    <x v="39"/>
    <x v="1752"/>
    <x v="33"/>
    <n v="232068"/>
    <s v="n.a."/>
    <s v="n.a."/>
    <x v="1618"/>
    <n v="14"/>
  </r>
  <r>
    <x v="33"/>
    <x v="40"/>
    <x v="1753"/>
    <x v="33"/>
    <n v="225343"/>
    <s v="n.a."/>
    <s v="n.a."/>
    <x v="1619"/>
    <n v="-3"/>
  </r>
  <r>
    <x v="33"/>
    <x v="41"/>
    <x v="1754"/>
    <x v="33"/>
    <n v="227599"/>
    <s v="n.a."/>
    <s v="n.a."/>
    <x v="1620"/>
    <n v="-121"/>
  </r>
  <r>
    <x v="33"/>
    <x v="42"/>
    <x v="1755"/>
    <x v="33"/>
    <n v="228307"/>
    <s v="n.a."/>
    <s v="n.a."/>
    <x v="1621"/>
    <n v="-10"/>
  </r>
  <r>
    <x v="33"/>
    <x v="43"/>
    <x v="1756"/>
    <x v="33"/>
    <n v="232374"/>
    <s v="n.a."/>
    <s v="n.a."/>
    <x v="1622"/>
    <n v="-475"/>
  </r>
  <r>
    <x v="33"/>
    <x v="44"/>
    <x v="1757"/>
    <x v="33"/>
    <n v="236017"/>
    <s v="n.a."/>
    <s v="n.a."/>
    <x v="1623"/>
    <n v="551"/>
  </r>
  <r>
    <x v="33"/>
    <x v="45"/>
    <x v="1758"/>
    <x v="33"/>
    <n v="235230"/>
    <s v="n.a."/>
    <s v="n.a."/>
    <x v="1624"/>
    <n v="267"/>
  </r>
  <r>
    <x v="33"/>
    <x v="46"/>
    <x v="1759"/>
    <x v="33"/>
    <n v="239989"/>
    <s v="n.a."/>
    <s v="n.a."/>
    <x v="1625"/>
    <n v="-11"/>
  </r>
  <r>
    <x v="33"/>
    <x v="47"/>
    <x v="1760"/>
    <x v="33"/>
    <n v="244289"/>
    <s v="n.a."/>
    <s v="n.a."/>
    <x v="303"/>
    <n v="-51"/>
  </r>
  <r>
    <x v="33"/>
    <x v="48"/>
    <x v="1761"/>
    <x v="33"/>
    <n v="247041"/>
    <s v="n.a."/>
    <s v="n.a."/>
    <x v="1042"/>
    <n v="-22"/>
  </r>
  <r>
    <x v="33"/>
    <x v="49"/>
    <x v="1762"/>
    <x v="33"/>
    <n v="248313"/>
    <s v="n.a."/>
    <s v="n.a."/>
    <x v="1626"/>
    <n v="5"/>
  </r>
  <r>
    <x v="33"/>
    <x v="50"/>
    <x v="1763"/>
    <x v="33"/>
    <n v="248288"/>
    <s v="n.a."/>
    <s v="n.a."/>
    <x v="1627"/>
    <n v="2"/>
  </r>
  <r>
    <x v="33"/>
    <x v="51"/>
    <x v="1764"/>
    <x v="33"/>
    <n v="247902"/>
    <s v="n.a."/>
    <s v="n.a."/>
    <x v="802"/>
    <n v="33"/>
  </r>
  <r>
    <x v="33"/>
    <x v="52"/>
    <x v="1765"/>
    <x v="33"/>
    <n v="248445"/>
    <s v="n.a."/>
    <s v="n.a."/>
    <x v="1628"/>
    <n v="-772"/>
  </r>
  <r>
    <x v="33"/>
    <x v="53"/>
    <x v="1766"/>
    <x v="33"/>
    <n v="250441"/>
    <s v="n.a."/>
    <s v="n.a."/>
    <x v="1629"/>
    <n v="-884"/>
  </r>
  <r>
    <x v="33"/>
    <x v="54"/>
    <x v="1767"/>
    <x v="33"/>
    <n v="253014"/>
    <s v="n.a."/>
    <s v="n.a."/>
    <x v="1630"/>
    <n v="732"/>
  </r>
  <r>
    <x v="33"/>
    <x v="55"/>
    <x v="1768"/>
    <x v="33"/>
    <n v="253932"/>
    <s v="n.a."/>
    <s v="n.a."/>
    <x v="1631"/>
    <n v="-1772"/>
  </r>
  <r>
    <x v="33"/>
    <x v="56"/>
    <x v="1769"/>
    <x v="33"/>
    <n v="255735"/>
    <s v="n.a."/>
    <s v="n.a."/>
    <x v="1632"/>
    <n v="1065"/>
  </r>
  <r>
    <x v="33"/>
    <x v="57"/>
    <x v="1770"/>
    <x v="33"/>
    <n v="258193"/>
    <s v="n.a."/>
    <s v="n.a."/>
    <x v="1633"/>
    <n v="-952"/>
  </r>
  <r>
    <x v="33"/>
    <x v="58"/>
    <x v="1771"/>
    <x v="33"/>
    <n v="255158"/>
    <s v="n.a."/>
    <s v="n.a."/>
    <x v="1634"/>
    <n v="-3917"/>
  </r>
  <r>
    <x v="33"/>
    <x v="59"/>
    <x v="1772"/>
    <x v="33"/>
    <n v="255102"/>
    <s v="n.a."/>
    <s v="n.a."/>
    <x v="1635"/>
    <n v="-5340"/>
  </r>
  <r>
    <x v="33"/>
    <x v="60"/>
    <x v="1773"/>
    <x v="33"/>
    <n v="250431"/>
    <s v="n.a."/>
    <s v="n.a."/>
    <x v="1636"/>
    <n v="-909"/>
  </r>
  <r>
    <x v="33"/>
    <x v="61"/>
    <x v="1774"/>
    <x v="33"/>
    <n v="251759"/>
    <s v="n.a."/>
    <s v="n.a."/>
    <x v="1637"/>
    <n v="-1141"/>
  </r>
  <r>
    <x v="33"/>
    <x v="62"/>
    <x v="1775"/>
    <x v="33"/>
    <n v="250524"/>
    <s v="n.a."/>
    <s v="n.a."/>
    <x v="1638"/>
    <n v="50"/>
  </r>
  <r>
    <x v="33"/>
    <x v="63"/>
    <x v="1776"/>
    <x v="33"/>
    <n v="251229"/>
    <s v="n.a."/>
    <s v="n.a."/>
    <x v="1639"/>
    <n v="-1277"/>
  </r>
  <r>
    <x v="33"/>
    <x v="64"/>
    <x v="1777"/>
    <x v="33"/>
    <n v="248341"/>
    <s v="n.a."/>
    <s v="n.a."/>
    <x v="1640"/>
    <n v="6516"/>
  </r>
  <r>
    <x v="33"/>
    <x v="65"/>
    <x v="1778"/>
    <x v="33"/>
    <n v="255143"/>
    <s v="n.a."/>
    <s v="n.a."/>
    <x v="1641"/>
    <n v="4762"/>
  </r>
  <r>
    <x v="33"/>
    <x v="66"/>
    <x v="1779"/>
    <x v="33"/>
    <n v="255080"/>
    <s v="n.a."/>
    <s v="n.a."/>
    <x v="1642"/>
    <n v="2724"/>
  </r>
  <r>
    <x v="33"/>
    <x v="67"/>
    <x v="1780"/>
    <x v="33"/>
    <n v="262663"/>
    <s v="n.a."/>
    <s v="n.a."/>
    <x v="876"/>
    <n v="-3244"/>
  </r>
  <r>
    <x v="33"/>
    <x v="68"/>
    <x v="1781"/>
    <x v="33"/>
    <n v="280944"/>
    <s v="n.a."/>
    <s v="n.a."/>
    <x v="1643"/>
    <n v="833"/>
  </r>
  <r>
    <x v="33"/>
    <x v="69"/>
    <x v="1782"/>
    <x v="33"/>
    <n v="279167"/>
    <s v="n.a."/>
    <s v="n.a."/>
    <x v="1644"/>
    <n v="-106"/>
  </r>
  <r>
    <x v="34"/>
    <x v="0"/>
    <x v="1783"/>
    <x v="801"/>
    <n v="37694"/>
    <n v="392"/>
    <n v="78"/>
    <x v="1645"/>
    <n v="160"/>
  </r>
  <r>
    <x v="34"/>
    <x v="1"/>
    <x v="1784"/>
    <x v="802"/>
    <n v="37191"/>
    <n v="251"/>
    <n v="130"/>
    <x v="1646"/>
    <n v="-482"/>
  </r>
  <r>
    <x v="34"/>
    <x v="2"/>
    <x v="1785"/>
    <x v="803"/>
    <n v="36897"/>
    <n v="26"/>
    <n v="254"/>
    <x v="1647"/>
    <n v="-152"/>
  </r>
  <r>
    <x v="34"/>
    <x v="3"/>
    <x v="1786"/>
    <x v="804"/>
    <n v="36619"/>
    <n v="130"/>
    <n v="-34"/>
    <x v="1565"/>
    <n v="-273"/>
  </r>
  <r>
    <x v="34"/>
    <x v="4"/>
    <x v="1787"/>
    <x v="805"/>
    <n v="36606"/>
    <n v="839"/>
    <n v="208"/>
    <x v="1648"/>
    <n v="195"/>
  </r>
  <r>
    <x v="34"/>
    <x v="5"/>
    <x v="1788"/>
    <x v="806"/>
    <n v="35643"/>
    <n v="460"/>
    <n v="-301"/>
    <x v="1649"/>
    <n v="-359"/>
  </r>
  <r>
    <x v="34"/>
    <x v="6"/>
    <x v="1789"/>
    <x v="311"/>
    <n v="35436"/>
    <n v="1204"/>
    <n v="124"/>
    <x v="1650"/>
    <n v="-87"/>
  </r>
  <r>
    <x v="34"/>
    <x v="7"/>
    <x v="1790"/>
    <x v="807"/>
    <n v="34212"/>
    <n v="824"/>
    <n v="45"/>
    <x v="1651"/>
    <n v="262"/>
  </r>
  <r>
    <x v="34"/>
    <x v="8"/>
    <x v="1791"/>
    <x v="808"/>
    <n v="33327"/>
    <n v="244"/>
    <n v="396"/>
    <x v="1652"/>
    <n v="211"/>
  </r>
  <r>
    <x v="34"/>
    <x v="9"/>
    <x v="1792"/>
    <x v="809"/>
    <n v="32668"/>
    <n v="934"/>
    <n v="90"/>
    <x v="1653"/>
    <n v="-149"/>
  </r>
  <r>
    <x v="34"/>
    <x v="10"/>
    <x v="1793"/>
    <x v="141"/>
    <n v="31685"/>
    <n v="757"/>
    <n v="-330"/>
    <x v="1654"/>
    <n v="-824"/>
  </r>
  <r>
    <x v="34"/>
    <x v="11"/>
    <x v="1794"/>
    <x v="810"/>
    <n v="31268"/>
    <n v="4"/>
    <n v="106"/>
    <x v="1655"/>
    <n v="-263"/>
  </r>
  <r>
    <x v="34"/>
    <x v="12"/>
    <x v="1795"/>
    <x v="811"/>
    <n v="31286"/>
    <n v="882"/>
    <n v="-557"/>
    <x v="1656"/>
    <n v="-1308"/>
  </r>
  <r>
    <x v="34"/>
    <x v="13"/>
    <x v="1796"/>
    <x v="812"/>
    <n v="31007"/>
    <n v="1897"/>
    <n v="211"/>
    <x v="1657"/>
    <n v="-1452"/>
  </r>
  <r>
    <x v="34"/>
    <x v="14"/>
    <x v="1797"/>
    <x v="813"/>
    <n v="28851"/>
    <n v="-421"/>
    <n v="419"/>
    <x v="1658"/>
    <n v="-738"/>
  </r>
  <r>
    <x v="34"/>
    <x v="15"/>
    <x v="1798"/>
    <x v="814"/>
    <n v="28862"/>
    <n v="-199"/>
    <n v="317"/>
    <x v="1659"/>
    <n v="-41"/>
  </r>
  <r>
    <x v="34"/>
    <x v="16"/>
    <x v="1799"/>
    <x v="815"/>
    <n v="28868"/>
    <n v="-5423"/>
    <n v="121"/>
    <x v="1660"/>
    <n v="3713"/>
  </r>
  <r>
    <x v="34"/>
    <x v="17"/>
    <x v="1800"/>
    <x v="816"/>
    <n v="34187"/>
    <n v="-901"/>
    <n v="347"/>
    <x v="1661"/>
    <n v="239"/>
  </r>
  <r>
    <x v="34"/>
    <x v="18"/>
    <x v="1801"/>
    <x v="817"/>
    <n v="34703"/>
    <n v="-1137"/>
    <n v="-512"/>
    <x v="1662"/>
    <n v="-153"/>
  </r>
  <r>
    <x v="34"/>
    <x v="19"/>
    <x v="1802"/>
    <x v="10"/>
    <n v="36369"/>
    <n v="-300"/>
    <n v="254"/>
    <x v="1663"/>
    <n v="507"/>
  </r>
  <r>
    <x v="34"/>
    <x v="20"/>
    <x v="1803"/>
    <x v="818"/>
    <n v="36486"/>
    <n v="-413"/>
    <n v="-424"/>
    <x v="1664"/>
    <n v="-464"/>
  </r>
  <r>
    <x v="34"/>
    <x v="21"/>
    <x v="1804"/>
    <x v="819"/>
    <n v="37306"/>
    <n v="161"/>
    <n v="-99"/>
    <x v="1665"/>
    <n v="266"/>
  </r>
  <r>
    <x v="34"/>
    <x v="22"/>
    <x v="1805"/>
    <x v="820"/>
    <n v="37241"/>
    <n v="-2049"/>
    <n v="1639"/>
    <x v="1666"/>
    <n v="110"/>
  </r>
  <r>
    <x v="34"/>
    <x v="23"/>
    <x v="1806"/>
    <x v="143"/>
    <n v="37431"/>
    <n v="280"/>
    <n v="1153"/>
    <x v="1667"/>
    <n v="-194"/>
  </r>
  <r>
    <x v="34"/>
    <x v="24"/>
    <x v="1807"/>
    <x v="821"/>
    <n v="36119"/>
    <n v="-578"/>
    <n v="-563"/>
    <x v="1668"/>
    <n v="167"/>
  </r>
  <r>
    <x v="34"/>
    <x v="25"/>
    <x v="1808"/>
    <x v="822"/>
    <n v="37020"/>
    <n v="-247"/>
    <n v="-802"/>
    <x v="1669"/>
    <n v="-810"/>
  </r>
  <r>
    <x v="34"/>
    <x v="26"/>
    <x v="1809"/>
    <x v="823"/>
    <n v="38101"/>
    <n v="1054"/>
    <n v="-451"/>
    <x v="1670"/>
    <n v="-1874"/>
  </r>
  <r>
    <x v="34"/>
    <x v="27"/>
    <x v="1810"/>
    <x v="824"/>
    <n v="37578"/>
    <n v="1934"/>
    <n v="-63"/>
    <x v="1174"/>
    <n v="1703"/>
  </r>
  <r>
    <x v="34"/>
    <x v="28"/>
    <x v="1811"/>
    <x v="825"/>
    <n v="35878"/>
    <n v="918"/>
    <n v="-295"/>
    <x v="1671"/>
    <n v="375"/>
  </r>
  <r>
    <x v="34"/>
    <x v="29"/>
    <x v="1812"/>
    <x v="826"/>
    <n v="35307"/>
    <n v="1638"/>
    <n v="-367"/>
    <x v="1672"/>
    <n v="564"/>
  </r>
  <r>
    <x v="34"/>
    <x v="30"/>
    <x v="1813"/>
    <x v="827"/>
    <n v="34331"/>
    <n v="1520"/>
    <n v="92"/>
    <x v="1673"/>
    <n v="169"/>
  </r>
  <r>
    <x v="34"/>
    <x v="31"/>
    <x v="1814"/>
    <x v="153"/>
    <n v="32815"/>
    <n v="-182"/>
    <n v="1020"/>
    <x v="1674"/>
    <n v="227"/>
  </r>
  <r>
    <x v="34"/>
    <x v="32"/>
    <x v="1815"/>
    <x v="828"/>
    <n v="32054"/>
    <n v="868"/>
    <n v="-253"/>
    <x v="1675"/>
    <n v="96"/>
  </r>
  <r>
    <x v="34"/>
    <x v="33"/>
    <x v="1816"/>
    <x v="33"/>
    <n v="31625"/>
    <s v="n.a."/>
    <s v="n.a."/>
    <x v="1676"/>
    <n v="-391"/>
  </r>
  <r>
    <x v="34"/>
    <x v="34"/>
    <x v="1817"/>
    <x v="33"/>
    <n v="31099"/>
    <s v="n.a."/>
    <s v="n.a."/>
    <x v="1677"/>
    <n v="-343"/>
  </r>
  <r>
    <x v="34"/>
    <x v="35"/>
    <x v="1818"/>
    <x v="33"/>
    <n v="30916"/>
    <s v="n.a."/>
    <s v="n.a."/>
    <x v="1678"/>
    <n v="-897"/>
  </r>
  <r>
    <x v="34"/>
    <x v="36"/>
    <x v="1819"/>
    <x v="33"/>
    <n v="29601"/>
    <s v="n.a."/>
    <s v="n.a."/>
    <x v="1679"/>
    <n v="124"/>
  </r>
  <r>
    <x v="34"/>
    <x v="37"/>
    <x v="1820"/>
    <x v="33"/>
    <n v="29930"/>
    <s v="n.a."/>
    <s v="n.a."/>
    <x v="1680"/>
    <n v="-139"/>
  </r>
  <r>
    <x v="34"/>
    <x v="38"/>
    <x v="1821"/>
    <x v="33"/>
    <n v="31828"/>
    <s v="n.a."/>
    <s v="n.a."/>
    <x v="1681"/>
    <n v="415"/>
  </r>
  <r>
    <x v="34"/>
    <x v="39"/>
    <x v="1822"/>
    <x v="33"/>
    <n v="34311"/>
    <s v="n.a."/>
    <s v="n.a."/>
    <x v="1682"/>
    <n v="-2537"/>
  </r>
  <r>
    <x v="34"/>
    <x v="40"/>
    <x v="1823"/>
    <x v="33"/>
    <n v="34153"/>
    <s v="n.a."/>
    <s v="n.a."/>
    <x v="1683"/>
    <n v="572"/>
  </r>
  <r>
    <x v="34"/>
    <x v="41"/>
    <x v="1824"/>
    <x v="33"/>
    <n v="33700"/>
    <s v="n.a."/>
    <s v="n.a."/>
    <x v="1684"/>
    <n v="2410"/>
  </r>
  <r>
    <x v="34"/>
    <x v="42"/>
    <x v="1825"/>
    <x v="33"/>
    <n v="33152"/>
    <s v="n.a."/>
    <s v="n.a."/>
    <x v="1685"/>
    <n v="-222"/>
  </r>
  <r>
    <x v="34"/>
    <x v="43"/>
    <x v="1826"/>
    <x v="33"/>
    <n v="33861"/>
    <s v="n.a."/>
    <s v="n.a."/>
    <x v="1686"/>
    <n v="1214"/>
  </r>
  <r>
    <x v="34"/>
    <x v="44"/>
    <x v="1827"/>
    <x v="33"/>
    <n v="34819"/>
    <s v="n.a."/>
    <s v="n.a."/>
    <x v="1687"/>
    <n v="163"/>
  </r>
  <r>
    <x v="34"/>
    <x v="45"/>
    <x v="1828"/>
    <x v="33"/>
    <n v="33092"/>
    <s v="n.a."/>
    <s v="n.a."/>
    <x v="1688"/>
    <n v="-134"/>
  </r>
  <r>
    <x v="34"/>
    <x v="46"/>
    <x v="1829"/>
    <x v="33"/>
    <n v="33523"/>
    <s v="n.a."/>
    <s v="n.a."/>
    <x v="1689"/>
    <n v="-660"/>
  </r>
  <r>
    <x v="34"/>
    <x v="47"/>
    <x v="1830"/>
    <x v="33"/>
    <n v="33391"/>
    <s v="n.a."/>
    <s v="n.a."/>
    <x v="1690"/>
    <n v="-684"/>
  </r>
  <r>
    <x v="34"/>
    <x v="48"/>
    <x v="1831"/>
    <x v="33"/>
    <n v="34182"/>
    <s v="n.a."/>
    <s v="n.a."/>
    <x v="1691"/>
    <n v="-664"/>
  </r>
  <r>
    <x v="34"/>
    <x v="49"/>
    <x v="1832"/>
    <x v="33"/>
    <n v="34435"/>
    <s v="n.a."/>
    <s v="n.a."/>
    <x v="1692"/>
    <n v="260"/>
  </r>
  <r>
    <x v="34"/>
    <x v="50"/>
    <x v="1833"/>
    <x v="33"/>
    <n v="34225"/>
    <s v="n.a."/>
    <s v="n.a."/>
    <x v="1693"/>
    <n v="-2893"/>
  </r>
  <r>
    <x v="34"/>
    <x v="51"/>
    <x v="1834"/>
    <x v="33"/>
    <n v="33925"/>
    <s v="n.a."/>
    <s v="n.a."/>
    <x v="1694"/>
    <n v="2050"/>
  </r>
  <r>
    <x v="34"/>
    <x v="52"/>
    <x v="1835"/>
    <x v="33"/>
    <n v="33083"/>
    <s v="n.a."/>
    <s v="n.a."/>
    <x v="1695"/>
    <n v="-275"/>
  </r>
  <r>
    <x v="34"/>
    <x v="53"/>
    <x v="1836"/>
    <x v="33"/>
    <n v="34208"/>
    <s v="n.a."/>
    <s v="n.a."/>
    <x v="1696"/>
    <n v="608"/>
  </r>
  <r>
    <x v="34"/>
    <x v="54"/>
    <x v="1837"/>
    <x v="33"/>
    <n v="33428"/>
    <s v="n.a."/>
    <s v="n.a."/>
    <x v="1697"/>
    <n v="-491"/>
  </r>
  <r>
    <x v="34"/>
    <x v="55"/>
    <x v="1030"/>
    <x v="33"/>
    <n v="33262"/>
    <s v="n.a."/>
    <s v="n.a."/>
    <x v="1698"/>
    <n v="-717"/>
  </r>
  <r>
    <x v="34"/>
    <x v="56"/>
    <x v="1838"/>
    <x v="33"/>
    <n v="32389"/>
    <s v="n.a."/>
    <s v="n.a."/>
    <x v="1699"/>
    <n v="-1218"/>
  </r>
  <r>
    <x v="34"/>
    <x v="57"/>
    <x v="1839"/>
    <x v="33"/>
    <n v="23132"/>
    <s v="n.a."/>
    <s v="n.a."/>
    <x v="1700"/>
    <n v="2423"/>
  </r>
  <r>
    <x v="34"/>
    <x v="58"/>
    <x v="1840"/>
    <x v="33"/>
    <n v="22770"/>
    <s v="n.a."/>
    <s v="n.a."/>
    <x v="1701"/>
    <n v="-451"/>
  </r>
  <r>
    <x v="34"/>
    <x v="59"/>
    <x v="1841"/>
    <x v="33"/>
    <n v="22689"/>
    <s v="n.a."/>
    <s v="n.a."/>
    <x v="1702"/>
    <n v="-1320"/>
  </r>
  <r>
    <x v="34"/>
    <x v="60"/>
    <x v="1842"/>
    <x v="33"/>
    <n v="22780"/>
    <s v="n.a."/>
    <s v="n.a."/>
    <x v="1703"/>
    <n v="2759"/>
  </r>
  <r>
    <x v="34"/>
    <x v="61"/>
    <x v="1843"/>
    <x v="33"/>
    <n v="25765"/>
    <s v="n.a."/>
    <s v="n.a."/>
    <x v="1704"/>
    <n v="-1509"/>
  </r>
  <r>
    <x v="34"/>
    <x v="62"/>
    <x v="1844"/>
    <x v="33"/>
    <n v="24321"/>
    <s v="n.a."/>
    <s v="n.a."/>
    <x v="1705"/>
    <n v="-558"/>
  </r>
  <r>
    <x v="34"/>
    <x v="63"/>
    <x v="1845"/>
    <x v="33"/>
    <n v="24459"/>
    <s v="n.a."/>
    <s v="n.a."/>
    <x v="1706"/>
    <n v="-62"/>
  </r>
  <r>
    <x v="34"/>
    <x v="64"/>
    <x v="1846"/>
    <x v="33"/>
    <n v="24041"/>
    <s v="n.a."/>
    <s v="n.a."/>
    <x v="1707"/>
    <n v="-514"/>
  </r>
  <r>
    <x v="34"/>
    <x v="65"/>
    <x v="1847"/>
    <x v="33"/>
    <n v="23854"/>
    <s v="n.a."/>
    <s v="n.a."/>
    <x v="1708"/>
    <n v="-57"/>
  </r>
  <r>
    <x v="34"/>
    <x v="66"/>
    <x v="1848"/>
    <x v="33"/>
    <n v="23514"/>
    <s v="n.a."/>
    <s v="n.a."/>
    <x v="1709"/>
    <n v="1325"/>
  </r>
  <r>
    <x v="34"/>
    <x v="67"/>
    <x v="1849"/>
    <x v="33"/>
    <n v="25175"/>
    <s v="n.a."/>
    <s v="n.a."/>
    <x v="1643"/>
    <n v="-1974"/>
  </r>
  <r>
    <x v="34"/>
    <x v="68"/>
    <x v="1850"/>
    <x v="33"/>
    <n v="25100"/>
    <s v="n.a."/>
    <s v="n.a."/>
    <x v="1710"/>
    <n v="-334"/>
  </r>
  <r>
    <x v="34"/>
    <x v="69"/>
    <x v="1851"/>
    <x v="33"/>
    <n v="25275"/>
    <s v="n.a."/>
    <s v="n.a."/>
    <x v="1711"/>
    <n v="2820"/>
  </r>
  <r>
    <x v="35"/>
    <x v="0"/>
    <x v="1852"/>
    <x v="829"/>
    <n v="39145"/>
    <n v="-2128"/>
    <n v="92"/>
    <x v="1712"/>
    <n v="274"/>
  </r>
  <r>
    <x v="35"/>
    <x v="1"/>
    <x v="1853"/>
    <x v="830"/>
    <n v="41075"/>
    <n v="-172"/>
    <n v="139"/>
    <x v="1713"/>
    <n v="-1282"/>
  </r>
  <r>
    <x v="35"/>
    <x v="2"/>
    <x v="1854"/>
    <x v="57"/>
    <n v="41167"/>
    <n v="1508"/>
    <n v="184"/>
    <x v="1714"/>
    <n v="52"/>
  </r>
  <r>
    <x v="35"/>
    <x v="3"/>
    <x v="1855"/>
    <x v="831"/>
    <n v="39805"/>
    <n v="343"/>
    <n v="-112"/>
    <x v="1715"/>
    <n v="-116"/>
  </r>
  <r>
    <x v="35"/>
    <x v="4"/>
    <x v="1856"/>
    <x v="832"/>
    <n v="39533"/>
    <n v="-2312"/>
    <n v="188"/>
    <x v="1716"/>
    <n v="-717"/>
  </r>
  <r>
    <x v="35"/>
    <x v="5"/>
    <x v="1857"/>
    <x v="833"/>
    <n v="41292"/>
    <n v="-2814"/>
    <n v="-90"/>
    <x v="1717"/>
    <n v="498"/>
  </r>
  <r>
    <x v="35"/>
    <x v="6"/>
    <x v="1858"/>
    <x v="834"/>
    <n v="44326"/>
    <n v="479"/>
    <n v="100"/>
    <x v="1718"/>
    <n v="-101"/>
  </r>
  <r>
    <x v="35"/>
    <x v="7"/>
    <x v="1859"/>
    <x v="835"/>
    <n v="43334"/>
    <n v="-526"/>
    <n v="80"/>
    <x v="1719"/>
    <n v="957"/>
  </r>
  <r>
    <x v="35"/>
    <x v="8"/>
    <x v="1860"/>
    <x v="88"/>
    <n v="43251"/>
    <n v="604"/>
    <n v="405"/>
    <x v="556"/>
    <n v="-687"/>
  </r>
  <r>
    <x v="35"/>
    <x v="9"/>
    <x v="1861"/>
    <x v="836"/>
    <n v="41847"/>
    <n v="-1062"/>
    <n v="84"/>
    <x v="1720"/>
    <n v="362"/>
  </r>
  <r>
    <x v="35"/>
    <x v="10"/>
    <x v="1862"/>
    <x v="823"/>
    <n v="42627"/>
    <n v="-334"/>
    <n v="-335"/>
    <x v="1721"/>
    <n v="-486"/>
  </r>
  <r>
    <x v="35"/>
    <x v="11"/>
    <x v="1863"/>
    <x v="18"/>
    <n v="43189"/>
    <n v="520"/>
    <n v="101"/>
    <x v="1722"/>
    <n v="-323"/>
  </r>
  <r>
    <x v="35"/>
    <x v="12"/>
    <x v="1864"/>
    <x v="837"/>
    <n v="42805"/>
    <n v="310"/>
    <n v="-459"/>
    <x v="1723"/>
    <n v="-1092"/>
  </r>
  <r>
    <x v="35"/>
    <x v="13"/>
    <x v="1865"/>
    <x v="838"/>
    <n v="42957"/>
    <n v="-408"/>
    <n v="234"/>
    <x v="1724"/>
    <n v="162"/>
  </r>
  <r>
    <x v="35"/>
    <x v="14"/>
    <x v="1866"/>
    <x v="839"/>
    <n v="42873"/>
    <n v="892"/>
    <n v="296"/>
    <x v="1725"/>
    <n v="231"/>
  </r>
  <r>
    <x v="35"/>
    <x v="15"/>
    <x v="1867"/>
    <x v="840"/>
    <n v="42107"/>
    <n v="169"/>
    <n v="435"/>
    <x v="1726"/>
    <n v="476"/>
  </r>
  <r>
    <x v="35"/>
    <x v="16"/>
    <x v="1868"/>
    <x v="841"/>
    <n v="41513"/>
    <n v="2276"/>
    <n v="85"/>
    <x v="1727"/>
    <n v="-535"/>
  </r>
  <r>
    <x v="35"/>
    <x v="17"/>
    <x v="1869"/>
    <x v="842"/>
    <n v="39345"/>
    <n v="3617"/>
    <n v="156"/>
    <x v="1728"/>
    <n v="-120"/>
  </r>
  <r>
    <x v="35"/>
    <x v="18"/>
    <x v="1870"/>
    <x v="843"/>
    <n v="35697"/>
    <n v="-3153"/>
    <n v="-307"/>
    <x v="1729"/>
    <n v="-5"/>
  </r>
  <r>
    <x v="35"/>
    <x v="19"/>
    <x v="1871"/>
    <x v="844"/>
    <n v="39861"/>
    <n v="1274"/>
    <n v="75"/>
    <x v="1730"/>
    <n v="168"/>
  </r>
  <r>
    <x v="35"/>
    <x v="20"/>
    <x v="1872"/>
    <x v="845"/>
    <n v="38532"/>
    <n v="706"/>
    <n v="-183"/>
    <x v="1731"/>
    <n v="205"/>
  </r>
  <r>
    <x v="35"/>
    <x v="21"/>
    <x v="1873"/>
    <x v="846"/>
    <n v="38161"/>
    <n v="-346"/>
    <n v="8"/>
    <x v="1732"/>
    <n v="631"/>
  </r>
  <r>
    <x v="35"/>
    <x v="22"/>
    <x v="1874"/>
    <x v="847"/>
    <n v="39022"/>
    <n v="1047"/>
    <n v="445"/>
    <x v="1733"/>
    <n v="794"/>
  </r>
  <r>
    <x v="35"/>
    <x v="23"/>
    <x v="1875"/>
    <x v="848"/>
    <n v="36190"/>
    <n v="1313"/>
    <n v="464"/>
    <x v="1734"/>
    <n v="51"/>
  </r>
  <r>
    <x v="35"/>
    <x v="24"/>
    <x v="1876"/>
    <x v="849"/>
    <n v="34902"/>
    <n v="-566"/>
    <n v="-122"/>
    <x v="1735"/>
    <n v="508"/>
  </r>
  <r>
    <x v="35"/>
    <x v="25"/>
    <x v="1877"/>
    <x v="850"/>
    <n v="36000"/>
    <n v="237"/>
    <n v="-240"/>
    <x v="1736"/>
    <n v="279"/>
  </r>
  <r>
    <x v="35"/>
    <x v="26"/>
    <x v="1878"/>
    <x v="851"/>
    <n v="36421"/>
    <n v="598"/>
    <n v="-49"/>
    <x v="1737"/>
    <n v="-39"/>
  </r>
  <r>
    <x v="35"/>
    <x v="27"/>
    <x v="1879"/>
    <x v="852"/>
    <n v="36015"/>
    <n v="104"/>
    <n v="-27"/>
    <x v="1738"/>
    <n v="106"/>
  </r>
  <r>
    <x v="35"/>
    <x v="28"/>
    <x v="1880"/>
    <x v="853"/>
    <n v="36063"/>
    <n v="2046"/>
    <n v="-218"/>
    <x v="1739"/>
    <n v="473"/>
  </r>
  <r>
    <x v="35"/>
    <x v="29"/>
    <x v="1881"/>
    <x v="854"/>
    <n v="34393"/>
    <n v="-2990"/>
    <n v="-158"/>
    <x v="1740"/>
    <n v="-122"/>
  </r>
  <r>
    <x v="35"/>
    <x v="30"/>
    <x v="1882"/>
    <x v="855"/>
    <n v="37769"/>
    <n v="654"/>
    <n v="22"/>
    <x v="1741"/>
    <n v="169"/>
  </r>
  <r>
    <x v="35"/>
    <x v="31"/>
    <x v="1883"/>
    <x v="856"/>
    <n v="37505"/>
    <n v="215"/>
    <n v="248"/>
    <x v="1742"/>
    <n v="330"/>
  </r>
  <r>
    <x v="35"/>
    <x v="32"/>
    <x v="1884"/>
    <x v="857"/>
    <n v="37281"/>
    <n v="-160"/>
    <n v="-151"/>
    <x v="10"/>
    <n v="-458"/>
  </r>
  <r>
    <x v="35"/>
    <x v="33"/>
    <x v="1885"/>
    <x v="33"/>
    <n v="37737"/>
    <s v="n.a."/>
    <s v="n.a."/>
    <x v="1743"/>
    <n v="538"/>
  </r>
  <r>
    <x v="35"/>
    <x v="34"/>
    <x v="1886"/>
    <x v="33"/>
    <n v="38494"/>
    <s v="n.a."/>
    <s v="n.a."/>
    <x v="1744"/>
    <n v="294"/>
  </r>
  <r>
    <x v="35"/>
    <x v="35"/>
    <x v="1887"/>
    <x v="33"/>
    <n v="34672"/>
    <s v="n.a."/>
    <s v="n.a."/>
    <x v="1745"/>
    <n v="-228"/>
  </r>
  <r>
    <x v="35"/>
    <x v="36"/>
    <x v="1888"/>
    <x v="33"/>
    <n v="32525"/>
    <s v="n.a."/>
    <s v="n.a."/>
    <x v="1746"/>
    <n v="-37"/>
  </r>
  <r>
    <x v="35"/>
    <x v="37"/>
    <x v="1889"/>
    <x v="33"/>
    <n v="33079"/>
    <s v="n.a."/>
    <s v="n.a."/>
    <x v="26"/>
    <n v="-278"/>
  </r>
  <r>
    <x v="35"/>
    <x v="38"/>
    <x v="1890"/>
    <x v="33"/>
    <n v="32383"/>
    <s v="n.a."/>
    <s v="n.a."/>
    <x v="1747"/>
    <n v="659"/>
  </r>
  <r>
    <x v="35"/>
    <x v="39"/>
    <x v="1891"/>
    <x v="33"/>
    <n v="34175"/>
    <s v="n.a."/>
    <s v="n.a."/>
    <x v="58"/>
    <n v="137"/>
  </r>
  <r>
    <x v="35"/>
    <x v="40"/>
    <x v="1892"/>
    <x v="33"/>
    <n v="34136"/>
    <s v="n.a."/>
    <s v="n.a."/>
    <x v="1748"/>
    <n v="338"/>
  </r>
  <r>
    <x v="35"/>
    <x v="41"/>
    <x v="1893"/>
    <x v="33"/>
    <n v="34435"/>
    <s v="n.a."/>
    <s v="n.a."/>
    <x v="1749"/>
    <n v="-372"/>
  </r>
  <r>
    <x v="35"/>
    <x v="42"/>
    <x v="1894"/>
    <x v="33"/>
    <n v="34570"/>
    <s v="n.a."/>
    <s v="n.a."/>
    <x v="1750"/>
    <n v="-17"/>
  </r>
  <r>
    <x v="35"/>
    <x v="43"/>
    <x v="1895"/>
    <x v="33"/>
    <n v="33684"/>
    <s v="n.a."/>
    <s v="n.a."/>
    <x v="767"/>
    <n v="149"/>
  </r>
  <r>
    <x v="35"/>
    <x v="44"/>
    <x v="1896"/>
    <x v="33"/>
    <n v="33259"/>
    <s v="n.a."/>
    <s v="n.a."/>
    <x v="1751"/>
    <n v="-107"/>
  </r>
  <r>
    <x v="35"/>
    <x v="45"/>
    <x v="1897"/>
    <x v="33"/>
    <n v="32492"/>
    <s v="n.a."/>
    <s v="n.a."/>
    <x v="1752"/>
    <n v="259"/>
  </r>
  <r>
    <x v="35"/>
    <x v="46"/>
    <x v="1898"/>
    <x v="33"/>
    <n v="32576"/>
    <s v="n.a."/>
    <s v="n.a."/>
    <x v="1216"/>
    <n v="19"/>
  </r>
  <r>
    <x v="35"/>
    <x v="47"/>
    <x v="1899"/>
    <x v="33"/>
    <n v="33108"/>
    <s v="n.a."/>
    <s v="n.a."/>
    <x v="248"/>
    <n v="105"/>
  </r>
  <r>
    <x v="35"/>
    <x v="48"/>
    <x v="1900"/>
    <x v="33"/>
    <n v="33716"/>
    <s v="n.a."/>
    <s v="n.a."/>
    <x v="267"/>
    <n v="116"/>
  </r>
  <r>
    <x v="35"/>
    <x v="49"/>
    <x v="1901"/>
    <x v="33"/>
    <n v="33026"/>
    <s v="n.a."/>
    <s v="n.a."/>
    <x v="1753"/>
    <n v="-252"/>
  </r>
  <r>
    <x v="35"/>
    <x v="50"/>
    <x v="1902"/>
    <x v="33"/>
    <n v="32491"/>
    <s v="n.a."/>
    <s v="n.a."/>
    <x v="1754"/>
    <n v="221"/>
  </r>
  <r>
    <x v="35"/>
    <x v="51"/>
    <x v="1903"/>
    <x v="33"/>
    <n v="35814"/>
    <s v="n.a."/>
    <s v="n.a."/>
    <x v="919"/>
    <n v="-5"/>
  </r>
  <r>
    <x v="35"/>
    <x v="52"/>
    <x v="956"/>
    <x v="33"/>
    <n v="34933"/>
    <s v="n.a."/>
    <s v="n.a."/>
    <x v="1755"/>
    <n v="97"/>
  </r>
  <r>
    <x v="35"/>
    <x v="53"/>
    <x v="1904"/>
    <x v="33"/>
    <n v="35560"/>
    <s v="n.a."/>
    <s v="n.a."/>
    <x v="770"/>
    <n v="-175"/>
  </r>
  <r>
    <x v="35"/>
    <x v="54"/>
    <x v="1905"/>
    <x v="33"/>
    <n v="34621"/>
    <s v="n.a."/>
    <s v="n.a."/>
    <x v="1756"/>
    <n v="-113"/>
  </r>
  <r>
    <x v="35"/>
    <x v="55"/>
    <x v="1906"/>
    <x v="33"/>
    <n v="34612"/>
    <s v="n.a."/>
    <s v="n.a."/>
    <x v="1217"/>
    <n v="-234"/>
  </r>
  <r>
    <x v="35"/>
    <x v="56"/>
    <x v="1907"/>
    <x v="33"/>
    <n v="29853"/>
    <s v="n.a."/>
    <s v="n.a."/>
    <x v="1054"/>
    <n v="-406"/>
  </r>
  <r>
    <x v="35"/>
    <x v="57"/>
    <x v="1908"/>
    <x v="33"/>
    <n v="31222"/>
    <s v="n.a."/>
    <s v="n.a."/>
    <x v="1757"/>
    <n v="434"/>
  </r>
  <r>
    <x v="35"/>
    <x v="58"/>
    <x v="1909"/>
    <x v="33"/>
    <n v="30216"/>
    <s v="n.a."/>
    <s v="n.a."/>
    <x v="929"/>
    <n v="-167"/>
  </r>
  <r>
    <x v="35"/>
    <x v="59"/>
    <x v="1910"/>
    <x v="33"/>
    <n v="29889"/>
    <s v="n.a."/>
    <s v="n.a."/>
    <x v="1758"/>
    <n v="92"/>
  </r>
  <r>
    <x v="35"/>
    <x v="60"/>
    <x v="1911"/>
    <x v="33"/>
    <n v="31069"/>
    <s v="n.a."/>
    <s v="n.a."/>
    <x v="1759"/>
    <n v="-449"/>
  </r>
  <r>
    <x v="35"/>
    <x v="61"/>
    <x v="1912"/>
    <x v="33"/>
    <n v="28471"/>
    <s v="n.a."/>
    <s v="n.a."/>
    <x v="1760"/>
    <n v="469"/>
  </r>
  <r>
    <x v="35"/>
    <x v="62"/>
    <x v="1913"/>
    <x v="33"/>
    <n v="29739"/>
    <s v="n.a."/>
    <s v="n.a."/>
    <x v="28"/>
    <n v="-26"/>
  </r>
  <r>
    <x v="35"/>
    <x v="63"/>
    <x v="1914"/>
    <x v="33"/>
    <n v="28948"/>
    <s v="n.a."/>
    <s v="n.a."/>
    <x v="1761"/>
    <n v="-546"/>
  </r>
  <r>
    <x v="35"/>
    <x v="64"/>
    <x v="1915"/>
    <x v="33"/>
    <n v="28015"/>
    <s v="n.a."/>
    <s v="n.a."/>
    <x v="1762"/>
    <n v="557"/>
  </r>
  <r>
    <x v="35"/>
    <x v="65"/>
    <x v="1916"/>
    <x v="33"/>
    <n v="27401"/>
    <s v="n.a."/>
    <s v="n.a."/>
    <x v="1763"/>
    <n v="-127"/>
  </r>
  <r>
    <x v="35"/>
    <x v="66"/>
    <x v="1917"/>
    <x v="33"/>
    <n v="25512"/>
    <s v="n.a."/>
    <s v="n.a."/>
    <x v="1764"/>
    <n v="479"/>
  </r>
  <r>
    <x v="35"/>
    <x v="67"/>
    <x v="1918"/>
    <x v="33"/>
    <n v="28868"/>
    <s v="n.a."/>
    <s v="n.a."/>
    <x v="826"/>
    <n v="34"/>
  </r>
  <r>
    <x v="35"/>
    <x v="68"/>
    <x v="1919"/>
    <x v="33"/>
    <n v="30402"/>
    <s v="n.a."/>
    <s v="n.a."/>
    <x v="807"/>
    <n v="68"/>
  </r>
  <r>
    <x v="35"/>
    <x v="69"/>
    <x v="1920"/>
    <x v="33"/>
    <n v="29301"/>
    <s v="n.a."/>
    <s v="n.a."/>
    <x v="280"/>
    <n v="-660"/>
  </r>
  <r>
    <x v="36"/>
    <x v="0"/>
    <x v="1921"/>
    <x v="858"/>
    <n v="2872"/>
    <n v="-66"/>
    <n v="-20"/>
    <x v="1765"/>
    <n v="-231"/>
  </r>
  <r>
    <x v="36"/>
    <x v="1"/>
    <x v="1922"/>
    <x v="859"/>
    <n v="2910"/>
    <n v="92"/>
    <n v="-5"/>
    <x v="1766"/>
    <n v="-53"/>
  </r>
  <r>
    <x v="36"/>
    <x v="2"/>
    <x v="1923"/>
    <x v="538"/>
    <n v="2786"/>
    <n v="35"/>
    <n v="24"/>
    <x v="1767"/>
    <n v="-61"/>
  </r>
  <r>
    <x v="36"/>
    <x v="3"/>
    <x v="1924"/>
    <x v="860"/>
    <n v="2745"/>
    <n v="86"/>
    <n v="5"/>
    <x v="1768"/>
    <n v="253"/>
  </r>
  <r>
    <x v="36"/>
    <x v="4"/>
    <x v="1925"/>
    <x v="99"/>
    <n v="2706"/>
    <n v="-101"/>
    <n v="12"/>
    <x v="1769"/>
    <n v="106"/>
  </r>
  <r>
    <x v="36"/>
    <x v="5"/>
    <x v="1926"/>
    <x v="861"/>
    <n v="2773"/>
    <n v="57"/>
    <n v="-47"/>
    <x v="1770"/>
    <n v="7"/>
  </r>
  <r>
    <x v="36"/>
    <x v="6"/>
    <x v="1700"/>
    <x v="91"/>
    <n v="2722"/>
    <n v="18"/>
    <n v="14"/>
    <x v="1053"/>
    <n v="-7"/>
  </r>
  <r>
    <x v="36"/>
    <x v="7"/>
    <x v="1927"/>
    <x v="862"/>
    <n v="2673"/>
    <n v="6"/>
    <n v="-18"/>
    <x v="1770"/>
    <n v="73"/>
  </r>
  <r>
    <x v="36"/>
    <x v="8"/>
    <x v="1928"/>
    <x v="863"/>
    <n v="2671"/>
    <n v="103"/>
    <n v="-5"/>
    <x v="1771"/>
    <n v="10"/>
  </r>
  <r>
    <x v="36"/>
    <x v="9"/>
    <x v="1929"/>
    <x v="864"/>
    <n v="2620"/>
    <n v="-182"/>
    <n v="4"/>
    <x v="1772"/>
    <n v="-2"/>
  </r>
  <r>
    <x v="36"/>
    <x v="10"/>
    <x v="1930"/>
    <x v="147"/>
    <n v="2784"/>
    <n v="25"/>
    <n v="-9"/>
    <x v="1773"/>
    <n v="-59"/>
  </r>
  <r>
    <x v="36"/>
    <x v="11"/>
    <x v="1931"/>
    <x v="865"/>
    <n v="2786"/>
    <n v="19"/>
    <n v="5"/>
    <x v="309"/>
    <n v="-123"/>
  </r>
  <r>
    <x v="36"/>
    <x v="12"/>
    <x v="1932"/>
    <x v="866"/>
    <n v="2773"/>
    <n v="-9"/>
    <n v="-38"/>
    <x v="1774"/>
    <n v="-42"/>
  </r>
  <r>
    <x v="36"/>
    <x v="13"/>
    <x v="1933"/>
    <x v="151"/>
    <n v="2823"/>
    <n v="-117"/>
    <n v="11"/>
    <x v="1775"/>
    <n v="33"/>
  </r>
  <r>
    <x v="36"/>
    <x v="14"/>
    <x v="1934"/>
    <x v="867"/>
    <n v="2939"/>
    <n v="-72"/>
    <n v="20"/>
    <x v="1776"/>
    <n v="26"/>
  </r>
  <r>
    <x v="36"/>
    <x v="15"/>
    <x v="1935"/>
    <x v="868"/>
    <n v="2991"/>
    <n v="-5"/>
    <n v="24"/>
    <x v="1777"/>
    <n v="-10"/>
  </r>
  <r>
    <x v="36"/>
    <x v="16"/>
    <x v="1936"/>
    <x v="594"/>
    <n v="3020"/>
    <n v="-283"/>
    <n v="22"/>
    <x v="238"/>
    <n v="87"/>
  </r>
  <r>
    <x v="36"/>
    <x v="17"/>
    <x v="1937"/>
    <x v="587"/>
    <n v="3351"/>
    <n v="-3"/>
    <n v="16"/>
    <x v="1778"/>
    <n v="29"/>
  </r>
  <r>
    <x v="36"/>
    <x v="18"/>
    <x v="1938"/>
    <x v="869"/>
    <n v="3393"/>
    <n v="-338"/>
    <n v="-31"/>
    <x v="309"/>
    <n v="-82"/>
  </r>
  <r>
    <x v="36"/>
    <x v="19"/>
    <x v="1939"/>
    <x v="870"/>
    <n v="3814"/>
    <n v="-95"/>
    <n v="13"/>
    <x v="1779"/>
    <n v="-277"/>
  </r>
  <r>
    <x v="36"/>
    <x v="20"/>
    <x v="1940"/>
    <x v="871"/>
    <n v="3918"/>
    <n v="89"/>
    <n v="-23"/>
    <x v="1780"/>
    <n v="-397"/>
  </r>
  <r>
    <x v="36"/>
    <x v="21"/>
    <x v="852"/>
    <x v="872"/>
    <n v="3942"/>
    <n v="-66"/>
    <n v="-9"/>
    <x v="878"/>
    <n v="769"/>
  </r>
  <r>
    <x v="36"/>
    <x v="22"/>
    <x v="883"/>
    <x v="873"/>
    <n v="4047"/>
    <n v="159"/>
    <n v="31"/>
    <x v="1781"/>
    <n v="120"/>
  </r>
  <r>
    <x v="36"/>
    <x v="23"/>
    <x v="1941"/>
    <x v="874"/>
    <n v="3852"/>
    <n v="471"/>
    <n v="25"/>
    <x v="249"/>
    <n v="16"/>
  </r>
  <r>
    <x v="36"/>
    <x v="24"/>
    <x v="68"/>
    <x v="309"/>
    <n v="3416"/>
    <n v="-172"/>
    <n v="9"/>
    <x v="1782"/>
    <n v="-19"/>
  </r>
  <r>
    <x v="36"/>
    <x v="25"/>
    <x v="1942"/>
    <x v="875"/>
    <n v="3571"/>
    <n v="27"/>
    <n v="-6"/>
    <x v="1040"/>
    <n v="-45"/>
  </r>
  <r>
    <x v="36"/>
    <x v="26"/>
    <x v="1943"/>
    <x v="876"/>
    <n v="3590"/>
    <n v="133"/>
    <n v="6"/>
    <x v="46"/>
    <n v="98"/>
  </r>
  <r>
    <x v="36"/>
    <x v="27"/>
    <x v="1944"/>
    <x v="877"/>
    <n v="3612"/>
    <n v="142"/>
    <n v="7"/>
    <x v="1783"/>
    <n v="17"/>
  </r>
  <r>
    <x v="36"/>
    <x v="28"/>
    <x v="1945"/>
    <x v="878"/>
    <n v="3484"/>
    <n v="153"/>
    <n v="-15"/>
    <x v="921"/>
    <n v="33"/>
  </r>
  <r>
    <x v="36"/>
    <x v="29"/>
    <x v="1946"/>
    <x v="415"/>
    <n v="3360"/>
    <n v="142"/>
    <n v="-12"/>
    <x v="1784"/>
    <n v="27"/>
  </r>
  <r>
    <x v="36"/>
    <x v="30"/>
    <x v="1947"/>
    <x v="879"/>
    <n v="3121"/>
    <n v="730"/>
    <n v="-1"/>
    <x v="1785"/>
    <n v="5"/>
  </r>
  <r>
    <x v="36"/>
    <x v="31"/>
    <x v="1948"/>
    <x v="880"/>
    <n v="2516"/>
    <n v="484"/>
    <n v="23"/>
    <x v="1786"/>
    <n v="19"/>
  </r>
  <r>
    <x v="36"/>
    <x v="32"/>
    <x v="1949"/>
    <x v="82"/>
    <n v="2149"/>
    <n v="29"/>
    <n v="-18"/>
    <x v="1787"/>
    <n v="8"/>
  </r>
  <r>
    <x v="36"/>
    <x v="33"/>
    <x v="1950"/>
    <x v="33"/>
    <n v="2204"/>
    <s v="n.a."/>
    <s v="n.a."/>
    <x v="1788"/>
    <n v="260"/>
  </r>
  <r>
    <x v="36"/>
    <x v="34"/>
    <x v="1951"/>
    <x v="33"/>
    <n v="2045"/>
    <s v="n.a."/>
    <s v="n.a."/>
    <x v="291"/>
    <n v="-32"/>
  </r>
  <r>
    <x v="36"/>
    <x v="35"/>
    <x v="1952"/>
    <x v="33"/>
    <n v="1925"/>
    <s v="n.a."/>
    <s v="n.a."/>
    <x v="1789"/>
    <n v="21"/>
  </r>
  <r>
    <x v="36"/>
    <x v="36"/>
    <x v="1953"/>
    <x v="33"/>
    <n v="1901"/>
    <s v="n.a."/>
    <s v="n.a."/>
    <x v="808"/>
    <n v="-88"/>
  </r>
  <r>
    <x v="36"/>
    <x v="37"/>
    <x v="1954"/>
    <x v="33"/>
    <n v="1827"/>
    <s v="n.a."/>
    <s v="n.a."/>
    <x v="946"/>
    <n v="-43"/>
  </r>
  <r>
    <x v="36"/>
    <x v="38"/>
    <x v="1955"/>
    <x v="33"/>
    <n v="1736"/>
    <s v="n.a."/>
    <s v="n.a."/>
    <x v="1790"/>
    <n v="136"/>
  </r>
  <r>
    <x v="36"/>
    <x v="39"/>
    <x v="1956"/>
    <x v="33"/>
    <n v="1742"/>
    <s v="n.a."/>
    <s v="n.a."/>
    <x v="269"/>
    <n v="24"/>
  </r>
  <r>
    <x v="36"/>
    <x v="40"/>
    <x v="1957"/>
    <x v="33"/>
    <n v="1687"/>
    <s v="n.a."/>
    <s v="n.a."/>
    <x v="1791"/>
    <n v="103"/>
  </r>
  <r>
    <x v="36"/>
    <x v="41"/>
    <x v="1958"/>
    <x v="33"/>
    <n v="1676"/>
    <s v="n.a."/>
    <s v="n.a."/>
    <x v="1792"/>
    <n v="10"/>
  </r>
  <r>
    <x v="36"/>
    <x v="42"/>
    <x v="1959"/>
    <x v="33"/>
    <n v="1774"/>
    <s v="n.a."/>
    <s v="n.a."/>
    <x v="1793"/>
    <n v="45"/>
  </r>
  <r>
    <x v="36"/>
    <x v="43"/>
    <x v="1960"/>
    <x v="33"/>
    <n v="1665"/>
    <s v="n.a."/>
    <s v="n.a."/>
    <x v="1794"/>
    <n v="20"/>
  </r>
  <r>
    <x v="36"/>
    <x v="44"/>
    <x v="1961"/>
    <x v="33"/>
    <n v="1736"/>
    <s v="n.a."/>
    <s v="n.a."/>
    <x v="1795"/>
    <n v="21"/>
  </r>
  <r>
    <x v="36"/>
    <x v="45"/>
    <x v="1962"/>
    <x v="33"/>
    <n v="1587"/>
    <s v="n.a."/>
    <s v="n.a."/>
    <x v="196"/>
    <n v="30"/>
  </r>
  <r>
    <x v="36"/>
    <x v="46"/>
    <x v="1963"/>
    <x v="33"/>
    <n v="1526"/>
    <s v="n.a."/>
    <s v="n.a."/>
    <x v="1796"/>
    <n v="-22"/>
  </r>
  <r>
    <x v="36"/>
    <x v="47"/>
    <x v="1964"/>
    <x v="33"/>
    <n v="1466"/>
    <s v="n.a."/>
    <s v="n.a."/>
    <x v="188"/>
    <n v="28"/>
  </r>
  <r>
    <x v="36"/>
    <x v="48"/>
    <x v="1965"/>
    <x v="33"/>
    <n v="1425"/>
    <s v="n.a."/>
    <s v="n.a."/>
    <x v="1797"/>
    <n v="6"/>
  </r>
  <r>
    <x v="36"/>
    <x v="49"/>
    <x v="1966"/>
    <x v="33"/>
    <n v="1407"/>
    <s v="n.a."/>
    <s v="n.a."/>
    <x v="1798"/>
    <n v="-46"/>
  </r>
  <r>
    <x v="36"/>
    <x v="50"/>
    <x v="1967"/>
    <x v="33"/>
    <n v="1358"/>
    <s v="n.a."/>
    <s v="n.a."/>
    <x v="195"/>
    <n v="2"/>
  </r>
  <r>
    <x v="36"/>
    <x v="51"/>
    <x v="1968"/>
    <x v="33"/>
    <n v="1339"/>
    <s v="n.a."/>
    <s v="n.a."/>
    <x v="1799"/>
    <n v="4"/>
  </r>
  <r>
    <x v="36"/>
    <x v="52"/>
    <x v="1966"/>
    <x v="33"/>
    <n v="1367"/>
    <s v="n.a."/>
    <s v="n.a."/>
    <x v="1800"/>
    <n v="-24"/>
  </r>
  <r>
    <x v="36"/>
    <x v="53"/>
    <x v="1969"/>
    <x v="33"/>
    <n v="1378"/>
    <s v="n.a."/>
    <s v="n.a."/>
    <x v="1801"/>
    <n v="5"/>
  </r>
  <r>
    <x v="36"/>
    <x v="54"/>
    <x v="1970"/>
    <x v="33"/>
    <n v="1380"/>
    <s v="n.a."/>
    <s v="n.a."/>
    <x v="1802"/>
    <n v="-41"/>
  </r>
  <r>
    <x v="36"/>
    <x v="55"/>
    <x v="1971"/>
    <x v="33"/>
    <n v="1393"/>
    <s v="n.a."/>
    <s v="n.a."/>
    <x v="1803"/>
    <n v="-8"/>
  </r>
  <r>
    <x v="36"/>
    <x v="56"/>
    <x v="1972"/>
    <x v="33"/>
    <n v="1322"/>
    <s v="n.a."/>
    <s v="n.a."/>
    <x v="175"/>
    <n v="-34"/>
  </r>
  <r>
    <x v="36"/>
    <x v="57"/>
    <x v="1973"/>
    <x v="33"/>
    <n v="1486"/>
    <s v="n.a."/>
    <s v="n.a."/>
    <x v="172"/>
    <n v="-8"/>
  </r>
  <r>
    <x v="36"/>
    <x v="58"/>
    <x v="1974"/>
    <x v="33"/>
    <n v="1332"/>
    <s v="n.a."/>
    <s v="n.a."/>
    <x v="1804"/>
    <n v="31"/>
  </r>
  <r>
    <x v="36"/>
    <x v="59"/>
    <x v="1975"/>
    <x v="33"/>
    <n v="1307"/>
    <s v="n.a."/>
    <s v="n.a."/>
    <x v="176"/>
    <n v="47"/>
  </r>
  <r>
    <x v="36"/>
    <x v="60"/>
    <x v="1976"/>
    <x v="33"/>
    <n v="1418"/>
    <s v="n.a."/>
    <s v="n.a."/>
    <x v="1805"/>
    <n v="-49"/>
  </r>
  <r>
    <x v="36"/>
    <x v="61"/>
    <x v="1977"/>
    <x v="33"/>
    <n v="1170"/>
    <s v="n.a."/>
    <s v="n.a."/>
    <x v="173"/>
    <n v="65"/>
  </r>
  <r>
    <x v="36"/>
    <x v="62"/>
    <x v="1978"/>
    <x v="33"/>
    <n v="1297"/>
    <s v="n.a."/>
    <s v="n.a."/>
    <x v="1806"/>
    <n v="0"/>
  </r>
  <r>
    <x v="36"/>
    <x v="63"/>
    <x v="1979"/>
    <x v="33"/>
    <n v="1382"/>
    <s v="n.a."/>
    <s v="n.a."/>
    <x v="1806"/>
    <n v="-7"/>
  </r>
  <r>
    <x v="36"/>
    <x v="64"/>
    <x v="1980"/>
    <x v="33"/>
    <n v="1358"/>
    <s v="n.a."/>
    <s v="n.a."/>
    <x v="1795"/>
    <n v="0"/>
  </r>
  <r>
    <x v="36"/>
    <x v="65"/>
    <x v="1981"/>
    <x v="33"/>
    <n v="1440"/>
    <s v="n.a."/>
    <s v="n.a."/>
    <x v="1795"/>
    <n v="-8"/>
  </r>
  <r>
    <x v="36"/>
    <x v="66"/>
    <x v="1982"/>
    <x v="33"/>
    <n v="1470"/>
    <s v="n.a."/>
    <s v="n.a."/>
    <x v="1807"/>
    <n v="2"/>
  </r>
  <r>
    <x v="36"/>
    <x v="67"/>
    <x v="1983"/>
    <x v="33"/>
    <n v="1534"/>
    <s v="n.a."/>
    <s v="n.a."/>
    <x v="1808"/>
    <n v="-92"/>
  </r>
  <r>
    <x v="36"/>
    <x v="68"/>
    <x v="1984"/>
    <x v="33"/>
    <n v="1674"/>
    <s v="n.a."/>
    <s v="n.a."/>
    <x v="1809"/>
    <n v="17"/>
  </r>
  <r>
    <x v="36"/>
    <x v="69"/>
    <x v="1985"/>
    <x v="33"/>
    <n v="1716"/>
    <s v="n.a."/>
    <s v="n.a."/>
    <x v="287"/>
    <n v="-4"/>
  </r>
  <r>
    <x v="37"/>
    <x v="0"/>
    <x v="1986"/>
    <x v="881"/>
    <n v="331"/>
    <n v="4"/>
    <n v="-2"/>
    <x v="1810"/>
    <n v="52"/>
  </r>
  <r>
    <x v="37"/>
    <x v="1"/>
    <x v="1987"/>
    <x v="882"/>
    <n v="339"/>
    <n v="15"/>
    <n v="-1"/>
    <x v="1811"/>
    <n v="-76"/>
  </r>
  <r>
    <x v="37"/>
    <x v="2"/>
    <x v="1988"/>
    <x v="162"/>
    <n v="345"/>
    <n v="19"/>
    <n v="-4"/>
    <x v="1769"/>
    <n v="15"/>
  </r>
  <r>
    <x v="37"/>
    <x v="3"/>
    <x v="1989"/>
    <x v="575"/>
    <n v="331"/>
    <n v="24"/>
    <n v="-4"/>
    <x v="1812"/>
    <n v="-22"/>
  </r>
  <r>
    <x v="37"/>
    <x v="4"/>
    <x v="1990"/>
    <x v="883"/>
    <n v="318"/>
    <n v="-13"/>
    <n v="-3"/>
    <x v="1813"/>
    <n v="155"/>
  </r>
  <r>
    <x v="37"/>
    <x v="5"/>
    <x v="1991"/>
    <x v="884"/>
    <n v="349"/>
    <n v="3"/>
    <n v="-9"/>
    <x v="1814"/>
    <n v="-32"/>
  </r>
  <r>
    <x v="37"/>
    <x v="6"/>
    <x v="1992"/>
    <x v="885"/>
    <n v="354"/>
    <n v="7"/>
    <n v="7"/>
    <x v="1815"/>
    <n v="48"/>
  </r>
  <r>
    <x v="37"/>
    <x v="7"/>
    <x v="1993"/>
    <x v="865"/>
    <n v="347"/>
    <n v="4"/>
    <n v="4"/>
    <x v="1752"/>
    <n v="-108"/>
  </r>
  <r>
    <x v="37"/>
    <x v="8"/>
    <x v="1994"/>
    <x v="886"/>
    <n v="345"/>
    <n v="-56"/>
    <n v="0"/>
    <x v="1816"/>
    <n v="-55"/>
  </r>
  <r>
    <x v="37"/>
    <x v="9"/>
    <x v="1995"/>
    <x v="430"/>
    <n v="411"/>
    <n v="14"/>
    <n v="2"/>
    <x v="1817"/>
    <n v="-181"/>
  </r>
  <r>
    <x v="37"/>
    <x v="10"/>
    <x v="1996"/>
    <x v="887"/>
    <n v="395"/>
    <n v="1"/>
    <n v="5"/>
    <x v="1818"/>
    <n v="-276"/>
  </r>
  <r>
    <x v="37"/>
    <x v="11"/>
    <x v="1997"/>
    <x v="888"/>
    <n v="402"/>
    <n v="196"/>
    <n v="0"/>
    <x v="1819"/>
    <n v="-262"/>
  </r>
  <r>
    <x v="37"/>
    <x v="12"/>
    <x v="1998"/>
    <x v="881"/>
    <n v="207"/>
    <n v="-4"/>
    <n v="-2"/>
    <x v="1820"/>
    <n v="60"/>
  </r>
  <r>
    <x v="37"/>
    <x v="13"/>
    <x v="1999"/>
    <x v="889"/>
    <n v="206"/>
    <n v="0"/>
    <n v="-5"/>
    <x v="563"/>
    <n v="300"/>
  </r>
  <r>
    <x v="37"/>
    <x v="14"/>
    <x v="2000"/>
    <x v="890"/>
    <n v="223"/>
    <n v="-5"/>
    <n v="0"/>
    <x v="199"/>
    <n v="139"/>
  </r>
  <r>
    <x v="37"/>
    <x v="15"/>
    <x v="2001"/>
    <x v="764"/>
    <n v="226"/>
    <n v="-5"/>
    <n v="-4"/>
    <x v="775"/>
    <n v="216"/>
  </r>
  <r>
    <x v="37"/>
    <x v="16"/>
    <x v="2002"/>
    <x v="891"/>
    <n v="231"/>
    <n v="12"/>
    <n v="2"/>
    <x v="1821"/>
    <n v="-187"/>
  </r>
  <r>
    <x v="37"/>
    <x v="17"/>
    <x v="2003"/>
    <x v="892"/>
    <n v="229"/>
    <n v="36"/>
    <n v="0"/>
    <x v="1822"/>
    <n v="33"/>
  </r>
  <r>
    <x v="37"/>
    <x v="18"/>
    <x v="2004"/>
    <x v="884"/>
    <n v="218"/>
    <n v="4"/>
    <n v="-1"/>
    <x v="1823"/>
    <n v="-33"/>
  </r>
  <r>
    <x v="37"/>
    <x v="19"/>
    <x v="1978"/>
    <x v="284"/>
    <n v="224"/>
    <n v="9"/>
    <n v="0"/>
    <x v="1822"/>
    <n v="423"/>
  </r>
  <r>
    <x v="37"/>
    <x v="20"/>
    <x v="2005"/>
    <x v="893"/>
    <n v="213"/>
    <n v="0"/>
    <n v="1"/>
    <x v="1824"/>
    <n v="136"/>
  </r>
  <r>
    <x v="37"/>
    <x v="21"/>
    <x v="2006"/>
    <x v="894"/>
    <n v="213"/>
    <n v="8"/>
    <n v="0"/>
    <x v="1825"/>
    <n v="-142"/>
  </r>
  <r>
    <x v="37"/>
    <x v="22"/>
    <x v="2007"/>
    <x v="803"/>
    <n v="230"/>
    <n v="5"/>
    <n v="14"/>
    <x v="1826"/>
    <n v="-131"/>
  </r>
  <r>
    <x v="37"/>
    <x v="23"/>
    <x v="2008"/>
    <x v="895"/>
    <n v="207"/>
    <n v="8"/>
    <n v="1"/>
    <x v="1827"/>
    <n v="-106"/>
  </r>
  <r>
    <x v="37"/>
    <x v="24"/>
    <x v="2009"/>
    <x v="896"/>
    <n v="199"/>
    <n v="-5"/>
    <n v="1"/>
    <x v="1828"/>
    <n v="-183"/>
  </r>
  <r>
    <x v="37"/>
    <x v="25"/>
    <x v="2010"/>
    <x v="897"/>
    <n v="213"/>
    <n v="5"/>
    <n v="0"/>
    <x v="1829"/>
    <n v="9"/>
  </r>
  <r>
    <x v="37"/>
    <x v="26"/>
    <x v="2011"/>
    <x v="898"/>
    <n v="203"/>
    <n v="4"/>
    <n v="2"/>
    <x v="1"/>
    <n v="12"/>
  </r>
  <r>
    <x v="37"/>
    <x v="27"/>
    <x v="2012"/>
    <x v="350"/>
    <n v="197"/>
    <n v="5"/>
    <n v="0"/>
    <x v="1830"/>
    <n v="110"/>
  </r>
  <r>
    <x v="37"/>
    <x v="28"/>
    <x v="2013"/>
    <x v="142"/>
    <n v="202"/>
    <n v="10"/>
    <n v="0"/>
    <x v="1831"/>
    <n v="203"/>
  </r>
  <r>
    <x v="37"/>
    <x v="29"/>
    <x v="2014"/>
    <x v="899"/>
    <n v="192"/>
    <n v="-5"/>
    <n v="0"/>
    <x v="1781"/>
    <n v="207"/>
  </r>
  <r>
    <x v="37"/>
    <x v="30"/>
    <x v="2015"/>
    <x v="900"/>
    <n v="195"/>
    <n v="10"/>
    <n v="0"/>
    <x v="1832"/>
    <n v="321"/>
  </r>
  <r>
    <x v="37"/>
    <x v="31"/>
    <x v="2016"/>
    <x v="406"/>
    <n v="182"/>
    <n v="9"/>
    <n v="2"/>
    <x v="808"/>
    <n v="-104"/>
  </r>
  <r>
    <x v="37"/>
    <x v="32"/>
    <x v="2017"/>
    <x v="901"/>
    <n v="174"/>
    <n v="4"/>
    <n v="3"/>
    <x v="940"/>
    <n v="304"/>
  </r>
  <r>
    <x v="37"/>
    <x v="33"/>
    <x v="2018"/>
    <x v="33"/>
    <n v="174"/>
    <s v="n.a."/>
    <s v="n.a."/>
    <x v="318"/>
    <n v="-200"/>
  </r>
  <r>
    <x v="37"/>
    <x v="34"/>
    <x v="2019"/>
    <x v="33"/>
    <n v="170"/>
    <s v="n.a."/>
    <s v="n.a."/>
    <x v="808"/>
    <n v="1"/>
  </r>
  <r>
    <x v="37"/>
    <x v="35"/>
    <x v="2020"/>
    <x v="33"/>
    <n v="158"/>
    <s v="n.a."/>
    <s v="n.a."/>
    <x v="1833"/>
    <n v="213"/>
  </r>
  <r>
    <x v="37"/>
    <x v="36"/>
    <x v="2021"/>
    <x v="33"/>
    <n v="150"/>
    <s v="n.a."/>
    <s v="n.a."/>
    <x v="1806"/>
    <n v="18"/>
  </r>
  <r>
    <x v="37"/>
    <x v="37"/>
    <x v="2022"/>
    <x v="33"/>
    <n v="144"/>
    <s v="n.a."/>
    <s v="n.a."/>
    <x v="1834"/>
    <n v="15"/>
  </r>
  <r>
    <x v="37"/>
    <x v="38"/>
    <x v="188"/>
    <x v="33"/>
    <n v="137"/>
    <s v="n.a."/>
    <s v="n.a."/>
    <x v="187"/>
    <n v="11"/>
  </r>
  <r>
    <x v="37"/>
    <x v="39"/>
    <x v="193"/>
    <x v="33"/>
    <n v="132"/>
    <s v="n.a."/>
    <s v="n.a."/>
    <x v="1796"/>
    <n v="-1"/>
  </r>
  <r>
    <x v="37"/>
    <x v="40"/>
    <x v="2023"/>
    <x v="33"/>
    <n v="127"/>
    <s v="n.a."/>
    <s v="n.a."/>
    <x v="181"/>
    <n v="4"/>
  </r>
  <r>
    <x v="37"/>
    <x v="41"/>
    <x v="2024"/>
    <x v="33"/>
    <n v="123"/>
    <s v="n.a."/>
    <s v="n.a."/>
    <x v="1835"/>
    <n v="-3"/>
  </r>
  <r>
    <x v="37"/>
    <x v="42"/>
    <x v="2025"/>
    <x v="33"/>
    <n v="116"/>
    <s v="n.a."/>
    <s v="n.a."/>
    <x v="1796"/>
    <n v="7"/>
  </r>
  <r>
    <x v="37"/>
    <x v="43"/>
    <x v="196"/>
    <x v="33"/>
    <n v="113"/>
    <s v="n.a."/>
    <s v="n.a."/>
    <x v="1836"/>
    <n v="6"/>
  </r>
  <r>
    <x v="37"/>
    <x v="44"/>
    <x v="184"/>
    <x v="33"/>
    <n v="115"/>
    <s v="n.a."/>
    <s v="n.a."/>
    <x v="1837"/>
    <n v="6"/>
  </r>
  <r>
    <x v="37"/>
    <x v="45"/>
    <x v="2026"/>
    <x v="33"/>
    <n v="117"/>
    <s v="n.a."/>
    <s v="n.a."/>
    <x v="1838"/>
    <n v="-1"/>
  </r>
  <r>
    <x v="37"/>
    <x v="46"/>
    <x v="183"/>
    <x v="33"/>
    <n v="121"/>
    <s v="n.a."/>
    <s v="n.a."/>
    <x v="1839"/>
    <n v="6"/>
  </r>
  <r>
    <x v="37"/>
    <x v="47"/>
    <x v="2027"/>
    <x v="33"/>
    <n v="134"/>
    <s v="n.a."/>
    <s v="n.a."/>
    <x v="1840"/>
    <n v="-4"/>
  </r>
  <r>
    <x v="37"/>
    <x v="48"/>
    <x v="2028"/>
    <x v="33"/>
    <n v="134"/>
    <s v="n.a."/>
    <s v="n.a."/>
    <x v="1841"/>
    <n v="-2"/>
  </r>
  <r>
    <x v="37"/>
    <x v="49"/>
    <x v="2025"/>
    <x v="33"/>
    <n v="134"/>
    <s v="n.a."/>
    <s v="n.a."/>
    <x v="1839"/>
    <n v="-4"/>
  </r>
  <r>
    <x v="37"/>
    <x v="50"/>
    <x v="2029"/>
    <x v="33"/>
    <n v="140"/>
    <s v="n.a."/>
    <s v="n.a."/>
    <x v="1842"/>
    <n v="0"/>
  </r>
  <r>
    <x v="37"/>
    <x v="51"/>
    <x v="2030"/>
    <x v="33"/>
    <n v="126"/>
    <s v="n.a."/>
    <s v="n.a."/>
    <x v="1842"/>
    <n v="1"/>
  </r>
  <r>
    <x v="37"/>
    <x v="52"/>
    <x v="2031"/>
    <x v="33"/>
    <n v="124"/>
    <s v="n.a."/>
    <s v="n.a."/>
    <x v="762"/>
    <n v="-1"/>
  </r>
  <r>
    <x v="37"/>
    <x v="53"/>
    <x v="2027"/>
    <x v="33"/>
    <n v="124"/>
    <s v="n.a."/>
    <s v="n.a."/>
    <x v="1842"/>
    <n v="2"/>
  </r>
  <r>
    <x v="37"/>
    <x v="54"/>
    <x v="197"/>
    <x v="33"/>
    <n v="123"/>
    <s v="n.a."/>
    <s v="n.a."/>
    <x v="1843"/>
    <n v="-13"/>
  </r>
  <r>
    <x v="37"/>
    <x v="55"/>
    <x v="2024"/>
    <x v="33"/>
    <n v="123"/>
    <s v="n.a."/>
    <s v="n.a."/>
    <x v="1835"/>
    <n v="0"/>
  </r>
  <r>
    <x v="37"/>
    <x v="56"/>
    <x v="2032"/>
    <x v="33"/>
    <n v="124"/>
    <s v="n.a."/>
    <s v="n.a."/>
    <x v="1835"/>
    <n v="17"/>
  </r>
  <r>
    <x v="37"/>
    <x v="57"/>
    <x v="2033"/>
    <x v="33"/>
    <n v="149"/>
    <s v="n.a."/>
    <s v="n.a."/>
    <x v="1841"/>
    <n v="-37"/>
  </r>
  <r>
    <x v="37"/>
    <x v="58"/>
    <x v="2034"/>
    <x v="33"/>
    <n v="149"/>
    <s v="n.a."/>
    <s v="n.a."/>
    <x v="1844"/>
    <n v="-16"/>
  </r>
  <r>
    <x v="37"/>
    <x v="59"/>
    <x v="2035"/>
    <x v="33"/>
    <n v="150"/>
    <s v="n.a."/>
    <s v="n.a."/>
    <x v="1845"/>
    <n v="0"/>
  </r>
  <r>
    <x v="37"/>
    <x v="60"/>
    <x v="2036"/>
    <x v="33"/>
    <n v="152"/>
    <s v="n.a."/>
    <s v="n.a."/>
    <x v="1845"/>
    <n v="3"/>
  </r>
  <r>
    <x v="37"/>
    <x v="61"/>
    <x v="2037"/>
    <x v="33"/>
    <n v="156"/>
    <s v="n.a."/>
    <s v="n.a."/>
    <x v="196"/>
    <n v="-5"/>
  </r>
  <r>
    <x v="37"/>
    <x v="62"/>
    <x v="2038"/>
    <x v="33"/>
    <n v="156"/>
    <s v="n.a."/>
    <s v="n.a."/>
    <x v="1846"/>
    <n v="18"/>
  </r>
  <r>
    <x v="37"/>
    <x v="63"/>
    <x v="2039"/>
    <x v="33"/>
    <n v="159"/>
    <s v="n.a."/>
    <s v="n.a."/>
    <x v="1844"/>
    <n v="-67"/>
  </r>
  <r>
    <x v="37"/>
    <x v="64"/>
    <x v="2040"/>
    <x v="33"/>
    <n v="161"/>
    <s v="n.a."/>
    <s v="n.a."/>
    <x v="1847"/>
    <n v="-11"/>
  </r>
  <r>
    <x v="37"/>
    <x v="65"/>
    <x v="2041"/>
    <x v="33"/>
    <n v="172"/>
    <s v="n.a."/>
    <s v="n.a."/>
    <x v="194"/>
    <n v="-27"/>
  </r>
  <r>
    <x v="37"/>
    <x v="66"/>
    <x v="2042"/>
    <x v="33"/>
    <n v="174"/>
    <s v="n.a."/>
    <s v="n.a."/>
    <x v="1848"/>
    <n v="14"/>
  </r>
  <r>
    <x v="37"/>
    <x v="67"/>
    <x v="2043"/>
    <x v="33"/>
    <n v="174"/>
    <s v="n.a."/>
    <s v="n.a."/>
    <x v="1849"/>
    <n v="-52"/>
  </r>
  <r>
    <x v="37"/>
    <x v="68"/>
    <x v="167"/>
    <x v="33"/>
    <n v="143"/>
    <s v="n.a."/>
    <s v="n.a."/>
    <x v="166"/>
    <n v="11"/>
  </r>
  <r>
    <x v="37"/>
    <x v="69"/>
    <x v="2044"/>
    <x v="33"/>
    <n v="149"/>
    <s v="n.a."/>
    <s v="n.a."/>
    <x v="1809"/>
    <n v="34"/>
  </r>
  <r>
    <x v="38"/>
    <x v="0"/>
    <x v="2045"/>
    <x v="902"/>
    <n v="16270"/>
    <n v="1117"/>
    <n v="8"/>
    <x v="305"/>
    <n v="364"/>
  </r>
  <r>
    <x v="38"/>
    <x v="1"/>
    <x v="2046"/>
    <x v="903"/>
    <n v="15027"/>
    <n v="667"/>
    <n v="6"/>
    <x v="293"/>
    <n v="-1251"/>
  </r>
  <r>
    <x v="38"/>
    <x v="2"/>
    <x v="2047"/>
    <x v="904"/>
    <n v="14448"/>
    <n v="1132"/>
    <n v="91"/>
    <x v="700"/>
    <n v="1015"/>
  </r>
  <r>
    <x v="38"/>
    <x v="3"/>
    <x v="2048"/>
    <x v="395"/>
    <n v="13225"/>
    <n v="-30"/>
    <n v="-53"/>
    <x v="1850"/>
    <n v="-34"/>
  </r>
  <r>
    <x v="38"/>
    <x v="4"/>
    <x v="2049"/>
    <x v="905"/>
    <n v="13246"/>
    <n v="325"/>
    <n v="55"/>
    <x v="1851"/>
    <n v="-82"/>
  </r>
  <r>
    <x v="38"/>
    <x v="5"/>
    <x v="2050"/>
    <x v="906"/>
    <n v="12960"/>
    <n v="590"/>
    <n v="-78"/>
    <x v="833"/>
    <n v="-203"/>
  </r>
  <r>
    <x v="38"/>
    <x v="6"/>
    <x v="2051"/>
    <x v="907"/>
    <n v="12448"/>
    <n v="1001"/>
    <n v="50"/>
    <x v="1852"/>
    <n v="-314"/>
  </r>
  <r>
    <x v="38"/>
    <x v="7"/>
    <x v="2052"/>
    <x v="908"/>
    <n v="11284"/>
    <n v="-60"/>
    <n v="-17"/>
    <x v="703"/>
    <n v="-86"/>
  </r>
  <r>
    <x v="38"/>
    <x v="8"/>
    <x v="2053"/>
    <x v="909"/>
    <n v="11147"/>
    <n v="-157"/>
    <n v="89"/>
    <x v="32"/>
    <n v="102"/>
  </r>
  <r>
    <x v="38"/>
    <x v="9"/>
    <x v="2054"/>
    <x v="898"/>
    <n v="11082"/>
    <n v="-363"/>
    <n v="26"/>
    <x v="1853"/>
    <n v="379"/>
  </r>
  <r>
    <x v="38"/>
    <x v="10"/>
    <x v="2055"/>
    <x v="910"/>
    <n v="11311"/>
    <n v="-54"/>
    <n v="-78"/>
    <x v="1854"/>
    <n v="-360"/>
  </r>
  <r>
    <x v="38"/>
    <x v="11"/>
    <x v="2056"/>
    <x v="909"/>
    <n v="11545"/>
    <n v="-395"/>
    <n v="58"/>
    <x v="1855"/>
    <n v="340"/>
  </r>
  <r>
    <x v="38"/>
    <x v="12"/>
    <x v="2057"/>
    <x v="593"/>
    <n v="11688"/>
    <n v="587"/>
    <n v="-181"/>
    <x v="240"/>
    <n v="-461"/>
  </r>
  <r>
    <x v="38"/>
    <x v="13"/>
    <x v="2058"/>
    <x v="911"/>
    <n v="11285"/>
    <n v="1004"/>
    <n v="61"/>
    <x v="32"/>
    <n v="-209"/>
  </r>
  <r>
    <x v="38"/>
    <x v="14"/>
    <x v="2059"/>
    <x v="912"/>
    <n v="10234"/>
    <n v="164"/>
    <n v="57"/>
    <x v="1856"/>
    <n v="114"/>
  </r>
  <r>
    <x v="38"/>
    <x v="15"/>
    <x v="2060"/>
    <x v="913"/>
    <n v="9965"/>
    <n v="340"/>
    <n v="114"/>
    <x v="1857"/>
    <n v="-281"/>
  </r>
  <r>
    <x v="38"/>
    <x v="16"/>
    <x v="2061"/>
    <x v="914"/>
    <n v="9573"/>
    <n v="121"/>
    <n v="15"/>
    <x v="1858"/>
    <n v="345"/>
  </r>
  <r>
    <x v="38"/>
    <x v="17"/>
    <x v="2062"/>
    <x v="915"/>
    <n v="9437"/>
    <n v="157"/>
    <n v="71"/>
    <x v="1859"/>
    <n v="-82"/>
  </r>
  <r>
    <x v="38"/>
    <x v="18"/>
    <x v="2063"/>
    <x v="840"/>
    <n v="9316"/>
    <n v="66"/>
    <n v="-108"/>
    <x v="1860"/>
    <n v="579"/>
  </r>
  <r>
    <x v="38"/>
    <x v="19"/>
    <x v="2064"/>
    <x v="916"/>
    <n v="9573"/>
    <n v="111"/>
    <n v="17"/>
    <x v="1861"/>
    <n v="-365"/>
  </r>
  <r>
    <x v="38"/>
    <x v="20"/>
    <x v="2065"/>
    <x v="917"/>
    <n v="9620"/>
    <n v="122"/>
    <n v="-90"/>
    <x v="1862"/>
    <n v="-690"/>
  </r>
  <r>
    <x v="38"/>
    <x v="21"/>
    <x v="2066"/>
    <x v="918"/>
    <n v="9650"/>
    <n v="-179"/>
    <n v="2"/>
    <x v="1863"/>
    <n v="-49"/>
  </r>
  <r>
    <x v="38"/>
    <x v="22"/>
    <x v="2067"/>
    <x v="536"/>
    <n v="10082"/>
    <n v="480"/>
    <n v="137"/>
    <x v="1864"/>
    <n v="-295"/>
  </r>
  <r>
    <x v="38"/>
    <x v="23"/>
    <x v="2068"/>
    <x v="919"/>
    <n v="9461"/>
    <n v="240"/>
    <n v="169"/>
    <x v="1865"/>
    <n v="577"/>
  </r>
  <r>
    <x v="38"/>
    <x v="24"/>
    <x v="2069"/>
    <x v="752"/>
    <n v="9052"/>
    <n v="67"/>
    <n v="-37"/>
    <x v="1866"/>
    <n v="771"/>
  </r>
  <r>
    <x v="38"/>
    <x v="25"/>
    <x v="2070"/>
    <x v="920"/>
    <n v="9104"/>
    <n v="-427"/>
    <n v="-124"/>
    <x v="1867"/>
    <n v="43"/>
  </r>
  <r>
    <x v="38"/>
    <x v="26"/>
    <x v="2071"/>
    <x v="921"/>
    <n v="9651"/>
    <n v="-62"/>
    <n v="-14"/>
    <x v="307"/>
    <n v="-139"/>
  </r>
  <r>
    <x v="38"/>
    <x v="27"/>
    <x v="2072"/>
    <x v="74"/>
    <n v="9917"/>
    <n v="-266"/>
    <n v="3"/>
    <x v="1868"/>
    <n v="370"/>
  </r>
  <r>
    <x v="38"/>
    <x v="28"/>
    <x v="2073"/>
    <x v="922"/>
    <n v="10178"/>
    <n v="1150"/>
    <n v="-72"/>
    <x v="1869"/>
    <n v="145"/>
  </r>
  <r>
    <x v="38"/>
    <x v="29"/>
    <x v="2074"/>
    <x v="923"/>
    <n v="8972"/>
    <n v="428"/>
    <n v="-69"/>
    <x v="146"/>
    <n v="-79"/>
  </r>
  <r>
    <x v="38"/>
    <x v="30"/>
    <x v="2075"/>
    <x v="924"/>
    <n v="8692"/>
    <n v="156"/>
    <n v="11"/>
    <x v="1790"/>
    <n v="-335"/>
  </r>
  <r>
    <x v="38"/>
    <x v="31"/>
    <x v="2076"/>
    <x v="128"/>
    <n v="8526"/>
    <n v="45"/>
    <n v="124"/>
    <x v="1870"/>
    <n v="219"/>
  </r>
  <r>
    <x v="38"/>
    <x v="32"/>
    <x v="2077"/>
    <x v="925"/>
    <n v="8360"/>
    <n v="122"/>
    <n v="-89"/>
    <x v="766"/>
    <n v="84"/>
  </r>
  <r>
    <x v="38"/>
    <x v="33"/>
    <x v="2078"/>
    <x v="33"/>
    <n v="8326"/>
    <s v="n.a."/>
    <s v="n.a."/>
    <x v="140"/>
    <n v="282"/>
  </r>
  <r>
    <x v="38"/>
    <x v="34"/>
    <x v="2079"/>
    <x v="33"/>
    <n v="7910"/>
    <s v="n.a."/>
    <s v="n.a."/>
    <x v="1871"/>
    <n v="124"/>
  </r>
  <r>
    <x v="38"/>
    <x v="35"/>
    <x v="2080"/>
    <x v="33"/>
    <n v="8303"/>
    <s v="n.a."/>
    <s v="n.a."/>
    <x v="1872"/>
    <n v="-84"/>
  </r>
  <r>
    <x v="38"/>
    <x v="36"/>
    <x v="2081"/>
    <x v="33"/>
    <n v="7483"/>
    <s v="n.a."/>
    <s v="n.a."/>
    <x v="1873"/>
    <n v="99"/>
  </r>
  <r>
    <x v="38"/>
    <x v="37"/>
    <x v="2082"/>
    <x v="33"/>
    <n v="7037"/>
    <s v="n.a."/>
    <s v="n.a."/>
    <x v="1796"/>
    <n v="-111"/>
  </r>
  <r>
    <x v="38"/>
    <x v="38"/>
    <x v="2083"/>
    <x v="33"/>
    <n v="7223"/>
    <s v="n.a."/>
    <s v="n.a."/>
    <x v="1874"/>
    <n v="-84"/>
  </r>
  <r>
    <x v="38"/>
    <x v="39"/>
    <x v="2084"/>
    <x v="33"/>
    <n v="7345"/>
    <s v="n.a."/>
    <s v="n.a."/>
    <x v="810"/>
    <n v="43"/>
  </r>
  <r>
    <x v="38"/>
    <x v="40"/>
    <x v="2085"/>
    <x v="33"/>
    <n v="6159"/>
    <s v="n.a."/>
    <s v="n.a."/>
    <x v="1875"/>
    <n v="-19"/>
  </r>
  <r>
    <x v="38"/>
    <x v="41"/>
    <x v="2086"/>
    <x v="33"/>
    <n v="5810"/>
    <s v="n.a."/>
    <s v="n.a."/>
    <x v="163"/>
    <n v="-809"/>
  </r>
  <r>
    <x v="38"/>
    <x v="42"/>
    <x v="2087"/>
    <x v="33"/>
    <n v="5622"/>
    <s v="n.a."/>
    <s v="n.a."/>
    <x v="1876"/>
    <n v="-58"/>
  </r>
  <r>
    <x v="38"/>
    <x v="43"/>
    <x v="2088"/>
    <x v="33"/>
    <n v="5563"/>
    <s v="n.a."/>
    <s v="n.a."/>
    <x v="1877"/>
    <n v="15"/>
  </r>
  <r>
    <x v="38"/>
    <x v="44"/>
    <x v="2089"/>
    <x v="33"/>
    <n v="5390"/>
    <s v="n.a."/>
    <s v="n.a."/>
    <x v="1855"/>
    <n v="-133"/>
  </r>
  <r>
    <x v="38"/>
    <x v="45"/>
    <x v="2090"/>
    <x v="33"/>
    <n v="5318"/>
    <s v="n.a."/>
    <s v="n.a."/>
    <x v="1878"/>
    <n v="305"/>
  </r>
  <r>
    <x v="38"/>
    <x v="46"/>
    <x v="2091"/>
    <x v="33"/>
    <n v="5151"/>
    <s v="n.a."/>
    <s v="n.a."/>
    <x v="1811"/>
    <n v="278"/>
  </r>
  <r>
    <x v="38"/>
    <x v="47"/>
    <x v="2092"/>
    <x v="33"/>
    <n v="4947"/>
    <s v="n.a."/>
    <s v="n.a."/>
    <x v="1879"/>
    <n v="-142"/>
  </r>
  <r>
    <x v="38"/>
    <x v="48"/>
    <x v="2093"/>
    <x v="33"/>
    <n v="5213"/>
    <s v="n.a."/>
    <s v="n.a."/>
    <x v="1620"/>
    <n v="240"/>
  </r>
  <r>
    <x v="38"/>
    <x v="49"/>
    <x v="2094"/>
    <x v="33"/>
    <n v="5264"/>
    <s v="n.a."/>
    <s v="n.a."/>
    <x v="1880"/>
    <n v="122"/>
  </r>
  <r>
    <x v="38"/>
    <x v="50"/>
    <x v="2095"/>
    <x v="33"/>
    <n v="5383"/>
    <s v="n.a."/>
    <s v="n.a."/>
    <x v="1881"/>
    <n v="-111"/>
  </r>
  <r>
    <x v="38"/>
    <x v="51"/>
    <x v="2096"/>
    <x v="33"/>
    <n v="5212"/>
    <s v="n.a."/>
    <s v="n.a."/>
    <x v="803"/>
    <n v="364"/>
  </r>
  <r>
    <x v="38"/>
    <x v="52"/>
    <x v="2097"/>
    <x v="33"/>
    <n v="5278"/>
    <s v="n.a."/>
    <s v="n.a."/>
    <x v="174"/>
    <n v="-176"/>
  </r>
  <r>
    <x v="38"/>
    <x v="53"/>
    <x v="2098"/>
    <x v="33"/>
    <n v="5373"/>
    <s v="n.a."/>
    <s v="n.a."/>
    <x v="1882"/>
    <n v="140"/>
  </r>
  <r>
    <x v="38"/>
    <x v="54"/>
    <x v="2099"/>
    <x v="33"/>
    <n v="5594"/>
    <s v="n.a."/>
    <s v="n.a."/>
    <x v="1883"/>
    <n v="51"/>
  </r>
  <r>
    <x v="38"/>
    <x v="55"/>
    <x v="2100"/>
    <x v="33"/>
    <n v="6006"/>
    <s v="n.a."/>
    <s v="n.a."/>
    <x v="1884"/>
    <n v="-320"/>
  </r>
  <r>
    <x v="38"/>
    <x v="56"/>
    <x v="2101"/>
    <x v="33"/>
    <n v="6002"/>
    <s v="n.a."/>
    <s v="n.a."/>
    <x v="1885"/>
    <n v="-279"/>
  </r>
  <r>
    <x v="38"/>
    <x v="57"/>
    <x v="2102"/>
    <x v="33"/>
    <n v="6236"/>
    <s v="n.a."/>
    <s v="n.a."/>
    <x v="310"/>
    <n v="680"/>
  </r>
  <r>
    <x v="38"/>
    <x v="58"/>
    <x v="2103"/>
    <x v="33"/>
    <n v="7759"/>
    <s v="n.a."/>
    <s v="n.a."/>
    <x v="1886"/>
    <n v="-166"/>
  </r>
  <r>
    <x v="38"/>
    <x v="59"/>
    <x v="2104"/>
    <x v="33"/>
    <n v="7545"/>
    <s v="n.a."/>
    <s v="n.a."/>
    <x v="779"/>
    <n v="150"/>
  </r>
  <r>
    <x v="38"/>
    <x v="60"/>
    <x v="2082"/>
    <x v="33"/>
    <n v="7017"/>
    <s v="n.a."/>
    <s v="n.a."/>
    <x v="189"/>
    <n v="-115"/>
  </r>
  <r>
    <x v="38"/>
    <x v="61"/>
    <x v="2105"/>
    <x v="33"/>
    <n v="6540"/>
    <s v="n.a."/>
    <s v="n.a."/>
    <x v="1887"/>
    <n v="127"/>
  </r>
  <r>
    <x v="38"/>
    <x v="62"/>
    <x v="2106"/>
    <x v="33"/>
    <n v="6875"/>
    <s v="n.a."/>
    <s v="n.a."/>
    <x v="780"/>
    <n v="-187"/>
  </r>
  <r>
    <x v="38"/>
    <x v="63"/>
    <x v="2107"/>
    <x v="33"/>
    <n v="7053"/>
    <s v="n.a."/>
    <s v="n.a."/>
    <x v="810"/>
    <n v="-64"/>
  </r>
  <r>
    <x v="38"/>
    <x v="64"/>
    <x v="2108"/>
    <x v="33"/>
    <n v="6978"/>
    <s v="n.a."/>
    <s v="n.a."/>
    <x v="1888"/>
    <n v="134"/>
  </r>
  <r>
    <x v="38"/>
    <x v="65"/>
    <x v="2109"/>
    <x v="33"/>
    <n v="6931"/>
    <s v="n.a."/>
    <s v="n.a."/>
    <x v="312"/>
    <n v="80"/>
  </r>
  <r>
    <x v="38"/>
    <x v="66"/>
    <x v="2110"/>
    <x v="33"/>
    <n v="5776"/>
    <s v="n.a."/>
    <s v="n.a."/>
    <x v="1889"/>
    <n v="37"/>
  </r>
  <r>
    <x v="38"/>
    <x v="67"/>
    <x v="2111"/>
    <x v="33"/>
    <n v="6465"/>
    <s v="n.a."/>
    <s v="n.a."/>
    <x v="780"/>
    <n v="-20"/>
  </r>
  <r>
    <x v="38"/>
    <x v="68"/>
    <x v="2112"/>
    <x v="33"/>
    <n v="7158"/>
    <s v="n.a."/>
    <s v="n.a."/>
    <x v="1800"/>
    <n v="44"/>
  </r>
  <r>
    <x v="38"/>
    <x v="69"/>
    <x v="2113"/>
    <x v="33"/>
    <n v="7183"/>
    <s v="n.a."/>
    <s v="n.a."/>
    <x v="1843"/>
    <n v="8"/>
  </r>
  <r>
    <x v="39"/>
    <x v="0"/>
    <x v="2114"/>
    <x v="926"/>
    <n v="73151"/>
    <n v="1329"/>
    <n v="554"/>
    <x v="1890"/>
    <n v="-479"/>
  </r>
  <r>
    <x v="39"/>
    <x v="1"/>
    <x v="2115"/>
    <x v="927"/>
    <n v="71552"/>
    <n v="-2660"/>
    <n v="1032"/>
    <x v="1891"/>
    <n v="40"/>
  </r>
  <r>
    <x v="39"/>
    <x v="2"/>
    <x v="2116"/>
    <x v="928"/>
    <n v="74772"/>
    <n v="-2745"/>
    <n v="-25"/>
    <x v="1892"/>
    <n v="-2272"/>
  </r>
  <r>
    <x v="39"/>
    <x v="3"/>
    <x v="2117"/>
    <x v="929"/>
    <n v="76958"/>
    <n v="834"/>
    <n v="-123"/>
    <x v="1893"/>
    <n v="1558"/>
  </r>
  <r>
    <x v="39"/>
    <x v="4"/>
    <x v="2118"/>
    <x v="930"/>
    <n v="76790"/>
    <n v="-870"/>
    <n v="1162"/>
    <x v="1894"/>
    <n v="-1581"/>
  </r>
  <r>
    <x v="39"/>
    <x v="5"/>
    <x v="2119"/>
    <x v="931"/>
    <n v="76773"/>
    <n v="5612"/>
    <n v="-544"/>
    <x v="1895"/>
    <n v="1450"/>
  </r>
  <r>
    <x v="39"/>
    <x v="6"/>
    <x v="2120"/>
    <x v="932"/>
    <n v="71697"/>
    <n v="-4462"/>
    <n v="-445"/>
    <x v="1896"/>
    <n v="3359"/>
  </r>
  <r>
    <x v="39"/>
    <x v="7"/>
    <x v="2121"/>
    <x v="933"/>
    <n v="76777"/>
    <n v="-11436"/>
    <n v="68"/>
    <x v="1897"/>
    <n v="227"/>
  </r>
  <r>
    <x v="39"/>
    <x v="8"/>
    <x v="2122"/>
    <x v="934"/>
    <n v="88147"/>
    <n v="2178"/>
    <n v="1646"/>
    <x v="1898"/>
    <n v="510"/>
  </r>
  <r>
    <x v="39"/>
    <x v="9"/>
    <x v="2123"/>
    <x v="935"/>
    <n v="85422"/>
    <n v="-254"/>
    <n v="-899"/>
    <x v="1899"/>
    <n v="-3511"/>
  </r>
  <r>
    <x v="39"/>
    <x v="10"/>
    <x v="2124"/>
    <x v="936"/>
    <n v="85070"/>
    <n v="2176"/>
    <n v="681"/>
    <x v="1900"/>
    <n v="2633"/>
  </r>
  <r>
    <x v="39"/>
    <x v="11"/>
    <x v="2125"/>
    <x v="937"/>
    <n v="84535"/>
    <n v="2048"/>
    <n v="2190"/>
    <x v="1901"/>
    <n v="121"/>
  </r>
  <r>
    <x v="39"/>
    <x v="12"/>
    <x v="2126"/>
    <x v="938"/>
    <n v="82515"/>
    <n v="2139"/>
    <n v="101"/>
    <x v="1902"/>
    <n v="1364"/>
  </r>
  <r>
    <x v="39"/>
    <x v="13"/>
    <x v="2127"/>
    <x v="939"/>
    <n v="80348"/>
    <n v="-281"/>
    <n v="532"/>
    <x v="1903"/>
    <n v="141"/>
  </r>
  <r>
    <x v="39"/>
    <x v="14"/>
    <x v="2128"/>
    <x v="940"/>
    <n v="80305"/>
    <n v="638"/>
    <n v="268"/>
    <x v="1904"/>
    <n v="-586"/>
  </r>
  <r>
    <x v="39"/>
    <x v="15"/>
    <x v="2129"/>
    <x v="941"/>
    <n v="79615"/>
    <n v="-452"/>
    <n v="-603"/>
    <x v="1905"/>
    <n v="311"/>
  </r>
  <r>
    <x v="39"/>
    <x v="16"/>
    <x v="2130"/>
    <x v="942"/>
    <n v="80432"/>
    <n v="-3448"/>
    <n v="-506"/>
    <x v="1906"/>
    <n v="-653"/>
  </r>
  <r>
    <x v="39"/>
    <x v="17"/>
    <x v="2131"/>
    <x v="943"/>
    <n v="83393"/>
    <n v="4873"/>
    <n v="-363"/>
    <x v="1907"/>
    <n v="-193"/>
  </r>
  <r>
    <x v="39"/>
    <x v="18"/>
    <x v="2132"/>
    <x v="944"/>
    <n v="77393"/>
    <n v="5657"/>
    <n v="2124"/>
    <x v="1908"/>
    <n v="337"/>
  </r>
  <r>
    <x v="39"/>
    <x v="19"/>
    <x v="2133"/>
    <x v="307"/>
    <n v="73249"/>
    <n v="5794"/>
    <n v="1881"/>
    <x v="1909"/>
    <n v="439"/>
  </r>
  <r>
    <x v="39"/>
    <x v="20"/>
    <x v="2134"/>
    <x v="945"/>
    <n v="67243"/>
    <n v="3340"/>
    <n v="270"/>
    <x v="1910"/>
    <n v="1713"/>
  </r>
  <r>
    <x v="39"/>
    <x v="21"/>
    <x v="2135"/>
    <x v="946"/>
    <n v="64066"/>
    <n v="1287"/>
    <n v="-1968"/>
    <x v="1911"/>
    <n v="-1375"/>
  </r>
  <r>
    <x v="39"/>
    <x v="22"/>
    <x v="2136"/>
    <x v="947"/>
    <n v="63138"/>
    <n v="-409"/>
    <n v="2204"/>
    <x v="1912"/>
    <n v="1951"/>
  </r>
  <r>
    <x v="39"/>
    <x v="23"/>
    <x v="2137"/>
    <x v="948"/>
    <n v="64254"/>
    <n v="2063"/>
    <n v="478"/>
    <x v="1913"/>
    <n v="-1769"/>
  </r>
  <r>
    <x v="39"/>
    <x v="24"/>
    <x v="2138"/>
    <x v="949"/>
    <n v="61186"/>
    <n v="2170"/>
    <n v="800"/>
    <x v="1914"/>
    <n v="-896"/>
  </r>
  <r>
    <x v="39"/>
    <x v="25"/>
    <x v="2139"/>
    <x v="950"/>
    <n v="59553"/>
    <n v="1176"/>
    <n v="-627"/>
    <x v="1915"/>
    <n v="-147"/>
  </r>
  <r>
    <x v="39"/>
    <x v="26"/>
    <x v="2140"/>
    <x v="951"/>
    <n v="59208"/>
    <n v="-176"/>
    <n v="-539"/>
    <x v="1916"/>
    <n v="-513"/>
  </r>
  <r>
    <x v="39"/>
    <x v="27"/>
    <x v="2141"/>
    <x v="952"/>
    <n v="59585"/>
    <n v="2076"/>
    <n v="70"/>
    <x v="1917"/>
    <n v="1390"/>
  </r>
  <r>
    <x v="39"/>
    <x v="28"/>
    <x v="2142"/>
    <x v="213"/>
    <n v="57698"/>
    <n v="-417"/>
    <n v="-284"/>
    <x v="1918"/>
    <n v="-929"/>
  </r>
  <r>
    <x v="39"/>
    <x v="29"/>
    <x v="2143"/>
    <x v="953"/>
    <n v="58358"/>
    <n v="3137"/>
    <n v="164"/>
    <x v="1919"/>
    <n v="1518"/>
  </r>
  <r>
    <x v="39"/>
    <x v="30"/>
    <x v="2144"/>
    <x v="954"/>
    <n v="55839"/>
    <n v="3072"/>
    <n v="376"/>
    <x v="1920"/>
    <n v="234"/>
  </r>
  <r>
    <x v="39"/>
    <x v="31"/>
    <x v="2145"/>
    <x v="955"/>
    <n v="52775"/>
    <n v="1373"/>
    <n v="-6"/>
    <x v="1921"/>
    <n v="605"/>
  </r>
  <r>
    <x v="39"/>
    <x v="32"/>
    <x v="2146"/>
    <x v="956"/>
    <n v="50610"/>
    <n v="4688"/>
    <n v="-525"/>
    <x v="1922"/>
    <n v="219"/>
  </r>
  <r>
    <x v="39"/>
    <x v="33"/>
    <x v="2147"/>
    <x v="33"/>
    <n v="46688"/>
    <s v="n.a."/>
    <s v="n.a."/>
    <x v="1923"/>
    <n v="-1061"/>
  </r>
  <r>
    <x v="39"/>
    <x v="34"/>
    <x v="2148"/>
    <x v="33"/>
    <n v="46071"/>
    <s v="n.a."/>
    <s v="n.a."/>
    <x v="1924"/>
    <n v="904"/>
  </r>
  <r>
    <x v="39"/>
    <x v="35"/>
    <x v="2149"/>
    <x v="33"/>
    <n v="45499"/>
    <s v="n.a."/>
    <s v="n.a."/>
    <x v="1925"/>
    <n v="-760"/>
  </r>
  <r>
    <x v="39"/>
    <x v="36"/>
    <x v="2150"/>
    <x v="33"/>
    <n v="43905"/>
    <s v="n.a."/>
    <s v="n.a."/>
    <x v="1926"/>
    <n v="-502"/>
  </r>
  <r>
    <x v="39"/>
    <x v="37"/>
    <x v="2151"/>
    <x v="33"/>
    <n v="40920"/>
    <s v="n.a."/>
    <s v="n.a."/>
    <x v="1927"/>
    <n v="-1397"/>
  </r>
  <r>
    <x v="39"/>
    <x v="38"/>
    <x v="2152"/>
    <x v="33"/>
    <n v="38871"/>
    <s v="n.a."/>
    <s v="n.a."/>
    <x v="1928"/>
    <n v="395"/>
  </r>
  <r>
    <x v="39"/>
    <x v="39"/>
    <x v="2153"/>
    <x v="33"/>
    <n v="35503"/>
    <s v="n.a."/>
    <s v="n.a."/>
    <x v="1929"/>
    <n v="-77"/>
  </r>
  <r>
    <x v="39"/>
    <x v="40"/>
    <x v="2154"/>
    <x v="33"/>
    <n v="34659"/>
    <s v="n.a."/>
    <s v="n.a."/>
    <x v="1930"/>
    <n v="83"/>
  </r>
  <r>
    <x v="39"/>
    <x v="41"/>
    <x v="2155"/>
    <x v="33"/>
    <n v="33977"/>
    <s v="n.a."/>
    <s v="n.a."/>
    <x v="1931"/>
    <n v="-199"/>
  </r>
  <r>
    <x v="39"/>
    <x v="42"/>
    <x v="2156"/>
    <x v="33"/>
    <n v="33072"/>
    <s v="n.a."/>
    <s v="n.a."/>
    <x v="1932"/>
    <n v="584"/>
  </r>
  <r>
    <x v="39"/>
    <x v="43"/>
    <x v="2157"/>
    <x v="33"/>
    <n v="34115"/>
    <s v="n.a."/>
    <s v="n.a."/>
    <x v="1933"/>
    <n v="803"/>
  </r>
  <r>
    <x v="39"/>
    <x v="44"/>
    <x v="2158"/>
    <x v="33"/>
    <n v="34262"/>
    <s v="n.a."/>
    <s v="n.a."/>
    <x v="1934"/>
    <n v="-102"/>
  </r>
  <r>
    <x v="39"/>
    <x v="45"/>
    <x v="2159"/>
    <x v="33"/>
    <n v="31470"/>
    <s v="n.a."/>
    <s v="n.a."/>
    <x v="1935"/>
    <n v="-231"/>
  </r>
  <r>
    <x v="39"/>
    <x v="46"/>
    <x v="2160"/>
    <x v="33"/>
    <n v="33020"/>
    <s v="n.a."/>
    <s v="n.a."/>
    <x v="1936"/>
    <n v="-1803"/>
  </r>
  <r>
    <x v="39"/>
    <x v="47"/>
    <x v="2161"/>
    <x v="33"/>
    <n v="32428"/>
    <s v="n.a."/>
    <s v="n.a."/>
    <x v="1937"/>
    <n v="-76"/>
  </r>
  <r>
    <x v="39"/>
    <x v="48"/>
    <x v="2162"/>
    <x v="33"/>
    <n v="34951"/>
    <s v="n.a."/>
    <s v="n.a."/>
    <x v="1938"/>
    <n v="-3"/>
  </r>
  <r>
    <x v="39"/>
    <x v="49"/>
    <x v="2163"/>
    <x v="33"/>
    <n v="33381"/>
    <s v="n.a."/>
    <s v="n.a."/>
    <x v="1939"/>
    <n v="1365"/>
  </r>
  <r>
    <x v="39"/>
    <x v="50"/>
    <x v="2164"/>
    <x v="33"/>
    <n v="37046"/>
    <s v="n.a."/>
    <s v="n.a."/>
    <x v="1940"/>
    <n v="491"/>
  </r>
  <r>
    <x v="39"/>
    <x v="51"/>
    <x v="2165"/>
    <x v="33"/>
    <n v="36945"/>
    <s v="n.a."/>
    <s v="n.a."/>
    <x v="1941"/>
    <n v="-250"/>
  </r>
  <r>
    <x v="39"/>
    <x v="52"/>
    <x v="2166"/>
    <x v="33"/>
    <n v="36147"/>
    <s v="n.a."/>
    <s v="n.a."/>
    <x v="1942"/>
    <n v="653"/>
  </r>
  <r>
    <x v="39"/>
    <x v="53"/>
    <x v="2167"/>
    <x v="33"/>
    <n v="36310"/>
    <s v="n.a."/>
    <s v="n.a."/>
    <x v="1943"/>
    <n v="678"/>
  </r>
  <r>
    <x v="39"/>
    <x v="54"/>
    <x v="2168"/>
    <x v="33"/>
    <n v="36284"/>
    <s v="n.a."/>
    <s v="n.a."/>
    <x v="1944"/>
    <n v="-824"/>
  </r>
  <r>
    <x v="39"/>
    <x v="55"/>
    <x v="2169"/>
    <x v="33"/>
    <n v="35113"/>
    <s v="n.a."/>
    <s v="n.a."/>
    <x v="1935"/>
    <n v="1001"/>
  </r>
  <r>
    <x v="39"/>
    <x v="56"/>
    <x v="2170"/>
    <x v="33"/>
    <n v="37422"/>
    <s v="n.a."/>
    <s v="n.a."/>
    <x v="1945"/>
    <n v="-1196"/>
  </r>
  <r>
    <x v="39"/>
    <x v="57"/>
    <x v="2171"/>
    <x v="33"/>
    <n v="36648"/>
    <s v="n.a."/>
    <s v="n.a."/>
    <x v="1946"/>
    <n v="297"/>
  </r>
  <r>
    <x v="39"/>
    <x v="58"/>
    <x v="2172"/>
    <x v="33"/>
    <n v="36571"/>
    <s v="n.a."/>
    <s v="n.a."/>
    <x v="1934"/>
    <n v="-2467"/>
  </r>
  <r>
    <x v="39"/>
    <x v="59"/>
    <x v="2173"/>
    <x v="33"/>
    <n v="37407"/>
    <s v="n.a."/>
    <s v="n.a."/>
    <x v="1947"/>
    <n v="3084"/>
  </r>
  <r>
    <x v="39"/>
    <x v="60"/>
    <x v="2174"/>
    <x v="33"/>
    <n v="36629"/>
    <s v="n.a."/>
    <s v="n.a."/>
    <x v="1948"/>
    <n v="322"/>
  </r>
  <r>
    <x v="39"/>
    <x v="61"/>
    <x v="2175"/>
    <x v="33"/>
    <n v="37276"/>
    <s v="n.a."/>
    <s v="n.a."/>
    <x v="1911"/>
    <n v="-1269"/>
  </r>
  <r>
    <x v="39"/>
    <x v="62"/>
    <x v="2176"/>
    <x v="33"/>
    <n v="36344"/>
    <s v="n.a."/>
    <s v="n.a."/>
    <x v="1949"/>
    <n v="518"/>
  </r>
  <r>
    <x v="39"/>
    <x v="63"/>
    <x v="2177"/>
    <x v="33"/>
    <n v="34968"/>
    <s v="n.a."/>
    <s v="n.a."/>
    <x v="1950"/>
    <n v="-69"/>
  </r>
  <r>
    <x v="39"/>
    <x v="64"/>
    <x v="2178"/>
    <x v="33"/>
    <n v="34320"/>
    <s v="n.a."/>
    <s v="n.a."/>
    <x v="1951"/>
    <n v="-978"/>
  </r>
  <r>
    <x v="39"/>
    <x v="65"/>
    <x v="2179"/>
    <x v="33"/>
    <n v="33737"/>
    <s v="n.a."/>
    <s v="n.a."/>
    <x v="1952"/>
    <n v="-1233"/>
  </r>
  <r>
    <x v="39"/>
    <x v="66"/>
    <x v="2180"/>
    <x v="33"/>
    <n v="30503"/>
    <s v="n.a."/>
    <s v="n.a."/>
    <x v="1953"/>
    <n v="3883"/>
  </r>
  <r>
    <x v="39"/>
    <x v="67"/>
    <x v="2181"/>
    <x v="33"/>
    <n v="29826"/>
    <s v="n.a."/>
    <s v="n.a."/>
    <x v="1954"/>
    <n v="3975"/>
  </r>
  <r>
    <x v="39"/>
    <x v="68"/>
    <x v="2182"/>
    <x v="33"/>
    <n v="40427"/>
    <s v="n.a."/>
    <s v="n.a."/>
    <x v="1955"/>
    <n v="1294"/>
  </r>
  <r>
    <x v="39"/>
    <x v="69"/>
    <x v="2183"/>
    <x v="33"/>
    <n v="39982"/>
    <s v="n.a."/>
    <s v="n.a."/>
    <x v="1956"/>
    <n v="-925"/>
  </r>
  <r>
    <x v="40"/>
    <x v="0"/>
    <x v="2184"/>
    <x v="398"/>
    <n v="4283"/>
    <n v="206"/>
    <n v="-37"/>
    <x v="1957"/>
    <n v="-163"/>
  </r>
  <r>
    <x v="40"/>
    <x v="1"/>
    <x v="2185"/>
    <x v="863"/>
    <n v="4172"/>
    <n v="81"/>
    <n v="-8"/>
    <x v="1958"/>
    <n v="32"/>
  </r>
  <r>
    <x v="40"/>
    <x v="2"/>
    <x v="2186"/>
    <x v="865"/>
    <n v="4378"/>
    <n v="172"/>
    <n v="11"/>
    <x v="1959"/>
    <n v="-276"/>
  </r>
  <r>
    <x v="40"/>
    <x v="3"/>
    <x v="2187"/>
    <x v="957"/>
    <n v="4237"/>
    <n v="158"/>
    <n v="14"/>
    <x v="1960"/>
    <n v="-98"/>
  </r>
  <r>
    <x v="40"/>
    <x v="4"/>
    <x v="2188"/>
    <x v="885"/>
    <n v="4193"/>
    <n v="-178"/>
    <n v="-26"/>
    <x v="1961"/>
    <n v="233"/>
  </r>
  <r>
    <x v="40"/>
    <x v="5"/>
    <x v="2189"/>
    <x v="958"/>
    <n v="4468"/>
    <n v="135"/>
    <n v="-36"/>
    <x v="1962"/>
    <n v="-342"/>
  </r>
  <r>
    <x v="40"/>
    <x v="6"/>
    <x v="2190"/>
    <x v="575"/>
    <n v="4688"/>
    <n v="71"/>
    <n v="1"/>
    <x v="1963"/>
    <n v="-69"/>
  </r>
  <r>
    <x v="40"/>
    <x v="7"/>
    <x v="2191"/>
    <x v="959"/>
    <n v="4738"/>
    <n v="281"/>
    <n v="11"/>
    <x v="1964"/>
    <n v="-90"/>
  </r>
  <r>
    <x v="40"/>
    <x v="8"/>
    <x v="2192"/>
    <x v="958"/>
    <n v="4566"/>
    <n v="-3"/>
    <n v="4"/>
    <x v="1965"/>
    <n v="-204"/>
  </r>
  <r>
    <x v="40"/>
    <x v="9"/>
    <x v="2193"/>
    <x v="960"/>
    <n v="4637"/>
    <n v="89"/>
    <n v="-17"/>
    <x v="1966"/>
    <n v="134"/>
  </r>
  <r>
    <x v="40"/>
    <x v="10"/>
    <x v="2194"/>
    <x v="479"/>
    <n v="4616"/>
    <n v="168"/>
    <n v="23"/>
    <x v="1731"/>
    <n v="382"/>
  </r>
  <r>
    <x v="40"/>
    <x v="11"/>
    <x v="2195"/>
    <x v="961"/>
    <n v="4487"/>
    <n v="143"/>
    <n v="5"/>
    <x v="1967"/>
    <n v="19"/>
  </r>
  <r>
    <x v="40"/>
    <x v="12"/>
    <x v="2196"/>
    <x v="12"/>
    <n v="4366"/>
    <n v="3"/>
    <n v="-53"/>
    <x v="1968"/>
    <n v="-438"/>
  </r>
  <r>
    <x v="40"/>
    <x v="13"/>
    <x v="2197"/>
    <x v="962"/>
    <n v="4287"/>
    <n v="-54"/>
    <n v="-3"/>
    <x v="1969"/>
    <n v="-343"/>
  </r>
  <r>
    <x v="40"/>
    <x v="14"/>
    <x v="2198"/>
    <x v="963"/>
    <n v="4499"/>
    <n v="131"/>
    <n v="27"/>
    <x v="1970"/>
    <n v="-77"/>
  </r>
  <r>
    <x v="40"/>
    <x v="15"/>
    <x v="2199"/>
    <x v="913"/>
    <n v="4269"/>
    <n v="78"/>
    <n v="78"/>
    <x v="1971"/>
    <n v="-19"/>
  </r>
  <r>
    <x v="40"/>
    <x v="16"/>
    <x v="2200"/>
    <x v="870"/>
    <n v="4173"/>
    <n v="79"/>
    <n v="17"/>
    <x v="1972"/>
    <n v="-451"/>
  </r>
  <r>
    <x v="40"/>
    <x v="17"/>
    <x v="2201"/>
    <x v="964"/>
    <n v="4055"/>
    <n v="-22"/>
    <n v="14"/>
    <x v="1973"/>
    <n v="-883"/>
  </r>
  <r>
    <x v="40"/>
    <x v="18"/>
    <x v="2202"/>
    <x v="965"/>
    <n v="4085"/>
    <n v="4"/>
    <n v="-7"/>
    <x v="1974"/>
    <n v="-608"/>
  </r>
  <r>
    <x v="40"/>
    <x v="19"/>
    <x v="2203"/>
    <x v="966"/>
    <n v="4101"/>
    <n v="56"/>
    <n v="-33"/>
    <x v="1975"/>
    <n v="827"/>
  </r>
  <r>
    <x v="40"/>
    <x v="20"/>
    <x v="2204"/>
    <x v="87"/>
    <n v="4064"/>
    <n v="119"/>
    <n v="6"/>
    <x v="1976"/>
    <n v="27"/>
  </r>
  <r>
    <x v="40"/>
    <x v="21"/>
    <x v="2205"/>
    <x v="967"/>
    <n v="4027"/>
    <n v="68"/>
    <n v="-76"/>
    <x v="1977"/>
    <n v="132"/>
  </r>
  <r>
    <x v="40"/>
    <x v="22"/>
    <x v="1334"/>
    <x v="968"/>
    <n v="4084"/>
    <n v="339"/>
    <n v="24"/>
    <x v="1978"/>
    <n v="194"/>
  </r>
  <r>
    <x v="40"/>
    <x v="23"/>
    <x v="2206"/>
    <x v="97"/>
    <n v="3714"/>
    <n v="286"/>
    <n v="38"/>
    <x v="1979"/>
    <n v="-283"/>
  </r>
  <r>
    <x v="40"/>
    <x v="24"/>
    <x v="2207"/>
    <x v="969"/>
    <n v="3440"/>
    <n v="-66"/>
    <n v="-18"/>
    <x v="561"/>
    <n v="310"/>
  </r>
  <r>
    <x v="40"/>
    <x v="25"/>
    <x v="2208"/>
    <x v="970"/>
    <n v="3598"/>
    <n v="46"/>
    <n v="10"/>
    <x v="1980"/>
    <n v="-15"/>
  </r>
  <r>
    <x v="40"/>
    <x v="26"/>
    <x v="2209"/>
    <x v="971"/>
    <n v="3541"/>
    <n v="126"/>
    <n v="-14"/>
    <x v="1981"/>
    <n v="173"/>
  </r>
  <r>
    <x v="40"/>
    <x v="27"/>
    <x v="2210"/>
    <x v="972"/>
    <n v="3492"/>
    <n v="36"/>
    <n v="10"/>
    <x v="1982"/>
    <n v="-153"/>
  </r>
  <r>
    <x v="40"/>
    <x v="28"/>
    <x v="2211"/>
    <x v="758"/>
    <n v="3490"/>
    <n v="45"/>
    <n v="34"/>
    <x v="1983"/>
    <n v="187"/>
  </r>
  <r>
    <x v="40"/>
    <x v="29"/>
    <x v="2212"/>
    <x v="973"/>
    <n v="3375"/>
    <n v="302"/>
    <n v="-36"/>
    <x v="1984"/>
    <n v="830"/>
  </r>
  <r>
    <x v="40"/>
    <x v="30"/>
    <x v="2213"/>
    <x v="389"/>
    <n v="3235"/>
    <n v="185"/>
    <n v="36"/>
    <x v="1985"/>
    <n v="-468"/>
  </r>
  <r>
    <x v="40"/>
    <x v="31"/>
    <x v="2214"/>
    <x v="974"/>
    <n v="3004"/>
    <n v="142"/>
    <n v="37"/>
    <x v="1986"/>
    <n v="320"/>
  </r>
  <r>
    <x v="40"/>
    <x v="32"/>
    <x v="2215"/>
    <x v="17"/>
    <n v="2857"/>
    <n v="91"/>
    <n v="-26"/>
    <x v="1987"/>
    <n v="47"/>
  </r>
  <r>
    <x v="40"/>
    <x v="33"/>
    <x v="2216"/>
    <x v="33"/>
    <n v="2863"/>
    <s v="n.a."/>
    <s v="n.a."/>
    <x v="1988"/>
    <n v="997"/>
  </r>
  <r>
    <x v="40"/>
    <x v="34"/>
    <x v="2217"/>
    <x v="33"/>
    <n v="2829"/>
    <s v="n.a."/>
    <s v="n.a."/>
    <x v="1989"/>
    <n v="466"/>
  </r>
  <r>
    <x v="40"/>
    <x v="35"/>
    <x v="2218"/>
    <x v="33"/>
    <n v="2700"/>
    <s v="n.a."/>
    <s v="n.a."/>
    <x v="1990"/>
    <n v="304"/>
  </r>
  <r>
    <x v="40"/>
    <x v="36"/>
    <x v="2219"/>
    <x v="33"/>
    <n v="2665"/>
    <s v="n.a."/>
    <s v="n.a."/>
    <x v="1991"/>
    <n v="105"/>
  </r>
  <r>
    <x v="40"/>
    <x v="37"/>
    <x v="2220"/>
    <x v="33"/>
    <n v="2584"/>
    <s v="n.a."/>
    <s v="n.a."/>
    <x v="727"/>
    <n v="437"/>
  </r>
  <r>
    <x v="40"/>
    <x v="38"/>
    <x v="2221"/>
    <x v="33"/>
    <n v="2339"/>
    <s v="n.a."/>
    <s v="n.a."/>
    <x v="1992"/>
    <n v="397"/>
  </r>
  <r>
    <x v="40"/>
    <x v="39"/>
    <x v="2222"/>
    <x v="33"/>
    <n v="2207"/>
    <s v="n.a."/>
    <s v="n.a."/>
    <x v="1993"/>
    <n v="20"/>
  </r>
  <r>
    <x v="40"/>
    <x v="40"/>
    <x v="2223"/>
    <x v="33"/>
    <n v="2095"/>
    <s v="n.a."/>
    <s v="n.a."/>
    <x v="1994"/>
    <n v="266"/>
  </r>
  <r>
    <x v="40"/>
    <x v="41"/>
    <x v="2224"/>
    <x v="33"/>
    <n v="2001"/>
    <s v="n.a."/>
    <s v="n.a."/>
    <x v="1214"/>
    <n v="347"/>
  </r>
  <r>
    <x v="40"/>
    <x v="42"/>
    <x v="2225"/>
    <x v="33"/>
    <n v="1907"/>
    <s v="n.a."/>
    <s v="n.a."/>
    <x v="1995"/>
    <n v="-465"/>
  </r>
  <r>
    <x v="40"/>
    <x v="43"/>
    <x v="2226"/>
    <x v="33"/>
    <n v="1725"/>
    <s v="n.a."/>
    <s v="n.a."/>
    <x v="1996"/>
    <n v="81"/>
  </r>
  <r>
    <x v="40"/>
    <x v="44"/>
    <x v="2227"/>
    <x v="33"/>
    <n v="1391"/>
    <s v="n.a."/>
    <s v="n.a."/>
    <x v="1997"/>
    <n v="277"/>
  </r>
  <r>
    <x v="40"/>
    <x v="45"/>
    <x v="2228"/>
    <x v="33"/>
    <n v="1461"/>
    <s v="n.a."/>
    <s v="n.a."/>
    <x v="1998"/>
    <n v="-63"/>
  </r>
  <r>
    <x v="40"/>
    <x v="46"/>
    <x v="2229"/>
    <x v="33"/>
    <n v="1367"/>
    <s v="n.a."/>
    <s v="n.a."/>
    <x v="1999"/>
    <n v="486"/>
  </r>
  <r>
    <x v="40"/>
    <x v="47"/>
    <x v="2230"/>
    <x v="33"/>
    <n v="1293"/>
    <s v="n.a."/>
    <s v="n.a."/>
    <x v="2000"/>
    <n v="-392"/>
  </r>
  <r>
    <x v="40"/>
    <x v="48"/>
    <x v="1929"/>
    <x v="33"/>
    <n v="1565"/>
    <s v="n.a."/>
    <s v="n.a."/>
    <x v="2001"/>
    <n v="102"/>
  </r>
  <r>
    <x v="40"/>
    <x v="49"/>
    <x v="2231"/>
    <x v="33"/>
    <n v="1442"/>
    <s v="n.a."/>
    <s v="n.a."/>
    <x v="2002"/>
    <n v="93"/>
  </r>
  <r>
    <x v="40"/>
    <x v="50"/>
    <x v="1693"/>
    <x v="33"/>
    <n v="1417"/>
    <s v="n.a."/>
    <s v="n.a."/>
    <x v="2003"/>
    <n v="42"/>
  </r>
  <r>
    <x v="40"/>
    <x v="51"/>
    <x v="2232"/>
    <x v="33"/>
    <n v="1477"/>
    <s v="n.a."/>
    <s v="n.a."/>
    <x v="2004"/>
    <n v="-116"/>
  </r>
  <r>
    <x v="40"/>
    <x v="52"/>
    <x v="2233"/>
    <x v="33"/>
    <n v="1530"/>
    <s v="n.a."/>
    <s v="n.a."/>
    <x v="2005"/>
    <n v="687"/>
  </r>
  <r>
    <x v="40"/>
    <x v="53"/>
    <x v="2234"/>
    <x v="33"/>
    <n v="1603"/>
    <s v="n.a."/>
    <s v="n.a."/>
    <x v="2006"/>
    <n v="133"/>
  </r>
  <r>
    <x v="40"/>
    <x v="54"/>
    <x v="2235"/>
    <x v="33"/>
    <n v="1561"/>
    <s v="n.a."/>
    <s v="n.a."/>
    <x v="2007"/>
    <n v="-805"/>
  </r>
  <r>
    <x v="40"/>
    <x v="55"/>
    <x v="2236"/>
    <x v="33"/>
    <n v="1528"/>
    <s v="n.a."/>
    <s v="n.a."/>
    <x v="2008"/>
    <n v="-420"/>
  </r>
  <r>
    <x v="40"/>
    <x v="56"/>
    <x v="1931"/>
    <x v="33"/>
    <n v="1508"/>
    <s v="n.a."/>
    <s v="n.a."/>
    <x v="1865"/>
    <n v="-755"/>
  </r>
  <r>
    <x v="40"/>
    <x v="57"/>
    <x v="1704"/>
    <x v="33"/>
    <n v="1513"/>
    <s v="n.a."/>
    <s v="n.a."/>
    <x v="1651"/>
    <n v="-14"/>
  </r>
  <r>
    <x v="40"/>
    <x v="58"/>
    <x v="1704"/>
    <x v="33"/>
    <n v="1499"/>
    <s v="n.a."/>
    <s v="n.a."/>
    <x v="2009"/>
    <n v="1388"/>
  </r>
  <r>
    <x v="40"/>
    <x v="59"/>
    <x v="2237"/>
    <x v="33"/>
    <n v="1465"/>
    <s v="n.a."/>
    <s v="n.a."/>
    <x v="2010"/>
    <n v="-42"/>
  </r>
  <r>
    <x v="40"/>
    <x v="60"/>
    <x v="2238"/>
    <x v="33"/>
    <n v="1519"/>
    <s v="n.a."/>
    <s v="n.a."/>
    <x v="1866"/>
    <n v="-96"/>
  </r>
  <r>
    <x v="40"/>
    <x v="61"/>
    <x v="2239"/>
    <x v="33"/>
    <n v="1496"/>
    <s v="n.a."/>
    <s v="n.a."/>
    <x v="2011"/>
    <n v="-161"/>
  </r>
  <r>
    <x v="40"/>
    <x v="62"/>
    <x v="2240"/>
    <x v="33"/>
    <n v="1502"/>
    <s v="n.a."/>
    <s v="n.a."/>
    <x v="2012"/>
    <n v="-114"/>
  </r>
  <r>
    <x v="40"/>
    <x v="63"/>
    <x v="2241"/>
    <x v="33"/>
    <n v="1480"/>
    <s v="n.a."/>
    <s v="n.a."/>
    <x v="2013"/>
    <n v="-137"/>
  </r>
  <r>
    <x v="40"/>
    <x v="64"/>
    <x v="2242"/>
    <x v="33"/>
    <n v="1579"/>
    <s v="n.a."/>
    <s v="n.a."/>
    <x v="673"/>
    <n v="237"/>
  </r>
  <r>
    <x v="40"/>
    <x v="65"/>
    <x v="2243"/>
    <x v="33"/>
    <n v="1612"/>
    <s v="n.a."/>
    <s v="n.a."/>
    <x v="22"/>
    <n v="165"/>
  </r>
  <r>
    <x v="40"/>
    <x v="66"/>
    <x v="2244"/>
    <x v="33"/>
    <n v="1522"/>
    <s v="n.a."/>
    <s v="n.a."/>
    <x v="2014"/>
    <n v="131"/>
  </r>
  <r>
    <x v="40"/>
    <x v="67"/>
    <x v="2245"/>
    <x v="33"/>
    <n v="1671"/>
    <s v="n.a."/>
    <s v="n.a."/>
    <x v="2015"/>
    <n v="-437"/>
  </r>
  <r>
    <x v="40"/>
    <x v="68"/>
    <x v="2246"/>
    <x v="33"/>
    <n v="1740"/>
    <s v="n.a."/>
    <s v="n.a."/>
    <x v="2016"/>
    <n v="5"/>
  </r>
  <r>
    <x v="40"/>
    <x v="69"/>
    <x v="2247"/>
    <x v="33"/>
    <n v="1709"/>
    <s v="n.a."/>
    <s v="n.a."/>
    <x v="887"/>
    <n v="47"/>
  </r>
  <r>
    <x v="41"/>
    <x v="0"/>
    <x v="2248"/>
    <x v="975"/>
    <n v="40812"/>
    <n v="510"/>
    <n v="384"/>
    <x v="945"/>
    <n v="-1998"/>
  </r>
  <r>
    <x v="41"/>
    <x v="1"/>
    <x v="2249"/>
    <x v="976"/>
    <n v="40494"/>
    <n v="553"/>
    <n v="-268"/>
    <x v="2017"/>
    <n v="2067"/>
  </r>
  <r>
    <x v="41"/>
    <x v="2"/>
    <x v="2250"/>
    <x v="977"/>
    <n v="39967"/>
    <n v="234"/>
    <n v="487"/>
    <x v="2018"/>
    <n v="69"/>
  </r>
  <r>
    <x v="41"/>
    <x v="3"/>
    <x v="2251"/>
    <x v="978"/>
    <n v="39463"/>
    <n v="382"/>
    <n v="-249"/>
    <x v="2019"/>
    <n v="-1893"/>
  </r>
  <r>
    <x v="41"/>
    <x v="4"/>
    <x v="2252"/>
    <x v="979"/>
    <n v="39321"/>
    <n v="-548"/>
    <n v="288"/>
    <x v="2020"/>
    <n v="2085"/>
  </r>
  <r>
    <x v="41"/>
    <x v="5"/>
    <x v="2253"/>
    <x v="980"/>
    <n v="39698"/>
    <n v="-459"/>
    <n v="-346"/>
    <x v="946"/>
    <n v="70"/>
  </r>
  <r>
    <x v="41"/>
    <x v="6"/>
    <x v="2254"/>
    <x v="833"/>
    <n v="40373"/>
    <n v="-283"/>
    <n v="577"/>
    <x v="1882"/>
    <n v="-2033"/>
  </r>
  <r>
    <x v="41"/>
    <x v="7"/>
    <x v="2255"/>
    <x v="981"/>
    <n v="40436"/>
    <n v="-334"/>
    <n v="298"/>
    <x v="2021"/>
    <n v="1526"/>
  </r>
  <r>
    <x v="41"/>
    <x v="8"/>
    <x v="2256"/>
    <x v="982"/>
    <n v="40721"/>
    <n v="375"/>
    <n v="-84"/>
    <x v="2022"/>
    <n v="-669"/>
  </r>
  <r>
    <x v="41"/>
    <x v="9"/>
    <x v="2257"/>
    <x v="983"/>
    <n v="40155"/>
    <n v="-1296"/>
    <n v="457"/>
    <x v="2023"/>
    <n v="-821"/>
  </r>
  <r>
    <x v="41"/>
    <x v="10"/>
    <x v="2258"/>
    <x v="984"/>
    <n v="41403"/>
    <n v="296"/>
    <n v="-78"/>
    <x v="854"/>
    <n v="2102"/>
  </r>
  <r>
    <x v="41"/>
    <x v="11"/>
    <x v="2259"/>
    <x v="907"/>
    <n v="41199"/>
    <n v="683"/>
    <n v="67"/>
    <x v="163"/>
    <n v="4"/>
  </r>
  <r>
    <x v="41"/>
    <x v="12"/>
    <x v="2260"/>
    <x v="311"/>
    <n v="40406"/>
    <n v="2944"/>
    <n v="-78"/>
    <x v="901"/>
    <n v="-1827"/>
  </r>
  <r>
    <x v="41"/>
    <x v="13"/>
    <x v="2261"/>
    <x v="985"/>
    <n v="37912"/>
    <n v="1456"/>
    <n v="343"/>
    <x v="2024"/>
    <n v="540"/>
  </r>
  <r>
    <x v="41"/>
    <x v="14"/>
    <x v="2262"/>
    <x v="986"/>
    <n v="36316"/>
    <n v="860"/>
    <n v="733"/>
    <x v="867"/>
    <n v="-220"/>
  </r>
  <r>
    <x v="41"/>
    <x v="15"/>
    <x v="2263"/>
    <x v="987"/>
    <n v="35270"/>
    <n v="-2450"/>
    <n v="225"/>
    <x v="1646"/>
    <n v="-267"/>
  </r>
  <r>
    <x v="41"/>
    <x v="16"/>
    <x v="2264"/>
    <x v="988"/>
    <n v="37518"/>
    <n v="-296"/>
    <n v="265"/>
    <x v="2025"/>
    <n v="781"/>
  </r>
  <r>
    <x v="41"/>
    <x v="17"/>
    <x v="2265"/>
    <x v="989"/>
    <n v="37698"/>
    <n v="1105"/>
    <n v="-118"/>
    <x v="2026"/>
    <n v="20"/>
  </r>
  <r>
    <x v="41"/>
    <x v="18"/>
    <x v="2266"/>
    <x v="990"/>
    <n v="36461"/>
    <n v="1471"/>
    <n v="-253"/>
    <x v="2027"/>
    <n v="-597"/>
  </r>
  <r>
    <x v="41"/>
    <x v="19"/>
    <x v="2267"/>
    <x v="991"/>
    <n v="35297"/>
    <n v="700"/>
    <n v="222"/>
    <x v="2028"/>
    <n v="1538"/>
  </r>
  <r>
    <x v="41"/>
    <x v="20"/>
    <x v="2268"/>
    <x v="992"/>
    <n v="34533"/>
    <n v="2626"/>
    <n v="145"/>
    <x v="2029"/>
    <n v="-12"/>
  </r>
  <r>
    <x v="41"/>
    <x v="21"/>
    <x v="2269"/>
    <x v="993"/>
    <n v="32124"/>
    <n v="1434"/>
    <n v="-91"/>
    <x v="2030"/>
    <n v="-1487"/>
  </r>
  <r>
    <x v="41"/>
    <x v="22"/>
    <x v="2270"/>
    <x v="994"/>
    <n v="30730"/>
    <n v="-226"/>
    <n v="254"/>
    <x v="2031"/>
    <n v="1430"/>
  </r>
  <r>
    <x v="41"/>
    <x v="23"/>
    <x v="2271"/>
    <x v="995"/>
    <n v="30727"/>
    <n v="-991"/>
    <n v="191"/>
    <x v="2032"/>
    <n v="40"/>
  </r>
  <r>
    <x v="41"/>
    <x v="24"/>
    <x v="2272"/>
    <x v="996"/>
    <n v="31571"/>
    <n v="-698"/>
    <n v="129"/>
    <x v="313"/>
    <n v="-332"/>
  </r>
  <r>
    <x v="41"/>
    <x v="25"/>
    <x v="2273"/>
    <x v="997"/>
    <n v="32125"/>
    <n v="12"/>
    <n v="22"/>
    <x v="300"/>
    <n v="298"/>
  </r>
  <r>
    <x v="41"/>
    <x v="26"/>
    <x v="2274"/>
    <x v="998"/>
    <n v="32267"/>
    <n v="741"/>
    <n v="-96"/>
    <x v="2033"/>
    <n v="-5"/>
  </r>
  <r>
    <x v="41"/>
    <x v="27"/>
    <x v="2275"/>
    <x v="999"/>
    <n v="31533"/>
    <n v="-937"/>
    <n v="112"/>
    <x v="2034"/>
    <n v="-302"/>
  </r>
  <r>
    <x v="41"/>
    <x v="28"/>
    <x v="2276"/>
    <x v="1000"/>
    <n v="32415"/>
    <n v="613"/>
    <n v="-130"/>
    <x v="245"/>
    <n v="349"/>
  </r>
  <r>
    <x v="41"/>
    <x v="29"/>
    <x v="2277"/>
    <x v="1001"/>
    <n v="31953"/>
    <n v="142"/>
    <n v="277"/>
    <x v="275"/>
    <n v="7"/>
  </r>
  <r>
    <x v="41"/>
    <x v="30"/>
    <x v="2278"/>
    <x v="1002"/>
    <n v="31908"/>
    <n v="-644"/>
    <n v="-131"/>
    <x v="771"/>
    <n v="-376"/>
  </r>
  <r>
    <x v="41"/>
    <x v="31"/>
    <x v="2279"/>
    <x v="1003"/>
    <n v="32468"/>
    <n v="-194"/>
    <n v="274"/>
    <x v="2035"/>
    <n v="411"/>
  </r>
  <r>
    <x v="41"/>
    <x v="32"/>
    <x v="2280"/>
    <x v="1004"/>
    <n v="32389"/>
    <n v="1025"/>
    <n v="279"/>
    <x v="1032"/>
    <n v="-54"/>
  </r>
  <r>
    <x v="41"/>
    <x v="33"/>
    <x v="2281"/>
    <x v="33"/>
    <n v="31520"/>
    <s v="n.a."/>
    <s v="n.a."/>
    <x v="270"/>
    <n v="-736"/>
  </r>
  <r>
    <x v="41"/>
    <x v="34"/>
    <x v="2282"/>
    <x v="33"/>
    <n v="31034"/>
    <s v="n.a."/>
    <s v="n.a."/>
    <x v="2036"/>
    <n v="702"/>
  </r>
  <r>
    <x v="41"/>
    <x v="35"/>
    <x v="2283"/>
    <x v="33"/>
    <n v="30682"/>
    <s v="n.a."/>
    <s v="n.a."/>
    <x v="2037"/>
    <n v="51"/>
  </r>
  <r>
    <x v="41"/>
    <x v="36"/>
    <x v="2284"/>
    <x v="33"/>
    <n v="30842"/>
    <s v="n.a."/>
    <s v="n.a."/>
    <x v="2038"/>
    <n v="-225"/>
  </r>
  <r>
    <x v="41"/>
    <x v="37"/>
    <x v="2285"/>
    <x v="33"/>
    <n v="31749"/>
    <s v="n.a."/>
    <s v="n.a."/>
    <x v="41"/>
    <n v="135"/>
  </r>
  <r>
    <x v="41"/>
    <x v="38"/>
    <x v="2286"/>
    <x v="33"/>
    <n v="32063"/>
    <s v="n.a."/>
    <s v="n.a."/>
    <x v="903"/>
    <n v="80"/>
  </r>
  <r>
    <x v="41"/>
    <x v="39"/>
    <x v="2287"/>
    <x v="33"/>
    <n v="31745"/>
    <s v="n.a."/>
    <s v="n.a."/>
    <x v="2039"/>
    <n v="-142"/>
  </r>
  <r>
    <x v="41"/>
    <x v="40"/>
    <x v="2288"/>
    <x v="33"/>
    <n v="30355"/>
    <s v="n.a."/>
    <s v="n.a."/>
    <x v="2040"/>
    <n v="113"/>
  </r>
  <r>
    <x v="41"/>
    <x v="41"/>
    <x v="2289"/>
    <x v="33"/>
    <n v="29543"/>
    <s v="n.a."/>
    <s v="n.a."/>
    <x v="2041"/>
    <n v="-36"/>
  </r>
  <r>
    <x v="41"/>
    <x v="42"/>
    <x v="2290"/>
    <x v="33"/>
    <n v="29974"/>
    <s v="n.a."/>
    <s v="n.a."/>
    <x v="2042"/>
    <n v="-22"/>
  </r>
  <r>
    <x v="41"/>
    <x v="43"/>
    <x v="2291"/>
    <x v="33"/>
    <n v="29529"/>
    <s v="n.a."/>
    <s v="n.a."/>
    <x v="47"/>
    <n v="55"/>
  </r>
  <r>
    <x v="41"/>
    <x v="44"/>
    <x v="2292"/>
    <x v="33"/>
    <n v="29197"/>
    <s v="n.a."/>
    <s v="n.a."/>
    <x v="1833"/>
    <n v="-5"/>
  </r>
  <r>
    <x v="41"/>
    <x v="45"/>
    <x v="2293"/>
    <x v="33"/>
    <n v="28640"/>
    <s v="n.a."/>
    <s v="n.a."/>
    <x v="2033"/>
    <n v="-40"/>
  </r>
  <r>
    <x v="41"/>
    <x v="46"/>
    <x v="2294"/>
    <x v="33"/>
    <n v="27665"/>
    <s v="n.a."/>
    <s v="n.a."/>
    <x v="2043"/>
    <n v="32"/>
  </r>
  <r>
    <x v="41"/>
    <x v="47"/>
    <x v="2295"/>
    <x v="33"/>
    <n v="27117"/>
    <s v="n.a."/>
    <s v="n.a."/>
    <x v="43"/>
    <n v="-9"/>
  </r>
  <r>
    <x v="41"/>
    <x v="48"/>
    <x v="2296"/>
    <x v="33"/>
    <n v="27135"/>
    <s v="n.a."/>
    <s v="n.a."/>
    <x v="1789"/>
    <n v="42"/>
  </r>
  <r>
    <x v="41"/>
    <x v="49"/>
    <x v="2297"/>
    <x v="33"/>
    <n v="27843"/>
    <s v="n.a."/>
    <s v="n.a."/>
    <x v="2044"/>
    <n v="-19"/>
  </r>
  <r>
    <x v="41"/>
    <x v="50"/>
    <x v="2298"/>
    <x v="33"/>
    <n v="27663"/>
    <s v="n.a."/>
    <s v="n.a."/>
    <x v="2045"/>
    <n v="-19"/>
  </r>
  <r>
    <x v="41"/>
    <x v="51"/>
    <x v="2299"/>
    <x v="33"/>
    <n v="28458"/>
    <s v="n.a."/>
    <s v="n.a."/>
    <x v="277"/>
    <n v="-6"/>
  </r>
  <r>
    <x v="41"/>
    <x v="52"/>
    <x v="2300"/>
    <x v="33"/>
    <n v="29070"/>
    <s v="n.a."/>
    <s v="n.a."/>
    <x v="155"/>
    <n v="11"/>
  </r>
  <r>
    <x v="41"/>
    <x v="53"/>
    <x v="2301"/>
    <x v="33"/>
    <n v="28709"/>
    <s v="n.a."/>
    <s v="n.a."/>
    <x v="43"/>
    <n v="-5"/>
  </r>
  <r>
    <x v="41"/>
    <x v="54"/>
    <x v="2302"/>
    <x v="33"/>
    <n v="28373"/>
    <s v="n.a."/>
    <s v="n.a."/>
    <x v="277"/>
    <n v="-38"/>
  </r>
  <r>
    <x v="41"/>
    <x v="55"/>
    <x v="2303"/>
    <x v="33"/>
    <n v="28399"/>
    <s v="n.a."/>
    <s v="n.a."/>
    <x v="280"/>
    <n v="-6"/>
  </r>
  <r>
    <x v="41"/>
    <x v="56"/>
    <x v="2304"/>
    <x v="33"/>
    <n v="27787"/>
    <s v="n.a."/>
    <s v="n.a."/>
    <x v="2046"/>
    <n v="50"/>
  </r>
  <r>
    <x v="41"/>
    <x v="57"/>
    <x v="2305"/>
    <x v="33"/>
    <n v="27435"/>
    <s v="n.a."/>
    <s v="n.a."/>
    <x v="755"/>
    <n v="-242"/>
  </r>
  <r>
    <x v="41"/>
    <x v="58"/>
    <x v="2306"/>
    <x v="33"/>
    <n v="26867"/>
    <s v="n.a."/>
    <s v="n.a."/>
    <x v="2047"/>
    <n v="235"/>
  </r>
  <r>
    <x v="41"/>
    <x v="59"/>
    <x v="2307"/>
    <x v="33"/>
    <n v="26096"/>
    <s v="n.a."/>
    <s v="n.a."/>
    <x v="1882"/>
    <n v="-39"/>
  </r>
  <r>
    <x v="41"/>
    <x v="60"/>
    <x v="2308"/>
    <x v="33"/>
    <n v="26163"/>
    <s v="n.a."/>
    <s v="n.a."/>
    <x v="49"/>
    <n v="-172"/>
  </r>
  <r>
    <x v="41"/>
    <x v="61"/>
    <x v="2309"/>
    <x v="33"/>
    <n v="26334"/>
    <s v="n.a."/>
    <s v="n.a."/>
    <x v="912"/>
    <n v="265"/>
  </r>
  <r>
    <x v="41"/>
    <x v="62"/>
    <x v="2310"/>
    <x v="33"/>
    <n v="23858"/>
    <s v="n.a."/>
    <s v="n.a."/>
    <x v="294"/>
    <n v="-14"/>
  </r>
  <r>
    <x v="41"/>
    <x v="63"/>
    <x v="2311"/>
    <x v="33"/>
    <n v="21284"/>
    <s v="n.a."/>
    <s v="n.a."/>
    <x v="809"/>
    <n v="-257"/>
  </r>
  <r>
    <x v="41"/>
    <x v="64"/>
    <x v="2312"/>
    <x v="33"/>
    <n v="20041"/>
    <s v="n.a."/>
    <s v="n.a."/>
    <x v="2048"/>
    <n v="284"/>
  </r>
  <r>
    <x v="41"/>
    <x v="65"/>
    <x v="2313"/>
    <x v="33"/>
    <n v="19362"/>
    <s v="n.a."/>
    <s v="n.a."/>
    <x v="2049"/>
    <n v="-32"/>
  </r>
  <r>
    <x v="41"/>
    <x v="66"/>
    <x v="2314"/>
    <x v="33"/>
    <n v="20212"/>
    <s v="n.a."/>
    <s v="n.a."/>
    <x v="2050"/>
    <n v="-14"/>
  </r>
  <r>
    <x v="41"/>
    <x v="67"/>
    <x v="2315"/>
    <x v="33"/>
    <n v="19590"/>
    <s v="n.a."/>
    <s v="n.a."/>
    <x v="821"/>
    <n v="131"/>
  </r>
  <r>
    <x v="41"/>
    <x v="68"/>
    <x v="2316"/>
    <x v="33"/>
    <n v="19264"/>
    <s v="n.a."/>
    <s v="n.a."/>
    <x v="2051"/>
    <n v="2"/>
  </r>
  <r>
    <x v="41"/>
    <x v="69"/>
    <x v="2317"/>
    <x v="33"/>
    <n v="19606"/>
    <s v="n.a."/>
    <s v="n.a."/>
    <x v="1848"/>
    <n v="-12"/>
  </r>
  <r>
    <x v="42"/>
    <x v="0"/>
    <x v="2318"/>
    <x v="1005"/>
    <n v="12096"/>
    <n v="485"/>
    <n v="559"/>
    <x v="2052"/>
    <n v="440"/>
  </r>
  <r>
    <x v="42"/>
    <x v="1"/>
    <x v="2319"/>
    <x v="1006"/>
    <n v="11723"/>
    <n v="-367"/>
    <n v="-545"/>
    <x v="2053"/>
    <n v="-515"/>
  </r>
  <r>
    <x v="42"/>
    <x v="2"/>
    <x v="2320"/>
    <x v="79"/>
    <n v="12293"/>
    <n v="-16"/>
    <n v="-13"/>
    <x v="2054"/>
    <n v="-78"/>
  </r>
  <r>
    <x v="42"/>
    <x v="3"/>
    <x v="2321"/>
    <x v="1007"/>
    <n v="12255"/>
    <n v="-328"/>
    <n v="729"/>
    <x v="2055"/>
    <n v="-678"/>
  </r>
  <r>
    <x v="42"/>
    <x v="4"/>
    <x v="2322"/>
    <x v="400"/>
    <n v="12678"/>
    <n v="-397"/>
    <n v="-254"/>
    <x v="2056"/>
    <n v="458"/>
  </r>
  <r>
    <x v="42"/>
    <x v="5"/>
    <x v="2323"/>
    <x v="1008"/>
    <n v="13137"/>
    <n v="827"/>
    <n v="71"/>
    <x v="2057"/>
    <n v="-433"/>
  </r>
  <r>
    <x v="42"/>
    <x v="6"/>
    <x v="2324"/>
    <x v="1009"/>
    <n v="12316"/>
    <n v="430"/>
    <n v="325"/>
    <x v="2058"/>
    <n v="-117"/>
  </r>
  <r>
    <x v="42"/>
    <x v="7"/>
    <x v="2325"/>
    <x v="1010"/>
    <n v="11890"/>
    <n v="-908"/>
    <n v="540"/>
    <x v="2059"/>
    <n v="562"/>
  </r>
  <r>
    <x v="42"/>
    <x v="8"/>
    <x v="2326"/>
    <x v="1011"/>
    <n v="12825"/>
    <n v="-13"/>
    <n v="911"/>
    <x v="2060"/>
    <n v="712"/>
  </r>
  <r>
    <x v="42"/>
    <x v="9"/>
    <x v="2327"/>
    <x v="1012"/>
    <n v="12855"/>
    <n v="322"/>
    <n v="-21"/>
    <x v="2061"/>
    <n v="189"/>
  </r>
  <r>
    <x v="42"/>
    <x v="10"/>
    <x v="2328"/>
    <x v="1013"/>
    <n v="12561"/>
    <n v="492"/>
    <n v="392"/>
    <x v="2062"/>
    <n v="339"/>
  </r>
  <r>
    <x v="42"/>
    <x v="11"/>
    <x v="2329"/>
    <x v="1014"/>
    <n v="12201"/>
    <n v="234"/>
    <n v="-50"/>
    <x v="2063"/>
    <n v="760"/>
  </r>
  <r>
    <x v="42"/>
    <x v="12"/>
    <x v="2330"/>
    <x v="1015"/>
    <n v="12040"/>
    <n v="2"/>
    <n v="46"/>
    <x v="2064"/>
    <n v="-1057"/>
  </r>
  <r>
    <x v="42"/>
    <x v="13"/>
    <x v="2331"/>
    <x v="7"/>
    <n v="12245"/>
    <n v="346"/>
    <n v="-208"/>
    <x v="2065"/>
    <n v="-94"/>
  </r>
  <r>
    <x v="42"/>
    <x v="14"/>
    <x v="2332"/>
    <x v="1016"/>
    <n v="12035"/>
    <n v="304"/>
    <n v="-22"/>
    <x v="2066"/>
    <n v="-1376"/>
  </r>
  <r>
    <x v="42"/>
    <x v="15"/>
    <x v="2333"/>
    <x v="1017"/>
    <n v="11717"/>
    <n v="-859"/>
    <n v="99"/>
    <x v="2067"/>
    <n v="1609"/>
  </r>
  <r>
    <x v="42"/>
    <x v="16"/>
    <x v="2334"/>
    <x v="1018"/>
    <n v="12304"/>
    <n v="-339"/>
    <n v="-161"/>
    <x v="2068"/>
    <n v="-719"/>
  </r>
  <r>
    <x v="42"/>
    <x v="17"/>
    <x v="2335"/>
    <x v="1019"/>
    <n v="12732"/>
    <n v="-246"/>
    <n v="-715"/>
    <x v="2069"/>
    <n v="621"/>
  </r>
  <r>
    <x v="42"/>
    <x v="18"/>
    <x v="2336"/>
    <x v="745"/>
    <n v="13189"/>
    <n v="266"/>
    <n v="1195"/>
    <x v="2070"/>
    <n v="262"/>
  </r>
  <r>
    <x v="42"/>
    <x v="19"/>
    <x v="2337"/>
    <x v="1020"/>
    <n v="13042"/>
    <n v="154"/>
    <n v="84"/>
    <x v="2071"/>
    <n v="423"/>
  </r>
  <r>
    <x v="42"/>
    <x v="20"/>
    <x v="2338"/>
    <x v="1021"/>
    <n v="12829"/>
    <n v="338"/>
    <n v="-314"/>
    <x v="2072"/>
    <n v="-862"/>
  </r>
  <r>
    <x v="42"/>
    <x v="21"/>
    <x v="2339"/>
    <x v="1022"/>
    <n v="12558"/>
    <n v="226"/>
    <n v="-859"/>
    <x v="2073"/>
    <n v="-1929"/>
  </r>
  <r>
    <x v="42"/>
    <x v="22"/>
    <x v="2340"/>
    <x v="1023"/>
    <n v="12379"/>
    <n v="1227"/>
    <n v="396"/>
    <x v="2074"/>
    <n v="198"/>
  </r>
  <r>
    <x v="42"/>
    <x v="23"/>
    <x v="2341"/>
    <x v="1024"/>
    <n v="11087"/>
    <n v="463"/>
    <n v="270"/>
    <x v="2075"/>
    <n v="933"/>
  </r>
  <r>
    <x v="42"/>
    <x v="24"/>
    <x v="2342"/>
    <x v="1025"/>
    <n v="10560"/>
    <n v="359"/>
    <n v="567"/>
    <x v="2076"/>
    <n v="156"/>
  </r>
  <r>
    <x v="42"/>
    <x v="25"/>
    <x v="2343"/>
    <x v="521"/>
    <n v="10105"/>
    <n v="518"/>
    <n v="191"/>
    <x v="2077"/>
    <n v="-589"/>
  </r>
  <r>
    <x v="42"/>
    <x v="26"/>
    <x v="2344"/>
    <x v="1026"/>
    <n v="9540"/>
    <n v="490"/>
    <n v="-151"/>
    <x v="2078"/>
    <n v="-540"/>
  </r>
  <r>
    <x v="42"/>
    <x v="27"/>
    <x v="2345"/>
    <x v="1027"/>
    <n v="9032"/>
    <n v="603"/>
    <n v="200"/>
    <x v="2079"/>
    <n v="478"/>
  </r>
  <r>
    <x v="42"/>
    <x v="28"/>
    <x v="2346"/>
    <x v="1028"/>
    <n v="8427"/>
    <n v="918"/>
    <n v="552"/>
    <x v="2080"/>
    <n v="-949"/>
  </r>
  <r>
    <x v="42"/>
    <x v="29"/>
    <x v="2347"/>
    <x v="1029"/>
    <n v="7500"/>
    <n v="747"/>
    <n v="257"/>
    <x v="2081"/>
    <n v="-946"/>
  </r>
  <r>
    <x v="42"/>
    <x v="30"/>
    <x v="2348"/>
    <x v="875"/>
    <n v="6790"/>
    <n v="589"/>
    <n v="40"/>
    <x v="2082"/>
    <n v="-607"/>
  </r>
  <r>
    <x v="42"/>
    <x v="31"/>
    <x v="2349"/>
    <x v="1030"/>
    <n v="6112"/>
    <n v="645"/>
    <n v="83"/>
    <x v="2083"/>
    <n v="-406"/>
  </r>
  <r>
    <x v="42"/>
    <x v="32"/>
    <x v="2350"/>
    <x v="1031"/>
    <n v="5506"/>
    <n v="440"/>
    <n v="34"/>
    <x v="2084"/>
    <n v="-2"/>
  </r>
  <r>
    <x v="42"/>
    <x v="33"/>
    <x v="2351"/>
    <x v="33"/>
    <n v="5099"/>
    <s v="n.a."/>
    <s v="n.a."/>
    <x v="2085"/>
    <n v="-2595"/>
  </r>
  <r>
    <x v="42"/>
    <x v="34"/>
    <x v="2352"/>
    <x v="33"/>
    <n v="4534"/>
    <s v="n.a."/>
    <s v="n.a."/>
    <x v="2086"/>
    <n v="1406"/>
  </r>
  <r>
    <x v="42"/>
    <x v="35"/>
    <x v="2353"/>
    <x v="33"/>
    <n v="3996"/>
    <s v="n.a."/>
    <s v="n.a."/>
    <x v="2087"/>
    <n v="2437"/>
  </r>
  <r>
    <x v="42"/>
    <x v="36"/>
    <x v="2354"/>
    <x v="33"/>
    <n v="3729"/>
    <s v="n.a."/>
    <s v="n.a."/>
    <x v="2088"/>
    <n v="789"/>
  </r>
  <r>
    <x v="42"/>
    <x v="37"/>
    <x v="2355"/>
    <x v="33"/>
    <n v="3544"/>
    <s v="n.a."/>
    <s v="n.a."/>
    <x v="2089"/>
    <n v="419"/>
  </r>
  <r>
    <x v="42"/>
    <x v="38"/>
    <x v="2356"/>
    <x v="33"/>
    <n v="3384"/>
    <s v="n.a."/>
    <s v="n.a."/>
    <x v="2090"/>
    <n v="-603"/>
  </r>
  <r>
    <x v="42"/>
    <x v="39"/>
    <x v="2357"/>
    <x v="33"/>
    <n v="3224"/>
    <s v="n.a."/>
    <s v="n.a."/>
    <x v="2091"/>
    <n v="-267"/>
  </r>
  <r>
    <x v="42"/>
    <x v="40"/>
    <x v="2358"/>
    <x v="33"/>
    <n v="3118"/>
    <s v="n.a."/>
    <s v="n.a."/>
    <x v="2092"/>
    <n v="282"/>
  </r>
  <r>
    <x v="42"/>
    <x v="41"/>
    <x v="2359"/>
    <x v="33"/>
    <n v="3028"/>
    <s v="n.a."/>
    <s v="n.a."/>
    <x v="2093"/>
    <n v="35"/>
  </r>
  <r>
    <x v="42"/>
    <x v="42"/>
    <x v="2360"/>
    <x v="33"/>
    <n v="2633"/>
    <s v="n.a."/>
    <s v="n.a."/>
    <x v="2094"/>
    <n v="624"/>
  </r>
  <r>
    <x v="42"/>
    <x v="43"/>
    <x v="2361"/>
    <x v="33"/>
    <n v="2539"/>
    <s v="n.a."/>
    <s v="n.a."/>
    <x v="2095"/>
    <n v="479"/>
  </r>
  <r>
    <x v="42"/>
    <x v="44"/>
    <x v="2362"/>
    <x v="33"/>
    <n v="2481"/>
    <s v="n.a."/>
    <s v="n.a."/>
    <x v="2096"/>
    <n v="-230"/>
  </r>
  <r>
    <x v="42"/>
    <x v="45"/>
    <x v="2363"/>
    <x v="33"/>
    <n v="2391"/>
    <s v="n.a."/>
    <s v="n.a."/>
    <x v="2097"/>
    <n v="-1979"/>
  </r>
  <r>
    <x v="42"/>
    <x v="46"/>
    <x v="2364"/>
    <x v="33"/>
    <n v="2388"/>
    <s v="n.a."/>
    <s v="n.a."/>
    <x v="2098"/>
    <n v="2549"/>
  </r>
  <r>
    <x v="42"/>
    <x v="47"/>
    <x v="2365"/>
    <x v="33"/>
    <n v="2382"/>
    <s v="n.a."/>
    <s v="n.a."/>
    <x v="2099"/>
    <n v="-875"/>
  </r>
  <r>
    <x v="42"/>
    <x v="48"/>
    <x v="2366"/>
    <x v="33"/>
    <n v="2452"/>
    <s v="n.a."/>
    <s v="n.a."/>
    <x v="2100"/>
    <n v="694"/>
  </r>
  <r>
    <x v="42"/>
    <x v="49"/>
    <x v="2367"/>
    <x v="33"/>
    <n v="2373"/>
    <s v="n.a."/>
    <s v="n.a."/>
    <x v="2101"/>
    <n v="-150"/>
  </r>
  <r>
    <x v="42"/>
    <x v="50"/>
    <x v="2368"/>
    <x v="33"/>
    <n v="2690"/>
    <s v="n.a."/>
    <s v="n.a."/>
    <x v="2102"/>
    <n v="-127"/>
  </r>
  <r>
    <x v="42"/>
    <x v="51"/>
    <x v="2369"/>
    <x v="33"/>
    <n v="2625"/>
    <s v="n.a."/>
    <s v="n.a."/>
    <x v="2103"/>
    <n v="-466"/>
  </r>
  <r>
    <x v="42"/>
    <x v="52"/>
    <x v="2370"/>
    <x v="33"/>
    <n v="2600"/>
    <s v="n.a."/>
    <s v="n.a."/>
    <x v="2104"/>
    <n v="153"/>
  </r>
  <r>
    <x v="42"/>
    <x v="53"/>
    <x v="2371"/>
    <x v="33"/>
    <n v="2623"/>
    <s v="n.a."/>
    <s v="n.a."/>
    <x v="2105"/>
    <n v="371"/>
  </r>
  <r>
    <x v="42"/>
    <x v="54"/>
    <x v="2372"/>
    <x v="33"/>
    <n v="2606"/>
    <s v="n.a."/>
    <s v="n.a."/>
    <x v="2106"/>
    <n v="-164"/>
  </r>
  <r>
    <x v="42"/>
    <x v="55"/>
    <x v="2373"/>
    <x v="33"/>
    <n v="2554"/>
    <s v="n.a."/>
    <s v="n.a."/>
    <x v="2107"/>
    <n v="-370"/>
  </r>
  <r>
    <x v="42"/>
    <x v="56"/>
    <x v="2374"/>
    <x v="33"/>
    <n v="2693"/>
    <s v="n.a."/>
    <s v="n.a."/>
    <x v="2108"/>
    <n v="-139"/>
  </r>
  <r>
    <x v="42"/>
    <x v="57"/>
    <x v="2375"/>
    <x v="33"/>
    <n v="3154"/>
    <s v="n.a."/>
    <s v="n.a."/>
    <x v="2109"/>
    <n v="-1075"/>
  </r>
  <r>
    <x v="42"/>
    <x v="58"/>
    <x v="2376"/>
    <x v="33"/>
    <n v="3432"/>
    <s v="n.a."/>
    <s v="n.a."/>
    <x v="2110"/>
    <n v="1651"/>
  </r>
  <r>
    <x v="42"/>
    <x v="59"/>
    <x v="2377"/>
    <x v="33"/>
    <n v="3380"/>
    <s v="n.a."/>
    <s v="n.a."/>
    <x v="2111"/>
    <n v="265"/>
  </r>
  <r>
    <x v="42"/>
    <x v="60"/>
    <x v="2378"/>
    <x v="33"/>
    <n v="3388"/>
    <s v="n.a."/>
    <s v="n.a."/>
    <x v="2112"/>
    <n v="66"/>
  </r>
  <r>
    <x v="42"/>
    <x v="61"/>
    <x v="2379"/>
    <x v="33"/>
    <n v="3808"/>
    <s v="n.a."/>
    <s v="n.a."/>
    <x v="2113"/>
    <n v="633"/>
  </r>
  <r>
    <x v="42"/>
    <x v="62"/>
    <x v="2380"/>
    <x v="33"/>
    <n v="3619"/>
    <s v="n.a."/>
    <s v="n.a."/>
    <x v="2114"/>
    <n v="276"/>
  </r>
  <r>
    <x v="42"/>
    <x v="63"/>
    <x v="2381"/>
    <x v="33"/>
    <n v="3828"/>
    <s v="n.a."/>
    <s v="n.a."/>
    <x v="2115"/>
    <n v="1008"/>
  </r>
  <r>
    <x v="42"/>
    <x v="64"/>
    <x v="2382"/>
    <x v="33"/>
    <n v="3892"/>
    <s v="n.a."/>
    <s v="n.a."/>
    <x v="2116"/>
    <n v="-819"/>
  </r>
  <r>
    <x v="42"/>
    <x v="65"/>
    <x v="2383"/>
    <x v="33"/>
    <n v="4291"/>
    <s v="n.a."/>
    <s v="n.a."/>
    <x v="2117"/>
    <n v="193"/>
  </r>
  <r>
    <x v="42"/>
    <x v="66"/>
    <x v="2384"/>
    <x v="33"/>
    <n v="4725"/>
    <s v="n.a."/>
    <s v="n.a."/>
    <x v="1517"/>
    <n v="1385"/>
  </r>
  <r>
    <x v="42"/>
    <x v="67"/>
    <x v="2385"/>
    <x v="33"/>
    <n v="5205"/>
    <s v="n.a."/>
    <s v="n.a."/>
    <x v="2118"/>
    <n v="1518"/>
  </r>
  <r>
    <x v="42"/>
    <x v="68"/>
    <x v="2386"/>
    <x v="33"/>
    <n v="6046"/>
    <s v="n.a."/>
    <s v="n.a."/>
    <x v="2119"/>
    <n v="-95"/>
  </r>
  <r>
    <x v="42"/>
    <x v="69"/>
    <x v="2387"/>
    <x v="33"/>
    <n v="5926"/>
    <s v="n.a."/>
    <s v="n.a."/>
    <x v="2120"/>
    <n v="-218"/>
  </r>
  <r>
    <x v="43"/>
    <x v="0"/>
    <x v="2388"/>
    <x v="1032"/>
    <n v="396"/>
    <n v="66"/>
    <n v="1"/>
    <x v="2121"/>
    <n v="11"/>
  </r>
  <r>
    <x v="43"/>
    <x v="1"/>
    <x v="2389"/>
    <x v="574"/>
    <n v="347"/>
    <n v="20"/>
    <n v="0"/>
    <x v="270"/>
    <n v="-26"/>
  </r>
  <r>
    <x v="43"/>
    <x v="2"/>
    <x v="2390"/>
    <x v="398"/>
    <n v="359"/>
    <n v="34"/>
    <n v="4"/>
    <x v="808"/>
    <n v="9"/>
  </r>
  <r>
    <x v="43"/>
    <x v="3"/>
    <x v="2391"/>
    <x v="1033"/>
    <n v="337"/>
    <n v="27"/>
    <n v="-1"/>
    <x v="2122"/>
    <n v="-64"/>
  </r>
  <r>
    <x v="43"/>
    <x v="4"/>
    <x v="2392"/>
    <x v="940"/>
    <n v="342"/>
    <n v="22"/>
    <n v="-1"/>
    <x v="280"/>
    <n v="30"/>
  </r>
  <r>
    <x v="43"/>
    <x v="5"/>
    <x v="2393"/>
    <x v="81"/>
    <n v="351"/>
    <n v="21"/>
    <n v="-2"/>
    <x v="2123"/>
    <n v="-2"/>
  </r>
  <r>
    <x v="43"/>
    <x v="6"/>
    <x v="2394"/>
    <x v="5"/>
    <n v="343"/>
    <n v="55"/>
    <n v="1"/>
    <x v="817"/>
    <n v="11"/>
  </r>
  <r>
    <x v="43"/>
    <x v="7"/>
    <x v="2395"/>
    <x v="1034"/>
    <n v="391"/>
    <n v="14"/>
    <n v="2"/>
    <x v="145"/>
    <n v="16"/>
  </r>
  <r>
    <x v="43"/>
    <x v="8"/>
    <x v="2396"/>
    <x v="859"/>
    <n v="384"/>
    <n v="37"/>
    <n v="3"/>
    <x v="808"/>
    <n v="2"/>
  </r>
  <r>
    <x v="43"/>
    <x v="9"/>
    <x v="2388"/>
    <x v="580"/>
    <n v="383"/>
    <n v="9"/>
    <n v="-2"/>
    <x v="2045"/>
    <n v="-29"/>
  </r>
  <r>
    <x v="43"/>
    <x v="10"/>
    <x v="2397"/>
    <x v="1035"/>
    <n v="373"/>
    <n v="-1"/>
    <n v="-22"/>
    <x v="817"/>
    <n v="-18"/>
  </r>
  <r>
    <x v="43"/>
    <x v="11"/>
    <x v="2398"/>
    <x v="1036"/>
    <n v="399"/>
    <n v="23"/>
    <n v="2"/>
    <x v="2124"/>
    <n v="-11"/>
  </r>
  <r>
    <x v="43"/>
    <x v="12"/>
    <x v="2398"/>
    <x v="867"/>
    <n v="388"/>
    <n v="7"/>
    <n v="-3"/>
    <x v="2125"/>
    <n v="-53"/>
  </r>
  <r>
    <x v="43"/>
    <x v="13"/>
    <x v="2399"/>
    <x v="416"/>
    <n v="375"/>
    <n v="13"/>
    <n v="-2"/>
    <x v="2040"/>
    <n v="11"/>
  </r>
  <r>
    <x v="43"/>
    <x v="14"/>
    <x v="2400"/>
    <x v="1037"/>
    <n v="421"/>
    <n v="19"/>
    <n v="812"/>
    <x v="2126"/>
    <n v="14"/>
  </r>
  <r>
    <x v="43"/>
    <x v="15"/>
    <x v="2401"/>
    <x v="1038"/>
    <n v="404"/>
    <n v="28"/>
    <n v="90"/>
    <x v="50"/>
    <n v="7"/>
  </r>
  <r>
    <x v="43"/>
    <x v="16"/>
    <x v="2402"/>
    <x v="162"/>
    <n v="435"/>
    <n v="31"/>
    <n v="405"/>
    <x v="787"/>
    <n v="3"/>
  </r>
  <r>
    <x v="43"/>
    <x v="17"/>
    <x v="2403"/>
    <x v="898"/>
    <n v="423"/>
    <n v="15"/>
    <n v="-438"/>
    <x v="2127"/>
    <n v="1"/>
  </r>
  <r>
    <x v="43"/>
    <x v="18"/>
    <x v="2404"/>
    <x v="913"/>
    <n v="419"/>
    <n v="36"/>
    <n v="175"/>
    <x v="2128"/>
    <n v="23"/>
  </r>
  <r>
    <x v="43"/>
    <x v="19"/>
    <x v="2405"/>
    <x v="885"/>
    <n v="428"/>
    <n v="26"/>
    <n v="435"/>
    <x v="142"/>
    <n v="29"/>
  </r>
  <r>
    <x v="43"/>
    <x v="20"/>
    <x v="2406"/>
    <x v="1039"/>
    <n v="396"/>
    <n v="35"/>
    <n v="235"/>
    <x v="1789"/>
    <n v="-7"/>
  </r>
  <r>
    <x v="43"/>
    <x v="21"/>
    <x v="2407"/>
    <x v="1040"/>
    <n v="387"/>
    <n v="25"/>
    <n v="-766"/>
    <x v="279"/>
    <n v="-29"/>
  </r>
  <r>
    <x v="43"/>
    <x v="22"/>
    <x v="2408"/>
    <x v="861"/>
    <n v="411"/>
    <n v="22"/>
    <n v="104"/>
    <x v="49"/>
    <n v="42"/>
  </r>
  <r>
    <x v="43"/>
    <x v="23"/>
    <x v="2409"/>
    <x v="70"/>
    <n v="393"/>
    <n v="31"/>
    <n v="195"/>
    <x v="754"/>
    <n v="-39"/>
  </r>
  <r>
    <x v="43"/>
    <x v="24"/>
    <x v="2410"/>
    <x v="531"/>
    <n v="367"/>
    <n v="20"/>
    <n v="-12"/>
    <x v="47"/>
    <n v="-19"/>
  </r>
  <r>
    <x v="43"/>
    <x v="25"/>
    <x v="2411"/>
    <x v="1034"/>
    <n v="394"/>
    <n v="26"/>
    <n v="9"/>
    <x v="2128"/>
    <n v="4"/>
  </r>
  <r>
    <x v="43"/>
    <x v="26"/>
    <x v="2412"/>
    <x v="98"/>
    <n v="354"/>
    <n v="27"/>
    <n v="-6"/>
    <x v="2129"/>
    <n v="-12"/>
  </r>
  <r>
    <x v="43"/>
    <x v="27"/>
    <x v="2413"/>
    <x v="579"/>
    <n v="369"/>
    <n v="40"/>
    <n v="-3"/>
    <x v="137"/>
    <n v="-31"/>
  </r>
  <r>
    <x v="43"/>
    <x v="28"/>
    <x v="2414"/>
    <x v="1041"/>
    <n v="342"/>
    <n v="22"/>
    <n v="0"/>
    <x v="2130"/>
    <n v="83"/>
  </r>
  <r>
    <x v="43"/>
    <x v="29"/>
    <x v="2415"/>
    <x v="95"/>
    <n v="326"/>
    <n v="14"/>
    <n v="-8"/>
    <x v="2131"/>
    <n v="22"/>
  </r>
  <r>
    <x v="43"/>
    <x v="30"/>
    <x v="2416"/>
    <x v="98"/>
    <n v="328"/>
    <n v="18"/>
    <n v="-9"/>
    <x v="144"/>
    <n v="-3"/>
  </r>
  <r>
    <x v="43"/>
    <x v="31"/>
    <x v="2417"/>
    <x v="308"/>
    <n v="332"/>
    <n v="20"/>
    <n v="6"/>
    <x v="2032"/>
    <n v="38"/>
  </r>
  <r>
    <x v="43"/>
    <x v="32"/>
    <x v="2418"/>
    <x v="81"/>
    <n v="303"/>
    <n v="34"/>
    <n v="8"/>
    <x v="2132"/>
    <n v="-15"/>
  </r>
  <r>
    <x v="43"/>
    <x v="33"/>
    <x v="2419"/>
    <x v="33"/>
    <n v="257"/>
    <s v="n.a."/>
    <s v="n.a."/>
    <x v="2133"/>
    <n v="22"/>
  </r>
  <r>
    <x v="43"/>
    <x v="34"/>
    <x v="2420"/>
    <x v="33"/>
    <n v="249"/>
    <s v="n.a."/>
    <s v="n.a."/>
    <x v="939"/>
    <n v="70"/>
  </r>
  <r>
    <x v="43"/>
    <x v="35"/>
    <x v="2421"/>
    <x v="33"/>
    <n v="220"/>
    <s v="n.a."/>
    <s v="n.a."/>
    <x v="1034"/>
    <n v="21"/>
  </r>
  <r>
    <x v="43"/>
    <x v="36"/>
    <x v="167"/>
    <x v="33"/>
    <n v="171"/>
    <s v="n.a."/>
    <s v="n.a."/>
    <x v="287"/>
    <n v="43"/>
  </r>
  <r>
    <x v="43"/>
    <x v="37"/>
    <x v="2422"/>
    <x v="33"/>
    <n v="153"/>
    <s v="n.a."/>
    <s v="n.a."/>
    <x v="2134"/>
    <n v="25"/>
  </r>
  <r>
    <x v="43"/>
    <x v="38"/>
    <x v="2423"/>
    <x v="33"/>
    <n v="135"/>
    <s v="n.a."/>
    <s v="n.a."/>
    <x v="2135"/>
    <n v="37"/>
  </r>
  <r>
    <x v="43"/>
    <x v="39"/>
    <x v="198"/>
    <x v="33"/>
    <n v="84"/>
    <s v="n.a."/>
    <s v="n.a."/>
    <x v="2136"/>
    <n v="-6"/>
  </r>
  <r>
    <x v="43"/>
    <x v="40"/>
    <x v="196"/>
    <x v="33"/>
    <n v="73"/>
    <s v="n.a."/>
    <s v="n.a."/>
    <x v="1845"/>
    <n v="16"/>
  </r>
  <r>
    <x v="43"/>
    <x v="41"/>
    <x v="2424"/>
    <x v="33"/>
    <n v="56"/>
    <s v="n.a."/>
    <s v="n.a."/>
    <x v="1844"/>
    <n v="4"/>
  </r>
  <r>
    <x v="43"/>
    <x v="42"/>
    <x v="2425"/>
    <x v="33"/>
    <n v="47"/>
    <s v="n.a."/>
    <s v="n.a."/>
    <x v="179"/>
    <n v="5"/>
  </r>
  <r>
    <x v="43"/>
    <x v="43"/>
    <x v="2426"/>
    <x v="33"/>
    <n v="44"/>
    <s v="n.a."/>
    <s v="n.a."/>
    <x v="780"/>
    <n v="25"/>
  </r>
  <r>
    <x v="43"/>
    <x v="44"/>
    <x v="2427"/>
    <x v="33"/>
    <n v="39"/>
    <s v="n.a."/>
    <s v="n.a."/>
    <x v="2137"/>
    <n v="13"/>
  </r>
  <r>
    <x v="43"/>
    <x v="45"/>
    <x v="2428"/>
    <x v="33"/>
    <n v="40"/>
    <s v="n.a."/>
    <s v="n.a."/>
    <x v="2138"/>
    <n v="-8"/>
  </r>
  <r>
    <x v="43"/>
    <x v="46"/>
    <x v="2429"/>
    <x v="33"/>
    <n v="41"/>
    <s v="n.a."/>
    <s v="n.a."/>
    <x v="2139"/>
    <n v="-1"/>
  </r>
  <r>
    <x v="43"/>
    <x v="47"/>
    <x v="2430"/>
    <x v="33"/>
    <n v="41"/>
    <s v="n.a."/>
    <s v="n.a."/>
    <x v="2140"/>
    <n v="-12"/>
  </r>
  <r>
    <x v="43"/>
    <x v="48"/>
    <x v="2431"/>
    <x v="33"/>
    <n v="48"/>
    <s v="n.a."/>
    <s v="n.a."/>
    <x v="2141"/>
    <n v="10"/>
  </r>
  <r>
    <x v="43"/>
    <x v="49"/>
    <x v="2432"/>
    <x v="33"/>
    <n v="46"/>
    <s v="n.a."/>
    <s v="n.a."/>
    <x v="1838"/>
    <n v="-35"/>
  </r>
  <r>
    <x v="43"/>
    <x v="50"/>
    <x v="2433"/>
    <x v="33"/>
    <n v="51"/>
    <s v="n.a."/>
    <s v="n.a."/>
    <x v="182"/>
    <n v="35"/>
  </r>
  <r>
    <x v="43"/>
    <x v="51"/>
    <x v="2434"/>
    <x v="33"/>
    <n v="52"/>
    <s v="n.a."/>
    <s v="n.a."/>
    <x v="1838"/>
    <n v="-1"/>
  </r>
  <r>
    <x v="43"/>
    <x v="52"/>
    <x v="2435"/>
    <x v="33"/>
    <n v="52"/>
    <s v="n.a."/>
    <s v="n.a."/>
    <x v="1839"/>
    <n v="3"/>
  </r>
  <r>
    <x v="43"/>
    <x v="53"/>
    <x v="2436"/>
    <x v="33"/>
    <n v="57"/>
    <s v="n.a."/>
    <s v="n.a."/>
    <x v="2140"/>
    <n v="-13"/>
  </r>
  <r>
    <x v="43"/>
    <x v="54"/>
    <x v="2437"/>
    <x v="33"/>
    <n v="56"/>
    <s v="n.a."/>
    <s v="n.a."/>
    <x v="2142"/>
    <n v="-6"/>
  </r>
  <r>
    <x v="43"/>
    <x v="55"/>
    <x v="2438"/>
    <x v="33"/>
    <n v="58"/>
    <s v="n.a."/>
    <s v="n.a."/>
    <x v="192"/>
    <n v="10"/>
  </r>
  <r>
    <x v="43"/>
    <x v="56"/>
    <x v="2439"/>
    <x v="33"/>
    <n v="58"/>
    <s v="n.a."/>
    <s v="n.a."/>
    <x v="1798"/>
    <n v="-17"/>
  </r>
  <r>
    <x v="43"/>
    <x v="57"/>
    <x v="2440"/>
    <x v="33"/>
    <n v="65"/>
    <s v="n.a."/>
    <s v="n.a."/>
    <x v="2143"/>
    <n v="2"/>
  </r>
  <r>
    <x v="43"/>
    <x v="58"/>
    <x v="2440"/>
    <x v="33"/>
    <n v="67"/>
    <s v="n.a."/>
    <s v="n.a."/>
    <x v="186"/>
    <n v="1"/>
  </r>
  <r>
    <x v="43"/>
    <x v="59"/>
    <x v="2441"/>
    <x v="33"/>
    <n v="73"/>
    <s v="n.a."/>
    <s v="n.a."/>
    <x v="191"/>
    <n v="-8"/>
  </r>
  <r>
    <x v="43"/>
    <x v="60"/>
    <x v="2442"/>
    <x v="33"/>
    <n v="84"/>
    <s v="n.a."/>
    <s v="n.a."/>
    <x v="2144"/>
    <n v="-10"/>
  </r>
  <r>
    <x v="43"/>
    <x v="61"/>
    <x v="2443"/>
    <x v="33"/>
    <n v="80"/>
    <s v="n.a."/>
    <s v="n.a."/>
    <x v="189"/>
    <n v="17"/>
  </r>
  <r>
    <x v="43"/>
    <x v="62"/>
    <x v="2444"/>
    <x v="33"/>
    <n v="81"/>
    <s v="n.a."/>
    <s v="n.a."/>
    <x v="186"/>
    <n v="-6"/>
  </r>
  <r>
    <x v="43"/>
    <x v="63"/>
    <x v="2445"/>
    <x v="33"/>
    <n v="83"/>
    <s v="n.a."/>
    <s v="n.a."/>
    <x v="190"/>
    <n v="-19"/>
  </r>
  <r>
    <x v="43"/>
    <x v="64"/>
    <x v="197"/>
    <x v="33"/>
    <n v="79"/>
    <s v="n.a."/>
    <s v="n.a."/>
    <x v="1800"/>
    <n v="-43"/>
  </r>
  <r>
    <x v="43"/>
    <x v="65"/>
    <x v="2446"/>
    <x v="33"/>
    <n v="87"/>
    <s v="n.a."/>
    <s v="n.a."/>
    <x v="1794"/>
    <n v="5"/>
  </r>
  <r>
    <x v="43"/>
    <x v="66"/>
    <x v="1256"/>
    <x v="33"/>
    <n v="96"/>
    <s v="n.a."/>
    <s v="n.a."/>
    <x v="2145"/>
    <n v="-23"/>
  </r>
  <r>
    <x v="43"/>
    <x v="67"/>
    <x v="2447"/>
    <x v="33"/>
    <n v="103"/>
    <s v="n.a."/>
    <s v="n.a."/>
    <x v="2134"/>
    <n v="-34"/>
  </r>
  <r>
    <x v="43"/>
    <x v="68"/>
    <x v="178"/>
    <x v="33"/>
    <n v="105"/>
    <s v="n.a."/>
    <s v="n.a."/>
    <x v="290"/>
    <n v="7"/>
  </r>
  <r>
    <x v="43"/>
    <x v="69"/>
    <x v="2448"/>
    <x v="33"/>
    <n v="119"/>
    <s v="n.a."/>
    <s v="n.a."/>
    <x v="1793"/>
    <n v="11"/>
  </r>
  <r>
    <x v="44"/>
    <x v="0"/>
    <x v="2449"/>
    <x v="1042"/>
    <n v="411146"/>
    <n v="-2482"/>
    <n v="2082"/>
    <x v="2146"/>
    <n v="1995"/>
  </r>
  <r>
    <x v="44"/>
    <x v="1"/>
    <x v="2450"/>
    <x v="1043"/>
    <n v="413070"/>
    <n v="-13175"/>
    <n v="708"/>
    <x v="2147"/>
    <n v="3731"/>
  </r>
  <r>
    <x v="44"/>
    <x v="2"/>
    <x v="2451"/>
    <x v="1044"/>
    <n v="427357"/>
    <n v="-15373"/>
    <n v="2272"/>
    <x v="2148"/>
    <n v="-3213"/>
  </r>
  <r>
    <x v="44"/>
    <x v="3"/>
    <x v="2452"/>
    <x v="1045"/>
    <n v="440427"/>
    <n v="-9986"/>
    <n v="-651"/>
    <x v="2149"/>
    <n v="-9462"/>
  </r>
  <r>
    <x v="44"/>
    <x v="4"/>
    <x v="2453"/>
    <x v="1046"/>
    <n v="452962"/>
    <n v="-1299"/>
    <n v="2949"/>
    <x v="2150"/>
    <n v="2208"/>
  </r>
  <r>
    <x v="44"/>
    <x v="5"/>
    <x v="2454"/>
    <x v="1047"/>
    <n v="451782"/>
    <n v="8698"/>
    <n v="-2782"/>
    <x v="2151"/>
    <n v="926"/>
  </r>
  <r>
    <x v="44"/>
    <x v="6"/>
    <x v="2455"/>
    <x v="1048"/>
    <n v="446342"/>
    <n v="587"/>
    <n v="2144"/>
    <x v="2152"/>
    <n v="2043"/>
  </r>
  <r>
    <x v="44"/>
    <x v="7"/>
    <x v="2456"/>
    <x v="1049"/>
    <n v="444480"/>
    <n v="-11038"/>
    <n v="1443"/>
    <x v="2153"/>
    <n v="87643"/>
  </r>
  <r>
    <x v="44"/>
    <x v="8"/>
    <x v="2457"/>
    <x v="1050"/>
    <n v="454333"/>
    <n v="5778"/>
    <n v="5662"/>
    <x v="2154"/>
    <n v="3576"/>
  </r>
  <r>
    <x v="44"/>
    <x v="9"/>
    <x v="2458"/>
    <x v="1051"/>
    <n v="444298"/>
    <n v="-4585"/>
    <n v="388"/>
    <x v="2155"/>
    <n v="-3496"/>
  </r>
  <r>
    <x v="44"/>
    <x v="10"/>
    <x v="2459"/>
    <x v="1052"/>
    <n v="447207"/>
    <n v="-21922"/>
    <n v="-329"/>
    <x v="2156"/>
    <n v="3415"/>
  </r>
  <r>
    <x v="44"/>
    <x v="11"/>
    <x v="2460"/>
    <x v="1053"/>
    <n v="473578"/>
    <n v="2777"/>
    <n v="3389"/>
    <x v="2157"/>
    <n v="243"/>
  </r>
  <r>
    <x v="44"/>
    <x v="12"/>
    <x v="2461"/>
    <x v="1054"/>
    <n v="469686"/>
    <n v="6652"/>
    <n v="-4837"/>
    <x v="2158"/>
    <n v="-6766"/>
  </r>
  <r>
    <x v="44"/>
    <x v="13"/>
    <x v="2462"/>
    <x v="1055"/>
    <n v="468779"/>
    <n v="2832"/>
    <n v="2790"/>
    <x v="2159"/>
    <n v="-886"/>
  </r>
  <r>
    <x v="44"/>
    <x v="14"/>
    <x v="2463"/>
    <x v="1056"/>
    <n v="462964"/>
    <n v="5541"/>
    <n v="4406"/>
    <x v="2160"/>
    <n v="-2109"/>
  </r>
  <r>
    <x v="44"/>
    <x v="15"/>
    <x v="2464"/>
    <x v="1057"/>
    <n v="454768"/>
    <n v="-4468"/>
    <n v="3855"/>
    <x v="2161"/>
    <n v="2036"/>
  </r>
  <r>
    <x v="44"/>
    <x v="16"/>
    <x v="2465"/>
    <x v="1058"/>
    <n v="455473"/>
    <n v="-3045"/>
    <n v="1545"/>
    <x v="2162"/>
    <n v="1254"/>
  </r>
  <r>
    <x v="44"/>
    <x v="17"/>
    <x v="2466"/>
    <x v="1059"/>
    <n v="456918"/>
    <n v="9826"/>
    <n v="717"/>
    <x v="2163"/>
    <n v="-3895"/>
  </r>
  <r>
    <x v="44"/>
    <x v="18"/>
    <x v="2467"/>
    <x v="1060"/>
    <n v="444035"/>
    <n v="2200"/>
    <n v="-543"/>
    <x v="2164"/>
    <n v="954"/>
  </r>
  <r>
    <x v="44"/>
    <x v="19"/>
    <x v="2468"/>
    <x v="1061"/>
    <n v="450293"/>
    <n v="9896"/>
    <n v="3476"/>
    <x v="2165"/>
    <n v="3676"/>
  </r>
  <r>
    <x v="44"/>
    <x v="20"/>
    <x v="2469"/>
    <x v="1062"/>
    <n v="439510"/>
    <n v="8895"/>
    <n v="-2509"/>
    <x v="2166"/>
    <n v="-969"/>
  </r>
  <r>
    <x v="44"/>
    <x v="21"/>
    <x v="2470"/>
    <x v="1063"/>
    <n v="434830"/>
    <n v="-230"/>
    <n v="-3383"/>
    <x v="2167"/>
    <n v="-3266"/>
  </r>
  <r>
    <x v="44"/>
    <x v="22"/>
    <x v="2471"/>
    <x v="1064"/>
    <n v="437396"/>
    <n v="3750"/>
    <n v="8795"/>
    <x v="2168"/>
    <n v="3785"/>
  </r>
  <r>
    <x v="44"/>
    <x v="23"/>
    <x v="2472"/>
    <x v="1065"/>
    <n v="426753"/>
    <n v="3443"/>
    <n v="6624"/>
    <x v="2169"/>
    <n v="2040"/>
  </r>
  <r>
    <x v="44"/>
    <x v="24"/>
    <x v="2473"/>
    <x v="1066"/>
    <n v="417104"/>
    <n v="-3317"/>
    <n v="-58"/>
    <x v="2170"/>
    <n v="17"/>
  </r>
  <r>
    <x v="44"/>
    <x v="25"/>
    <x v="2474"/>
    <x v="1067"/>
    <n v="422826"/>
    <n v="3686"/>
    <n v="-3537"/>
    <x v="2171"/>
    <n v="-178"/>
  </r>
  <r>
    <x v="44"/>
    <x v="26"/>
    <x v="2475"/>
    <x v="21"/>
    <n v="424716"/>
    <n v="2440"/>
    <n v="-1576"/>
    <x v="2172"/>
    <n v="-3463"/>
  </r>
  <r>
    <x v="44"/>
    <x v="27"/>
    <x v="2476"/>
    <x v="1068"/>
    <n v="424226"/>
    <n v="722"/>
    <n v="400"/>
    <x v="2173"/>
    <n v="4317"/>
  </r>
  <r>
    <x v="44"/>
    <x v="28"/>
    <x v="2477"/>
    <x v="1069"/>
    <n v="424064"/>
    <n v="4595"/>
    <n v="-2359"/>
    <x v="2174"/>
    <n v="447"/>
  </r>
  <r>
    <x v="44"/>
    <x v="29"/>
    <x v="2478"/>
    <x v="1070"/>
    <n v="422355"/>
    <n v="6625"/>
    <n v="-1937"/>
    <x v="2175"/>
    <n v="2075"/>
  </r>
  <r>
    <x v="44"/>
    <x v="30"/>
    <x v="2479"/>
    <x v="1071"/>
    <n v="419910"/>
    <n v="10981"/>
    <n v="837"/>
    <x v="2176"/>
    <n v="-81"/>
  </r>
  <r>
    <x v="44"/>
    <x v="31"/>
    <x v="2480"/>
    <x v="1072"/>
    <n v="409135"/>
    <n v="6753"/>
    <n v="6099"/>
    <x v="2177"/>
    <n v="3336"/>
  </r>
  <r>
    <x v="44"/>
    <x v="32"/>
    <x v="2481"/>
    <x v="1073"/>
    <n v="396064"/>
    <n v="10596"/>
    <n v="-3725"/>
    <x v="2178"/>
    <n v="1446"/>
  </r>
  <r>
    <x v="44"/>
    <x v="33"/>
    <x v="2482"/>
    <x v="33"/>
    <n v="390925"/>
    <s v="n.a."/>
    <s v="n.a."/>
    <x v="2179"/>
    <n v="-1522"/>
  </r>
  <r>
    <x v="44"/>
    <x v="34"/>
    <x v="2483"/>
    <x v="33"/>
    <n v="393068"/>
    <s v="n.a."/>
    <s v="n.a."/>
    <x v="2180"/>
    <n v="3447"/>
  </r>
  <r>
    <x v="44"/>
    <x v="35"/>
    <x v="2484"/>
    <x v="33"/>
    <n v="396606"/>
    <s v="n.a."/>
    <s v="n.a."/>
    <x v="2181"/>
    <n v="1527"/>
  </r>
  <r>
    <x v="44"/>
    <x v="36"/>
    <x v="2485"/>
    <x v="33"/>
    <n v="384584"/>
    <s v="n.a."/>
    <s v="n.a."/>
    <x v="2182"/>
    <n v="1176"/>
  </r>
  <r>
    <x v="44"/>
    <x v="37"/>
    <x v="2486"/>
    <x v="33"/>
    <n v="384559"/>
    <s v="n.a."/>
    <s v="n.a."/>
    <x v="2183"/>
    <n v="-577"/>
  </r>
  <r>
    <x v="44"/>
    <x v="38"/>
    <x v="2487"/>
    <x v="33"/>
    <n v="389152"/>
    <s v="n.a."/>
    <s v="n.a."/>
    <x v="2184"/>
    <n v="1438"/>
  </r>
  <r>
    <x v="44"/>
    <x v="39"/>
    <x v="2488"/>
    <x v="33"/>
    <n v="394906"/>
    <s v="n.a."/>
    <s v="n.a."/>
    <x v="2185"/>
    <n v="-2344"/>
  </r>
  <r>
    <x v="44"/>
    <x v="40"/>
    <x v="2489"/>
    <x v="33"/>
    <n v="384105"/>
    <s v="n.a."/>
    <s v="n.a."/>
    <x v="2186"/>
    <n v="2056"/>
  </r>
  <r>
    <x v="44"/>
    <x v="41"/>
    <x v="2490"/>
    <x v="33"/>
    <n v="383636"/>
    <s v="n.a."/>
    <s v="n.a."/>
    <x v="2187"/>
    <n v="1571"/>
  </r>
  <r>
    <x v="44"/>
    <x v="42"/>
    <x v="2491"/>
    <x v="33"/>
    <n v="383228"/>
    <s v="n.a."/>
    <s v="n.a."/>
    <x v="2188"/>
    <n v="823"/>
  </r>
  <r>
    <x v="44"/>
    <x v="43"/>
    <x v="2492"/>
    <x v="33"/>
    <n v="386981"/>
    <s v="n.a."/>
    <s v="n.a."/>
    <x v="2189"/>
    <n v="2786"/>
  </r>
  <r>
    <x v="44"/>
    <x v="44"/>
    <x v="2493"/>
    <x v="33"/>
    <n v="390763"/>
    <s v="n.a."/>
    <s v="n.a."/>
    <x v="2190"/>
    <n v="550"/>
  </r>
  <r>
    <x v="44"/>
    <x v="45"/>
    <x v="2494"/>
    <x v="33"/>
    <n v="384072"/>
    <s v="n.a."/>
    <s v="n.a."/>
    <x v="2191"/>
    <n v="-1530"/>
  </r>
  <r>
    <x v="44"/>
    <x v="46"/>
    <x v="2495"/>
    <x v="33"/>
    <n v="389830"/>
    <s v="n.a."/>
    <s v="n.a."/>
    <x v="2192"/>
    <n v="843"/>
  </r>
  <r>
    <x v="44"/>
    <x v="47"/>
    <x v="2496"/>
    <x v="33"/>
    <n v="392020"/>
    <s v="n.a."/>
    <s v="n.a."/>
    <x v="2193"/>
    <n v="-2094"/>
  </r>
  <r>
    <x v="44"/>
    <x v="48"/>
    <x v="2497"/>
    <x v="33"/>
    <n v="400442"/>
    <s v="n.a."/>
    <s v="n.a."/>
    <x v="2194"/>
    <n v="331"/>
  </r>
  <r>
    <x v="44"/>
    <x v="49"/>
    <x v="2498"/>
    <x v="33"/>
    <n v="400066"/>
    <s v="n.a."/>
    <s v="n.a."/>
    <x v="2195"/>
    <n v="1416"/>
  </r>
  <r>
    <x v="44"/>
    <x v="50"/>
    <x v="2499"/>
    <x v="33"/>
    <n v="403213"/>
    <s v="n.a."/>
    <s v="n.a."/>
    <x v="2196"/>
    <n v="-2472"/>
  </r>
  <r>
    <x v="44"/>
    <x v="51"/>
    <x v="2500"/>
    <x v="33"/>
    <n v="406730"/>
    <s v="n.a."/>
    <s v="n.a."/>
    <x v="2197"/>
    <n v="1583"/>
  </r>
  <r>
    <x v="44"/>
    <x v="52"/>
    <x v="2501"/>
    <x v="33"/>
    <n v="404923"/>
    <s v="n.a."/>
    <s v="n.a."/>
    <x v="2198"/>
    <n v="313"/>
  </r>
  <r>
    <x v="44"/>
    <x v="53"/>
    <x v="2502"/>
    <x v="33"/>
    <n v="408911"/>
    <s v="n.a."/>
    <s v="n.a."/>
    <x v="2199"/>
    <n v="778"/>
  </r>
  <r>
    <x v="44"/>
    <x v="54"/>
    <x v="2503"/>
    <x v="33"/>
    <n v="408898"/>
    <s v="n.a."/>
    <s v="n.a."/>
    <x v="2200"/>
    <n v="-2017"/>
  </r>
  <r>
    <x v="44"/>
    <x v="55"/>
    <x v="2504"/>
    <x v="33"/>
    <n v="408475"/>
    <s v="n.a."/>
    <s v="n.a."/>
    <x v="2201"/>
    <n v="-3014"/>
  </r>
  <r>
    <x v="44"/>
    <x v="56"/>
    <x v="2505"/>
    <x v="33"/>
    <n v="406354"/>
    <s v="n.a."/>
    <s v="n.a."/>
    <x v="2202"/>
    <n v="-3049"/>
  </r>
  <r>
    <x v="44"/>
    <x v="57"/>
    <x v="2506"/>
    <x v="33"/>
    <n v="399668"/>
    <s v="n.a."/>
    <s v="n.a."/>
    <x v="2203"/>
    <n v="1502"/>
  </r>
  <r>
    <x v="44"/>
    <x v="58"/>
    <x v="2507"/>
    <x v="33"/>
    <n v="395757"/>
    <s v="n.a."/>
    <s v="n.a."/>
    <x v="2204"/>
    <n v="-4431"/>
  </r>
  <r>
    <x v="44"/>
    <x v="59"/>
    <x v="2508"/>
    <x v="33"/>
    <n v="393987"/>
    <s v="n.a."/>
    <s v="n.a."/>
    <x v="2205"/>
    <n v="-3031"/>
  </r>
  <r>
    <x v="44"/>
    <x v="60"/>
    <x v="2509"/>
    <x v="33"/>
    <n v="389439"/>
    <s v="n.a."/>
    <s v="n.a."/>
    <x v="2206"/>
    <n v="1129"/>
  </r>
  <r>
    <x v="44"/>
    <x v="61"/>
    <x v="2510"/>
    <x v="33"/>
    <n v="391098"/>
    <s v="n.a."/>
    <s v="n.a."/>
    <x v="2207"/>
    <n v="-2774"/>
  </r>
  <r>
    <x v="44"/>
    <x v="62"/>
    <x v="2511"/>
    <x v="33"/>
    <n v="386170"/>
    <s v="n.a."/>
    <s v="n.a."/>
    <x v="2208"/>
    <n v="-141"/>
  </r>
  <r>
    <x v="44"/>
    <x v="63"/>
    <x v="2512"/>
    <x v="33"/>
    <n v="381842"/>
    <s v="n.a."/>
    <s v="n.a."/>
    <x v="2209"/>
    <n v="-1570"/>
  </r>
  <r>
    <x v="44"/>
    <x v="64"/>
    <x v="2513"/>
    <x v="33"/>
    <n v="375420"/>
    <s v="n.a."/>
    <s v="n.a."/>
    <x v="2210"/>
    <n v="5426"/>
  </r>
  <r>
    <x v="44"/>
    <x v="65"/>
    <x v="2514"/>
    <x v="33"/>
    <n v="380210"/>
    <s v="n.a."/>
    <s v="n.a."/>
    <x v="2211"/>
    <n v="3702"/>
  </r>
  <r>
    <x v="44"/>
    <x v="66"/>
    <x v="2515"/>
    <x v="33"/>
    <n v="374591"/>
    <s v="n.a."/>
    <s v="n.a."/>
    <x v="2212"/>
    <n v="9253"/>
  </r>
  <r>
    <x v="44"/>
    <x v="67"/>
    <x v="2516"/>
    <x v="33"/>
    <n v="387333"/>
    <s v="n.a."/>
    <s v="n.a."/>
    <x v="2213"/>
    <n v="-1087"/>
  </r>
  <r>
    <x v="44"/>
    <x v="68"/>
    <x v="2517"/>
    <x v="33"/>
    <n v="418143"/>
    <s v="n.a."/>
    <s v="n.a."/>
    <x v="2214"/>
    <n v="1549"/>
  </r>
  <r>
    <x v="44"/>
    <x v="69"/>
    <x v="2518"/>
    <x v="33"/>
    <n v="414727"/>
    <s v="n.a."/>
    <s v="n.a."/>
    <x v="2215"/>
    <n v="1121"/>
  </r>
  <r>
    <x v="45"/>
    <x v="0"/>
    <x v="2519"/>
    <x v="86"/>
    <n v="1767"/>
    <n v="36"/>
    <n v="-128"/>
    <x v="231"/>
    <n v="-49"/>
  </r>
  <r>
    <x v="45"/>
    <x v="1"/>
    <x v="2520"/>
    <x v="867"/>
    <n v="1892"/>
    <n v="30"/>
    <n v="133"/>
    <x v="2216"/>
    <n v="-76"/>
  </r>
  <r>
    <x v="45"/>
    <x v="2"/>
    <x v="2521"/>
    <x v="574"/>
    <n v="1727"/>
    <n v="6"/>
    <n v="-125"/>
    <x v="2217"/>
    <n v="-12"/>
  </r>
  <r>
    <x v="45"/>
    <x v="3"/>
    <x v="2522"/>
    <x v="148"/>
    <n v="1836"/>
    <n v="56"/>
    <n v="128"/>
    <x v="2218"/>
    <n v="-12"/>
  </r>
  <r>
    <x v="45"/>
    <x v="4"/>
    <x v="2523"/>
    <x v="890"/>
    <n v="1533"/>
    <n v="-20"/>
    <n v="-16"/>
    <x v="2219"/>
    <n v="154"/>
  </r>
  <r>
    <x v="45"/>
    <x v="5"/>
    <x v="2524"/>
    <x v="802"/>
    <n v="1576"/>
    <n v="-23"/>
    <n v="28"/>
    <x v="2220"/>
    <n v="-208"/>
  </r>
  <r>
    <x v="45"/>
    <x v="6"/>
    <x v="2525"/>
    <x v="275"/>
    <n v="1592"/>
    <n v="74"/>
    <n v="-10"/>
    <x v="2221"/>
    <n v="175"/>
  </r>
  <r>
    <x v="45"/>
    <x v="7"/>
    <x v="2526"/>
    <x v="1074"/>
    <n v="1520"/>
    <n v="-189"/>
    <n v="-1"/>
    <x v="2222"/>
    <n v="30"/>
  </r>
  <r>
    <x v="45"/>
    <x v="8"/>
    <x v="2527"/>
    <x v="1075"/>
    <n v="1708"/>
    <n v="-168"/>
    <n v="22"/>
    <x v="2223"/>
    <n v="-172"/>
  </r>
  <r>
    <x v="45"/>
    <x v="9"/>
    <x v="2528"/>
    <x v="849"/>
    <n v="1893"/>
    <n v="-45"/>
    <n v="-100"/>
    <x v="1030"/>
    <n v="-13"/>
  </r>
  <r>
    <x v="45"/>
    <x v="10"/>
    <x v="2529"/>
    <x v="1076"/>
    <n v="2014"/>
    <n v="225"/>
    <n v="-115"/>
    <x v="2224"/>
    <n v="-113"/>
  </r>
  <r>
    <x v="45"/>
    <x v="11"/>
    <x v="2530"/>
    <x v="1077"/>
    <n v="1956"/>
    <n v="-49"/>
    <n v="82"/>
    <x v="2225"/>
    <n v="38"/>
  </r>
  <r>
    <x v="45"/>
    <x v="12"/>
    <x v="2531"/>
    <x v="1078"/>
    <n v="1749"/>
    <n v="186"/>
    <n v="-246"/>
    <x v="2226"/>
    <n v="-330"/>
  </r>
  <r>
    <x v="45"/>
    <x v="13"/>
    <x v="2532"/>
    <x v="1079"/>
    <n v="1776"/>
    <n v="-90"/>
    <n v="267"/>
    <x v="575"/>
    <n v="-3"/>
  </r>
  <r>
    <x v="45"/>
    <x v="14"/>
    <x v="2533"/>
    <x v="1080"/>
    <n v="1600"/>
    <n v="18"/>
    <n v="51"/>
    <x v="725"/>
    <n v="165"/>
  </r>
  <r>
    <x v="45"/>
    <x v="15"/>
    <x v="1690"/>
    <x v="407"/>
    <n v="1531"/>
    <n v="-15"/>
    <n v="-240"/>
    <x v="2227"/>
    <n v="-30"/>
  </r>
  <r>
    <x v="45"/>
    <x v="16"/>
    <x v="2530"/>
    <x v="861"/>
    <n v="1796"/>
    <n v="20"/>
    <n v="305"/>
    <x v="2228"/>
    <n v="44"/>
  </r>
  <r>
    <x v="45"/>
    <x v="17"/>
    <x v="2534"/>
    <x v="1081"/>
    <n v="1442"/>
    <n v="-1"/>
    <n v="-4"/>
    <x v="2229"/>
    <n v="172"/>
  </r>
  <r>
    <x v="45"/>
    <x v="18"/>
    <x v="2535"/>
    <x v="1082"/>
    <n v="1443"/>
    <n v="-6"/>
    <n v="-28"/>
    <x v="2230"/>
    <n v="-27"/>
  </r>
  <r>
    <x v="45"/>
    <x v="19"/>
    <x v="2536"/>
    <x v="916"/>
    <n v="1484"/>
    <n v="-24"/>
    <n v="19"/>
    <x v="197"/>
    <n v="-230"/>
  </r>
  <r>
    <x v="45"/>
    <x v="20"/>
    <x v="2537"/>
    <x v="1083"/>
    <n v="1495"/>
    <n v="-34"/>
    <n v="-16"/>
    <x v="2231"/>
    <n v="115"/>
  </r>
  <r>
    <x v="45"/>
    <x v="21"/>
    <x v="2538"/>
    <x v="993"/>
    <n v="1551"/>
    <n v="-93"/>
    <n v="-3"/>
    <x v="2232"/>
    <n v="40"/>
  </r>
  <r>
    <x v="45"/>
    <x v="22"/>
    <x v="2539"/>
    <x v="866"/>
    <n v="1779"/>
    <n v="82"/>
    <n v="48"/>
    <x v="568"/>
    <n v="-133"/>
  </r>
  <r>
    <x v="45"/>
    <x v="23"/>
    <x v="2540"/>
    <x v="1084"/>
    <n v="1643"/>
    <n v="156"/>
    <n v="25"/>
    <x v="2233"/>
    <n v="-39"/>
  </r>
  <r>
    <x v="45"/>
    <x v="24"/>
    <x v="2541"/>
    <x v="82"/>
    <n v="1461"/>
    <n v="-43"/>
    <n v="-17"/>
    <x v="2234"/>
    <n v="80"/>
  </r>
  <r>
    <x v="45"/>
    <x v="25"/>
    <x v="2542"/>
    <x v="1085"/>
    <n v="1515"/>
    <n v="31"/>
    <n v="-17"/>
    <x v="1631"/>
    <n v="-59"/>
  </r>
  <r>
    <x v="45"/>
    <x v="26"/>
    <x v="1126"/>
    <x v="892"/>
    <n v="1497"/>
    <n v="22"/>
    <n v="-2"/>
    <x v="2235"/>
    <n v="47"/>
  </r>
  <r>
    <x v="45"/>
    <x v="27"/>
    <x v="2543"/>
    <x v="898"/>
    <n v="1474"/>
    <n v="-54"/>
    <n v="-11"/>
    <x v="2236"/>
    <n v="70"/>
  </r>
  <r>
    <x v="45"/>
    <x v="28"/>
    <x v="2544"/>
    <x v="1086"/>
    <n v="1533"/>
    <n v="1"/>
    <n v="-7"/>
    <x v="2237"/>
    <n v="320"/>
  </r>
  <r>
    <x v="45"/>
    <x v="29"/>
    <x v="2524"/>
    <x v="1087"/>
    <n v="1515"/>
    <n v="30"/>
    <n v="-11"/>
    <x v="2238"/>
    <n v="-394"/>
  </r>
  <r>
    <x v="45"/>
    <x v="30"/>
    <x v="2545"/>
    <x v="1088"/>
    <n v="1430"/>
    <n v="43"/>
    <n v="6"/>
    <x v="2239"/>
    <n v="186"/>
  </r>
  <r>
    <x v="45"/>
    <x v="31"/>
    <x v="2546"/>
    <x v="1089"/>
    <n v="1406"/>
    <n v="-108"/>
    <n v="18"/>
    <x v="1744"/>
    <n v="283"/>
  </r>
  <r>
    <x v="45"/>
    <x v="32"/>
    <x v="2547"/>
    <x v="577"/>
    <n v="1536"/>
    <n v="141"/>
    <n v="-2"/>
    <x v="712"/>
    <n v="-131"/>
  </r>
  <r>
    <x v="45"/>
    <x v="33"/>
    <x v="2548"/>
    <x v="33"/>
    <n v="1396"/>
    <s v="n.a."/>
    <s v="n.a."/>
    <x v="2240"/>
    <n v="8"/>
  </r>
  <r>
    <x v="45"/>
    <x v="34"/>
    <x v="2549"/>
    <x v="33"/>
    <n v="1298"/>
    <s v="n.a."/>
    <s v="n.a."/>
    <x v="2241"/>
    <n v="168"/>
  </r>
  <r>
    <x v="45"/>
    <x v="35"/>
    <x v="2550"/>
    <x v="33"/>
    <n v="1271"/>
    <s v="n.a."/>
    <s v="n.a."/>
    <x v="2242"/>
    <n v="284"/>
  </r>
  <r>
    <x v="45"/>
    <x v="36"/>
    <x v="2551"/>
    <x v="33"/>
    <n v="1220"/>
    <s v="n.a."/>
    <s v="n.a."/>
    <x v="2243"/>
    <n v="-15"/>
  </r>
  <r>
    <x v="45"/>
    <x v="37"/>
    <x v="2552"/>
    <x v="33"/>
    <n v="1207"/>
    <s v="n.a."/>
    <s v="n.a."/>
    <x v="2244"/>
    <n v="157"/>
  </r>
  <r>
    <x v="45"/>
    <x v="38"/>
    <x v="2553"/>
    <x v="33"/>
    <n v="1195"/>
    <s v="n.a."/>
    <s v="n.a."/>
    <x v="1628"/>
    <n v="151"/>
  </r>
  <r>
    <x v="45"/>
    <x v="39"/>
    <x v="2554"/>
    <x v="33"/>
    <n v="1212"/>
    <s v="n.a."/>
    <s v="n.a."/>
    <x v="2245"/>
    <n v="18"/>
  </r>
  <r>
    <x v="45"/>
    <x v="40"/>
    <x v="2555"/>
    <x v="33"/>
    <n v="1149"/>
    <s v="n.a."/>
    <s v="n.a."/>
    <x v="1756"/>
    <n v="-34"/>
  </r>
  <r>
    <x v="45"/>
    <x v="41"/>
    <x v="2556"/>
    <x v="33"/>
    <n v="1113"/>
    <s v="n.a."/>
    <s v="n.a."/>
    <x v="831"/>
    <n v="79"/>
  </r>
  <r>
    <x v="45"/>
    <x v="42"/>
    <x v="2557"/>
    <x v="33"/>
    <n v="920"/>
    <s v="n.a."/>
    <s v="n.a."/>
    <x v="2246"/>
    <n v="-51"/>
  </r>
  <r>
    <x v="45"/>
    <x v="43"/>
    <x v="2558"/>
    <x v="33"/>
    <n v="952"/>
    <s v="n.a."/>
    <s v="n.a."/>
    <x v="2247"/>
    <n v="95"/>
  </r>
  <r>
    <x v="45"/>
    <x v="44"/>
    <x v="2559"/>
    <x v="33"/>
    <n v="970"/>
    <s v="n.a."/>
    <s v="n.a."/>
    <x v="2248"/>
    <n v="-104"/>
  </r>
  <r>
    <x v="45"/>
    <x v="45"/>
    <x v="2560"/>
    <x v="33"/>
    <n v="1018"/>
    <s v="n.a."/>
    <s v="n.a."/>
    <x v="814"/>
    <n v="-183"/>
  </r>
  <r>
    <x v="45"/>
    <x v="46"/>
    <x v="2561"/>
    <x v="33"/>
    <n v="1072"/>
    <s v="n.a."/>
    <s v="n.a."/>
    <x v="2249"/>
    <n v="227"/>
  </r>
  <r>
    <x v="45"/>
    <x v="47"/>
    <x v="2562"/>
    <x v="33"/>
    <n v="1138"/>
    <s v="n.a."/>
    <s v="n.a."/>
    <x v="2250"/>
    <n v="146"/>
  </r>
  <r>
    <x v="45"/>
    <x v="48"/>
    <x v="2563"/>
    <x v="33"/>
    <n v="1139"/>
    <s v="n.a."/>
    <s v="n.a."/>
    <x v="770"/>
    <n v="65"/>
  </r>
  <r>
    <x v="45"/>
    <x v="49"/>
    <x v="2564"/>
    <x v="33"/>
    <n v="1168"/>
    <s v="n.a."/>
    <s v="n.a."/>
    <x v="1804"/>
    <n v="-77"/>
  </r>
  <r>
    <x v="45"/>
    <x v="50"/>
    <x v="2565"/>
    <x v="33"/>
    <n v="1129"/>
    <s v="n.a."/>
    <s v="n.a."/>
    <x v="2038"/>
    <n v="17"/>
  </r>
  <r>
    <x v="45"/>
    <x v="51"/>
    <x v="2566"/>
    <x v="33"/>
    <n v="1149"/>
    <s v="n.a."/>
    <s v="n.a."/>
    <x v="2251"/>
    <n v="-442"/>
  </r>
  <r>
    <x v="45"/>
    <x v="52"/>
    <x v="2567"/>
    <x v="33"/>
    <n v="1202"/>
    <s v="n.a."/>
    <s v="n.a."/>
    <x v="2252"/>
    <n v="146"/>
  </r>
  <r>
    <x v="45"/>
    <x v="53"/>
    <x v="2568"/>
    <x v="33"/>
    <n v="1177"/>
    <s v="n.a."/>
    <s v="n.a."/>
    <x v="2253"/>
    <n v="-54"/>
  </r>
  <r>
    <x v="45"/>
    <x v="54"/>
    <x v="2569"/>
    <x v="33"/>
    <n v="1226"/>
    <s v="n.a."/>
    <s v="n.a."/>
    <x v="918"/>
    <n v="-249"/>
  </r>
  <r>
    <x v="45"/>
    <x v="55"/>
    <x v="2570"/>
    <x v="33"/>
    <n v="1153"/>
    <s v="n.a."/>
    <s v="n.a."/>
    <x v="2254"/>
    <n v="-24"/>
  </r>
  <r>
    <x v="45"/>
    <x v="56"/>
    <x v="2571"/>
    <x v="33"/>
    <n v="1060"/>
    <s v="n.a."/>
    <s v="n.a."/>
    <x v="1770"/>
    <n v="115"/>
  </r>
  <r>
    <x v="45"/>
    <x v="57"/>
    <x v="2572"/>
    <x v="33"/>
    <n v="1067"/>
    <s v="n.a."/>
    <s v="n.a."/>
    <x v="2255"/>
    <n v="-94"/>
  </r>
  <r>
    <x v="45"/>
    <x v="58"/>
    <x v="1140"/>
    <x v="33"/>
    <n v="1168"/>
    <s v="n.a."/>
    <s v="n.a."/>
    <x v="2256"/>
    <n v="132"/>
  </r>
  <r>
    <x v="45"/>
    <x v="59"/>
    <x v="2573"/>
    <x v="33"/>
    <n v="971"/>
    <s v="n.a."/>
    <s v="n.a."/>
    <x v="1039"/>
    <n v="62"/>
  </r>
  <r>
    <x v="45"/>
    <x v="60"/>
    <x v="2574"/>
    <x v="33"/>
    <n v="937"/>
    <s v="n.a."/>
    <s v="n.a."/>
    <x v="2257"/>
    <n v="14"/>
  </r>
  <r>
    <x v="45"/>
    <x v="61"/>
    <x v="1148"/>
    <x v="33"/>
    <n v="952"/>
    <s v="n.a."/>
    <s v="n.a."/>
    <x v="38"/>
    <n v="-25"/>
  </r>
  <r>
    <x v="45"/>
    <x v="62"/>
    <x v="2575"/>
    <x v="33"/>
    <n v="882"/>
    <s v="n.a."/>
    <s v="n.a."/>
    <x v="2258"/>
    <n v="14"/>
  </r>
  <r>
    <x v="45"/>
    <x v="63"/>
    <x v="2576"/>
    <x v="33"/>
    <n v="910"/>
    <s v="n.a."/>
    <s v="n.a."/>
    <x v="55"/>
    <n v="-131"/>
  </r>
  <r>
    <x v="45"/>
    <x v="64"/>
    <x v="2577"/>
    <x v="33"/>
    <n v="898"/>
    <s v="n.a."/>
    <s v="n.a."/>
    <x v="2259"/>
    <n v="61"/>
  </r>
  <r>
    <x v="45"/>
    <x v="65"/>
    <x v="2578"/>
    <x v="33"/>
    <n v="899"/>
    <s v="n.a."/>
    <s v="n.a."/>
    <x v="2260"/>
    <n v="-34"/>
  </r>
  <r>
    <x v="45"/>
    <x v="66"/>
    <x v="2579"/>
    <x v="33"/>
    <n v="928"/>
    <s v="n.a."/>
    <s v="n.a."/>
    <x v="2261"/>
    <n v="8"/>
  </r>
  <r>
    <x v="45"/>
    <x v="67"/>
    <x v="2580"/>
    <x v="33"/>
    <n v="947"/>
    <s v="n.a."/>
    <s v="n.a."/>
    <x v="2262"/>
    <n v="-39"/>
  </r>
  <r>
    <x v="45"/>
    <x v="68"/>
    <x v="2581"/>
    <x v="33"/>
    <n v="1345"/>
    <s v="n.a."/>
    <s v="n.a."/>
    <x v="1772"/>
    <n v="0"/>
  </r>
  <r>
    <x v="45"/>
    <x v="69"/>
    <x v="2582"/>
    <x v="33"/>
    <n v="1225"/>
    <s v="n.a."/>
    <s v="n.a."/>
    <x v="1772"/>
    <n v="-33"/>
  </r>
  <r>
    <x v="46"/>
    <x v="0"/>
    <x v="481"/>
    <x v="33"/>
    <n v="148"/>
    <n v="7"/>
    <n v="-2"/>
    <x v="461"/>
    <s v="n.a."/>
  </r>
  <r>
    <x v="46"/>
    <x v="1"/>
    <x v="481"/>
    <x v="33"/>
    <n v="144"/>
    <n v="0"/>
    <n v="1"/>
    <x v="461"/>
    <s v="n.a."/>
  </r>
  <r>
    <x v="46"/>
    <x v="2"/>
    <x v="481"/>
    <x v="33"/>
    <n v="144"/>
    <n v="5"/>
    <n v="1"/>
    <x v="461"/>
    <s v="n.a."/>
  </r>
  <r>
    <x v="46"/>
    <x v="3"/>
    <x v="481"/>
    <x v="33"/>
    <n v="138"/>
    <n v="10"/>
    <n v="-8"/>
    <x v="461"/>
    <s v="n.a."/>
  </r>
  <r>
    <x v="46"/>
    <x v="4"/>
    <x v="481"/>
    <x v="33"/>
    <n v="136"/>
    <n v="4"/>
    <n v="-13"/>
    <x v="461"/>
    <s v="n.a."/>
  </r>
  <r>
    <x v="46"/>
    <x v="5"/>
    <x v="481"/>
    <x v="33"/>
    <n v="196"/>
    <n v="14"/>
    <n v="-7"/>
    <x v="461"/>
    <s v="n.a."/>
  </r>
  <r>
    <x v="46"/>
    <x v="6"/>
    <x v="481"/>
    <x v="33"/>
    <n v="138"/>
    <n v="7"/>
    <n v="-1"/>
    <x v="461"/>
    <s v="n.a."/>
  </r>
  <r>
    <x v="46"/>
    <x v="7"/>
    <x v="481"/>
    <x v="33"/>
    <n v="150"/>
    <n v="11"/>
    <n v="-5"/>
    <x v="461"/>
    <s v="n.a."/>
  </r>
  <r>
    <x v="46"/>
    <x v="8"/>
    <x v="481"/>
    <x v="33"/>
    <n v="126"/>
    <n v="3"/>
    <n v="0"/>
    <x v="461"/>
    <s v="n.a."/>
  </r>
  <r>
    <x v="46"/>
    <x v="9"/>
    <x v="481"/>
    <x v="33"/>
    <n v="169"/>
    <n v="5"/>
    <n v="-2"/>
    <x v="461"/>
    <s v="n.a."/>
  </r>
  <r>
    <x v="46"/>
    <x v="10"/>
    <x v="481"/>
    <x v="33"/>
    <n v="120"/>
    <n v="10"/>
    <n v="-17"/>
    <x v="461"/>
    <s v="n.a."/>
  </r>
  <r>
    <x v="46"/>
    <x v="11"/>
    <x v="481"/>
    <x v="33"/>
    <n v="128"/>
    <n v="3"/>
    <n v="-2"/>
    <x v="461"/>
    <s v="n.a."/>
  </r>
  <r>
    <x v="46"/>
    <x v="12"/>
    <x v="481"/>
    <x v="33"/>
    <n v="121"/>
    <n v="2"/>
    <n v="-2"/>
    <x v="461"/>
    <s v="n.a."/>
  </r>
  <r>
    <x v="46"/>
    <x v="13"/>
    <x v="481"/>
    <x v="33"/>
    <n v="123"/>
    <n v="-12"/>
    <n v="1"/>
    <x v="461"/>
    <s v="n.a."/>
  </r>
  <r>
    <x v="46"/>
    <x v="14"/>
    <x v="481"/>
    <x v="33"/>
    <n v="134"/>
    <n v="-3"/>
    <n v="4"/>
    <x v="461"/>
    <s v="n.a."/>
  </r>
  <r>
    <x v="46"/>
    <x v="15"/>
    <x v="481"/>
    <x v="33"/>
    <n v="133"/>
    <n v="0"/>
    <n v="0"/>
    <x v="461"/>
    <s v="n.a."/>
  </r>
  <r>
    <x v="46"/>
    <x v="16"/>
    <x v="481"/>
    <x v="33"/>
    <n v="157"/>
    <n v="12"/>
    <n v="-1"/>
    <x v="461"/>
    <s v="n.a."/>
  </r>
  <r>
    <x v="46"/>
    <x v="17"/>
    <x v="481"/>
    <x v="33"/>
    <n v="86"/>
    <n v="-9"/>
    <n v="-1"/>
    <x v="461"/>
    <s v="n.a."/>
  </r>
  <r>
    <x v="46"/>
    <x v="18"/>
    <x v="481"/>
    <x v="33"/>
    <n v="95"/>
    <n v="19"/>
    <n v="-1"/>
    <x v="461"/>
    <s v="n.a."/>
  </r>
  <r>
    <x v="46"/>
    <x v="19"/>
    <x v="481"/>
    <x v="33"/>
    <n v="76"/>
    <n v="-1"/>
    <n v="-6"/>
    <x v="461"/>
    <s v="n.a."/>
  </r>
  <r>
    <x v="46"/>
    <x v="20"/>
    <x v="481"/>
    <x v="33"/>
    <n v="82"/>
    <n v="0"/>
    <n v="-1"/>
    <x v="461"/>
    <s v="n.a."/>
  </r>
  <r>
    <x v="46"/>
    <x v="21"/>
    <x v="481"/>
    <x v="33"/>
    <n v="84"/>
    <n v="1"/>
    <n v="-1"/>
    <x v="461"/>
    <s v="n.a."/>
  </r>
  <r>
    <x v="46"/>
    <x v="22"/>
    <x v="481"/>
    <x v="33"/>
    <n v="85"/>
    <n v="1"/>
    <n v="-4"/>
    <x v="461"/>
    <s v="n.a."/>
  </r>
  <r>
    <x v="46"/>
    <x v="23"/>
    <x v="481"/>
    <x v="33"/>
    <n v="87"/>
    <n v="1"/>
    <n v="-4"/>
    <x v="461"/>
    <s v="n.a."/>
  </r>
  <r>
    <x v="46"/>
    <x v="24"/>
    <x v="481"/>
    <x v="33"/>
    <n v="90"/>
    <n v="0"/>
    <n v="-1"/>
    <x v="461"/>
    <s v="n.a."/>
  </r>
  <r>
    <x v="46"/>
    <x v="25"/>
    <x v="481"/>
    <x v="33"/>
    <n v="115"/>
    <n v="0"/>
    <n v="0"/>
    <x v="461"/>
    <s v="n.a."/>
  </r>
  <r>
    <x v="46"/>
    <x v="26"/>
    <x v="481"/>
    <x v="33"/>
    <n v="251"/>
    <n v="-2"/>
    <n v="-1"/>
    <x v="461"/>
    <s v="n.a."/>
  </r>
  <r>
    <x v="46"/>
    <x v="27"/>
    <x v="481"/>
    <x v="33"/>
    <n v="122"/>
    <n v="2"/>
    <n v="0"/>
    <x v="461"/>
    <s v="n.a."/>
  </r>
  <r>
    <x v="46"/>
    <x v="28"/>
    <x v="481"/>
    <x v="33"/>
    <n v="94"/>
    <n v="-1"/>
    <n v="0"/>
    <x v="461"/>
    <s v="n.a."/>
  </r>
  <r>
    <x v="46"/>
    <x v="29"/>
    <x v="481"/>
    <x v="33"/>
    <n v="95"/>
    <n v="-4"/>
    <n v="1"/>
    <x v="461"/>
    <s v="n.a."/>
  </r>
  <r>
    <x v="46"/>
    <x v="30"/>
    <x v="481"/>
    <x v="33"/>
    <n v="95"/>
    <n v="5"/>
    <n v="0"/>
    <x v="461"/>
    <s v="n.a."/>
  </r>
  <r>
    <x v="46"/>
    <x v="31"/>
    <x v="481"/>
    <x v="33"/>
    <n v="93"/>
    <n v="0"/>
    <n v="0"/>
    <x v="461"/>
    <s v="n.a."/>
  </r>
  <r>
    <x v="46"/>
    <x v="32"/>
    <x v="481"/>
    <x v="33"/>
    <n v="93"/>
    <n v="-19"/>
    <n v="6"/>
    <x v="461"/>
    <s v="n.a."/>
  </r>
  <r>
    <x v="46"/>
    <x v="33"/>
    <x v="481"/>
    <x v="33"/>
    <n v="100"/>
    <s v="n.a."/>
    <s v="n.a."/>
    <x v="461"/>
    <s v="n.a."/>
  </r>
  <r>
    <x v="46"/>
    <x v="34"/>
    <x v="481"/>
    <x v="33"/>
    <n v="126"/>
    <s v="n.a."/>
    <s v="n.a."/>
    <x v="461"/>
    <s v="n.a."/>
  </r>
  <r>
    <x v="46"/>
    <x v="35"/>
    <x v="481"/>
    <x v="33"/>
    <n v="92"/>
    <s v="n.a."/>
    <s v="n.a."/>
    <x v="461"/>
    <s v="n.a."/>
  </r>
  <r>
    <x v="46"/>
    <x v="36"/>
    <x v="481"/>
    <x v="33"/>
    <n v="89"/>
    <s v="n.a."/>
    <s v="n.a."/>
    <x v="461"/>
    <s v="n.a."/>
  </r>
  <r>
    <x v="46"/>
    <x v="37"/>
    <x v="481"/>
    <x v="33"/>
    <n v="181"/>
    <s v="n.a."/>
    <s v="n.a."/>
    <x v="461"/>
    <s v="n.a."/>
  </r>
  <r>
    <x v="46"/>
    <x v="38"/>
    <x v="481"/>
    <x v="33"/>
    <n v="88"/>
    <s v="n.a."/>
    <s v="n.a."/>
    <x v="461"/>
    <s v="n.a."/>
  </r>
  <r>
    <x v="46"/>
    <x v="39"/>
    <x v="481"/>
    <x v="33"/>
    <n v="88"/>
    <s v="n.a."/>
    <s v="n.a."/>
    <x v="461"/>
    <s v="n.a."/>
  </r>
  <r>
    <x v="46"/>
    <x v="40"/>
    <x v="481"/>
    <x v="33"/>
    <n v="88"/>
    <s v="n.a."/>
    <s v="n.a."/>
    <x v="461"/>
    <s v="n.a."/>
  </r>
  <r>
    <x v="46"/>
    <x v="41"/>
    <x v="481"/>
    <x v="33"/>
    <n v="177"/>
    <s v="n.a."/>
    <s v="n.a."/>
    <x v="461"/>
    <s v="n.a."/>
  </r>
  <r>
    <x v="46"/>
    <x v="42"/>
    <x v="481"/>
    <x v="33"/>
    <n v="87"/>
    <s v="n.a."/>
    <s v="n.a."/>
    <x v="461"/>
    <s v="n.a."/>
  </r>
  <r>
    <x v="46"/>
    <x v="43"/>
    <x v="481"/>
    <x v="33"/>
    <n v="87"/>
    <s v="n.a."/>
    <s v="n.a."/>
    <x v="461"/>
    <s v="n.a."/>
  </r>
  <r>
    <x v="46"/>
    <x v="44"/>
    <x v="481"/>
    <x v="33"/>
    <n v="227"/>
    <s v="n.a."/>
    <s v="n.a."/>
    <x v="461"/>
    <s v="n.a."/>
  </r>
  <r>
    <x v="46"/>
    <x v="45"/>
    <x v="481"/>
    <x v="33"/>
    <n v="87"/>
    <s v="n.a."/>
    <s v="n.a."/>
    <x v="461"/>
    <s v="n.a."/>
  </r>
  <r>
    <x v="46"/>
    <x v="46"/>
    <x v="481"/>
    <x v="33"/>
    <n v="134"/>
    <s v="n.a."/>
    <s v="n.a."/>
    <x v="461"/>
    <s v="n.a."/>
  </r>
  <r>
    <x v="46"/>
    <x v="47"/>
    <x v="481"/>
    <x v="33"/>
    <n v="84"/>
    <s v="n.a."/>
    <s v="n.a."/>
    <x v="461"/>
    <s v="n.a."/>
  </r>
  <r>
    <x v="46"/>
    <x v="48"/>
    <x v="481"/>
    <x v="33"/>
    <n v="49"/>
    <s v="n.a."/>
    <s v="n.a."/>
    <x v="461"/>
    <s v="n.a."/>
  </r>
  <r>
    <x v="46"/>
    <x v="49"/>
    <x v="481"/>
    <x v="33"/>
    <n v="0"/>
    <s v="n.a."/>
    <s v="n.a."/>
    <x v="461"/>
    <s v="n.a."/>
  </r>
  <r>
    <x v="46"/>
    <x v="50"/>
    <x v="481"/>
    <x v="33"/>
    <n v="14"/>
    <s v="n.a."/>
    <s v="n.a."/>
    <x v="461"/>
    <s v="n.a."/>
  </r>
  <r>
    <x v="46"/>
    <x v="51"/>
    <x v="481"/>
    <x v="33"/>
    <n v="0"/>
    <s v="n.a."/>
    <s v="n.a."/>
    <x v="461"/>
    <s v="n.a."/>
  </r>
  <r>
    <x v="46"/>
    <x v="52"/>
    <x v="481"/>
    <x v="33"/>
    <n v="77"/>
    <s v="n.a."/>
    <s v="n.a."/>
    <x v="461"/>
    <s v="n.a."/>
  </r>
  <r>
    <x v="46"/>
    <x v="53"/>
    <x v="481"/>
    <x v="33"/>
    <n v="75"/>
    <s v="n.a."/>
    <s v="n.a."/>
    <x v="461"/>
    <s v="n.a."/>
  </r>
  <r>
    <x v="46"/>
    <x v="54"/>
    <x v="481"/>
    <x v="33"/>
    <n v="75"/>
    <s v="n.a."/>
    <s v="n.a."/>
    <x v="461"/>
    <s v="n.a."/>
  </r>
  <r>
    <x v="46"/>
    <x v="55"/>
    <x v="481"/>
    <x v="33"/>
    <n v="70"/>
    <s v="n.a."/>
    <s v="n.a."/>
    <x v="461"/>
    <s v="n.a."/>
  </r>
  <r>
    <x v="46"/>
    <x v="56"/>
    <x v="481"/>
    <x v="33"/>
    <n v="69"/>
    <s v="n.a."/>
    <s v="n.a."/>
    <x v="461"/>
    <s v="n.a."/>
  </r>
  <r>
    <x v="46"/>
    <x v="57"/>
    <x v="481"/>
    <x v="33"/>
    <n v="70"/>
    <s v="n.a."/>
    <s v="n.a."/>
    <x v="461"/>
    <s v="n.a."/>
  </r>
  <r>
    <x v="46"/>
    <x v="58"/>
    <x v="481"/>
    <x v="33"/>
    <n v="69"/>
    <s v="n.a."/>
    <s v="n.a."/>
    <x v="461"/>
    <s v="n.a."/>
  </r>
  <r>
    <x v="46"/>
    <x v="59"/>
    <x v="481"/>
    <x v="33"/>
    <n v="69"/>
    <s v="n.a."/>
    <s v="n.a."/>
    <x v="461"/>
    <s v="n.a."/>
  </r>
  <r>
    <x v="46"/>
    <x v="60"/>
    <x v="481"/>
    <x v="33"/>
    <n v="79"/>
    <s v="n.a."/>
    <s v="n.a."/>
    <x v="461"/>
    <s v="n.a."/>
  </r>
  <r>
    <x v="46"/>
    <x v="61"/>
    <x v="481"/>
    <x v="33"/>
    <n v="84"/>
    <s v="n.a."/>
    <s v="n.a."/>
    <x v="461"/>
    <s v="n.a."/>
  </r>
  <r>
    <x v="46"/>
    <x v="62"/>
    <x v="481"/>
    <x v="33"/>
    <n v="85"/>
    <s v="n.a."/>
    <s v="n.a."/>
    <x v="461"/>
    <s v="n.a."/>
  </r>
  <r>
    <x v="46"/>
    <x v="63"/>
    <x v="481"/>
    <x v="33"/>
    <n v="85"/>
    <s v="n.a."/>
    <s v="n.a."/>
    <x v="461"/>
    <s v="n.a."/>
  </r>
  <r>
    <x v="46"/>
    <x v="64"/>
    <x v="481"/>
    <x v="33"/>
    <n v="85"/>
    <s v="n.a."/>
    <s v="n.a."/>
    <x v="461"/>
    <s v="n.a."/>
  </r>
  <r>
    <x v="46"/>
    <x v="65"/>
    <x v="481"/>
    <x v="33"/>
    <n v="85"/>
    <s v="n.a."/>
    <s v="n.a."/>
    <x v="461"/>
    <s v="n.a."/>
  </r>
  <r>
    <x v="46"/>
    <x v="66"/>
    <x v="481"/>
    <x v="33"/>
    <n v="82"/>
    <s v="n.a."/>
    <s v="n.a."/>
    <x v="461"/>
    <s v="n.a."/>
  </r>
  <r>
    <x v="46"/>
    <x v="67"/>
    <x v="481"/>
    <x v="33"/>
    <n v="81"/>
    <s v="n.a."/>
    <s v="n.a."/>
    <x v="461"/>
    <s v="n.a."/>
  </r>
  <r>
    <x v="46"/>
    <x v="68"/>
    <x v="481"/>
    <x v="33"/>
    <n v="82"/>
    <s v="n.a."/>
    <s v="n.a."/>
    <x v="461"/>
    <s v="n.a."/>
  </r>
  <r>
    <x v="46"/>
    <x v="69"/>
    <x v="481"/>
    <x v="33"/>
    <n v="79"/>
    <s v="n.a."/>
    <s v="n.a."/>
    <x v="461"/>
    <s v="n.a."/>
  </r>
  <r>
    <x v="47"/>
    <x v="0"/>
    <x v="2583"/>
    <x v="1090"/>
    <n v="1130"/>
    <n v="-31"/>
    <n v="1"/>
    <x v="944"/>
    <n v="-92"/>
  </r>
  <r>
    <x v="47"/>
    <x v="1"/>
    <x v="2584"/>
    <x v="1091"/>
    <n v="1153"/>
    <n v="16"/>
    <n v="2"/>
    <x v="2263"/>
    <n v="25"/>
  </r>
  <r>
    <x v="47"/>
    <x v="2"/>
    <x v="2585"/>
    <x v="1038"/>
    <n v="1138"/>
    <n v="12"/>
    <n v="7"/>
    <x v="2264"/>
    <n v="23"/>
  </r>
  <r>
    <x v="47"/>
    <x v="3"/>
    <x v="2586"/>
    <x v="1092"/>
    <n v="1132"/>
    <n v="-18"/>
    <n v="5"/>
    <x v="2265"/>
    <n v="127"/>
  </r>
  <r>
    <x v="47"/>
    <x v="4"/>
    <x v="2587"/>
    <x v="146"/>
    <n v="1153"/>
    <n v="65"/>
    <n v="9"/>
    <x v="149"/>
    <n v="-15"/>
  </r>
  <r>
    <x v="47"/>
    <x v="5"/>
    <x v="2588"/>
    <x v="1093"/>
    <n v="1063"/>
    <n v="29"/>
    <n v="-5"/>
    <x v="2266"/>
    <n v="114"/>
  </r>
  <r>
    <x v="47"/>
    <x v="6"/>
    <x v="2589"/>
    <x v="90"/>
    <n v="1041"/>
    <n v="15"/>
    <n v="5"/>
    <x v="940"/>
    <n v="14"/>
  </r>
  <r>
    <x v="47"/>
    <x v="7"/>
    <x v="2566"/>
    <x v="865"/>
    <n v="999"/>
    <n v="-6"/>
    <n v="-19"/>
    <x v="2267"/>
    <n v="-98"/>
  </r>
  <r>
    <x v="47"/>
    <x v="8"/>
    <x v="2590"/>
    <x v="153"/>
    <n v="1038"/>
    <n v="14"/>
    <n v="7"/>
    <x v="801"/>
    <n v="31"/>
  </r>
  <r>
    <x v="47"/>
    <x v="9"/>
    <x v="2591"/>
    <x v="1028"/>
    <n v="1025"/>
    <n v="-41"/>
    <n v="1"/>
    <x v="826"/>
    <n v="10"/>
  </r>
  <r>
    <x v="47"/>
    <x v="10"/>
    <x v="2592"/>
    <x v="957"/>
    <n v="1068"/>
    <n v="28"/>
    <n v="9"/>
    <x v="1885"/>
    <n v="32"/>
  </r>
  <r>
    <x v="47"/>
    <x v="11"/>
    <x v="2593"/>
    <x v="890"/>
    <n v="1070"/>
    <n v="169"/>
    <n v="-2"/>
    <x v="828"/>
    <n v="-35"/>
  </r>
  <r>
    <x v="47"/>
    <x v="12"/>
    <x v="2564"/>
    <x v="1094"/>
    <n v="898"/>
    <n v="-47"/>
    <n v="-11"/>
    <x v="741"/>
    <n v="-66"/>
  </r>
  <r>
    <x v="47"/>
    <x v="13"/>
    <x v="2594"/>
    <x v="401"/>
    <n v="932"/>
    <n v="5"/>
    <n v="4"/>
    <x v="2268"/>
    <n v="27"/>
  </r>
  <r>
    <x v="47"/>
    <x v="14"/>
    <x v="2001"/>
    <x v="1095"/>
    <n v="925"/>
    <n v="71"/>
    <n v="8"/>
    <x v="792"/>
    <n v="27"/>
  </r>
  <r>
    <x v="47"/>
    <x v="15"/>
    <x v="1988"/>
    <x v="1096"/>
    <n v="852"/>
    <n v="79"/>
    <n v="4"/>
    <x v="2269"/>
    <n v="61"/>
  </r>
  <r>
    <x v="47"/>
    <x v="16"/>
    <x v="2595"/>
    <x v="862"/>
    <n v="797"/>
    <n v="22"/>
    <n v="7"/>
    <x v="788"/>
    <n v="57"/>
  </r>
  <r>
    <x v="47"/>
    <x v="17"/>
    <x v="2596"/>
    <x v="1097"/>
    <n v="774"/>
    <n v="1"/>
    <n v="-2"/>
    <x v="2043"/>
    <n v="86"/>
  </r>
  <r>
    <x v="47"/>
    <x v="18"/>
    <x v="2597"/>
    <x v="1098"/>
    <n v="766"/>
    <n v="-26"/>
    <n v="-5"/>
    <x v="2270"/>
    <n v="-79"/>
  </r>
  <r>
    <x v="47"/>
    <x v="19"/>
    <x v="2598"/>
    <x v="145"/>
    <n v="798"/>
    <n v="-14"/>
    <n v="-4"/>
    <x v="919"/>
    <n v="79"/>
  </r>
  <r>
    <x v="47"/>
    <x v="20"/>
    <x v="2599"/>
    <x v="1099"/>
    <n v="826"/>
    <n v="74"/>
    <n v="-5"/>
    <x v="2270"/>
    <n v="-115"/>
  </r>
  <r>
    <x v="47"/>
    <x v="21"/>
    <x v="2600"/>
    <x v="414"/>
    <n v="764"/>
    <n v="-55"/>
    <n v="0"/>
    <x v="2128"/>
    <n v="30"/>
  </r>
  <r>
    <x v="47"/>
    <x v="22"/>
    <x v="2601"/>
    <x v="868"/>
    <n v="795"/>
    <n v="-3"/>
    <n v="4"/>
    <x v="2271"/>
    <n v="-12"/>
  </r>
  <r>
    <x v="47"/>
    <x v="23"/>
    <x v="2602"/>
    <x v="1100"/>
    <n v="795"/>
    <n v="100"/>
    <n v="5"/>
    <x v="280"/>
    <n v="226"/>
  </r>
  <r>
    <x v="47"/>
    <x v="24"/>
    <x v="2603"/>
    <x v="1101"/>
    <n v="769"/>
    <n v="-16"/>
    <n v="-1"/>
    <x v="2272"/>
    <n v="-44"/>
  </r>
  <r>
    <x v="47"/>
    <x v="25"/>
    <x v="2604"/>
    <x v="86"/>
    <n v="856"/>
    <n v="52"/>
    <n v="-3"/>
    <x v="2273"/>
    <n v="-65"/>
  </r>
  <r>
    <x v="47"/>
    <x v="26"/>
    <x v="2605"/>
    <x v="1102"/>
    <n v="873"/>
    <n v="62"/>
    <n v="0"/>
    <x v="271"/>
    <n v="41"/>
  </r>
  <r>
    <x v="47"/>
    <x v="27"/>
    <x v="2606"/>
    <x v="1103"/>
    <n v="835"/>
    <n v="41"/>
    <n v="0"/>
    <x v="161"/>
    <n v="49"/>
  </r>
  <r>
    <x v="47"/>
    <x v="28"/>
    <x v="2607"/>
    <x v="941"/>
    <n v="827"/>
    <n v="27"/>
    <n v="-2"/>
    <x v="2274"/>
    <n v="-168"/>
  </r>
  <r>
    <x v="47"/>
    <x v="29"/>
    <x v="2608"/>
    <x v="1104"/>
    <n v="813"/>
    <n v="87"/>
    <n v="-3"/>
    <x v="145"/>
    <n v="-19"/>
  </r>
  <r>
    <x v="47"/>
    <x v="30"/>
    <x v="2609"/>
    <x v="1105"/>
    <n v="762"/>
    <n v="58"/>
    <n v="2"/>
    <x v="289"/>
    <n v="136"/>
  </r>
  <r>
    <x v="47"/>
    <x v="31"/>
    <x v="2610"/>
    <x v="393"/>
    <n v="740"/>
    <n v="10"/>
    <n v="11"/>
    <x v="2275"/>
    <n v="-3"/>
  </r>
  <r>
    <x v="47"/>
    <x v="32"/>
    <x v="151"/>
    <x v="86"/>
    <n v="724"/>
    <n v="8"/>
    <n v="-4"/>
    <x v="166"/>
    <n v="-21"/>
  </r>
  <r>
    <x v="47"/>
    <x v="33"/>
    <x v="2611"/>
    <x v="33"/>
    <n v="718"/>
    <s v="n.a."/>
    <s v="n.a."/>
    <x v="2276"/>
    <n v="19"/>
  </r>
  <r>
    <x v="47"/>
    <x v="34"/>
    <x v="2612"/>
    <x v="33"/>
    <n v="743"/>
    <s v="n.a."/>
    <s v="n.a."/>
    <x v="1033"/>
    <n v="-27"/>
  </r>
  <r>
    <x v="47"/>
    <x v="35"/>
    <x v="2613"/>
    <x v="33"/>
    <n v="676"/>
    <s v="n.a."/>
    <s v="n.a."/>
    <x v="293"/>
    <n v="-65"/>
  </r>
  <r>
    <x v="47"/>
    <x v="36"/>
    <x v="2614"/>
    <x v="33"/>
    <n v="710"/>
    <s v="n.a."/>
    <s v="n.a."/>
    <x v="2041"/>
    <n v="4"/>
  </r>
  <r>
    <x v="47"/>
    <x v="37"/>
    <x v="2615"/>
    <x v="33"/>
    <n v="724"/>
    <s v="n.a."/>
    <s v="n.a."/>
    <x v="2277"/>
    <n v="151"/>
  </r>
  <r>
    <x v="47"/>
    <x v="38"/>
    <x v="2616"/>
    <x v="33"/>
    <n v="628"/>
    <s v="n.a."/>
    <s v="n.a."/>
    <x v="1873"/>
    <n v="79"/>
  </r>
  <r>
    <x v="47"/>
    <x v="39"/>
    <x v="2617"/>
    <x v="33"/>
    <n v="626"/>
    <s v="n.a."/>
    <s v="n.a."/>
    <x v="189"/>
    <n v="-64"/>
  </r>
  <r>
    <x v="47"/>
    <x v="40"/>
    <x v="2618"/>
    <x v="33"/>
    <n v="614"/>
    <s v="n.a."/>
    <s v="n.a."/>
    <x v="1847"/>
    <n v="26"/>
  </r>
  <r>
    <x v="47"/>
    <x v="41"/>
    <x v="2619"/>
    <x v="33"/>
    <n v="622"/>
    <s v="n.a."/>
    <s v="n.a."/>
    <x v="318"/>
    <n v="43"/>
  </r>
  <r>
    <x v="47"/>
    <x v="42"/>
    <x v="2620"/>
    <x v="33"/>
    <n v="632"/>
    <s v="n.a."/>
    <s v="n.a."/>
    <x v="1872"/>
    <n v="-68"/>
  </r>
  <r>
    <x v="47"/>
    <x v="43"/>
    <x v="2621"/>
    <x v="33"/>
    <n v="630"/>
    <s v="n.a."/>
    <s v="n.a."/>
    <x v="2278"/>
    <n v="59"/>
  </r>
  <r>
    <x v="47"/>
    <x v="44"/>
    <x v="2622"/>
    <x v="33"/>
    <n v="612"/>
    <s v="n.a."/>
    <s v="n.a."/>
    <x v="2279"/>
    <n v="15"/>
  </r>
  <r>
    <x v="47"/>
    <x v="45"/>
    <x v="2623"/>
    <x v="33"/>
    <n v="606"/>
    <s v="n.a."/>
    <s v="n.a."/>
    <x v="190"/>
    <n v="19"/>
  </r>
  <r>
    <x v="47"/>
    <x v="46"/>
    <x v="2624"/>
    <x v="33"/>
    <n v="613"/>
    <s v="n.a."/>
    <s v="n.a."/>
    <x v="2280"/>
    <n v="21"/>
  </r>
  <r>
    <x v="47"/>
    <x v="47"/>
    <x v="2625"/>
    <x v="33"/>
    <n v="609"/>
    <s v="n.a."/>
    <s v="n.a."/>
    <x v="2281"/>
    <n v="-6"/>
  </r>
  <r>
    <x v="47"/>
    <x v="48"/>
    <x v="2626"/>
    <x v="33"/>
    <n v="631"/>
    <s v="n.a."/>
    <s v="n.a."/>
    <x v="2282"/>
    <n v="25"/>
  </r>
  <r>
    <x v="47"/>
    <x v="49"/>
    <x v="2627"/>
    <x v="33"/>
    <n v="640"/>
    <s v="n.a."/>
    <s v="n.a."/>
    <x v="756"/>
    <n v="-12"/>
  </r>
  <r>
    <x v="47"/>
    <x v="50"/>
    <x v="2416"/>
    <x v="33"/>
    <n v="631"/>
    <s v="n.a."/>
    <s v="n.a."/>
    <x v="2283"/>
    <n v="-24"/>
  </r>
  <r>
    <x v="47"/>
    <x v="51"/>
    <x v="2626"/>
    <x v="33"/>
    <n v="620"/>
    <s v="n.a."/>
    <s v="n.a."/>
    <x v="1842"/>
    <n v="-17"/>
  </r>
  <r>
    <x v="47"/>
    <x v="52"/>
    <x v="2397"/>
    <x v="33"/>
    <n v="655"/>
    <s v="n.a."/>
    <s v="n.a."/>
    <x v="186"/>
    <n v="-34"/>
  </r>
  <r>
    <x v="47"/>
    <x v="53"/>
    <x v="2628"/>
    <x v="33"/>
    <n v="655"/>
    <s v="n.a."/>
    <s v="n.a."/>
    <x v="2284"/>
    <n v="-13"/>
  </r>
  <r>
    <x v="47"/>
    <x v="54"/>
    <x v="2629"/>
    <x v="33"/>
    <n v="659"/>
    <s v="n.a."/>
    <s v="n.a."/>
    <x v="2285"/>
    <n v="-30"/>
  </r>
  <r>
    <x v="47"/>
    <x v="55"/>
    <x v="2630"/>
    <x v="33"/>
    <n v="655"/>
    <s v="n.a."/>
    <s v="n.a."/>
    <x v="2286"/>
    <n v="-17"/>
  </r>
  <r>
    <x v="47"/>
    <x v="56"/>
    <x v="2631"/>
    <x v="33"/>
    <n v="635"/>
    <s v="n.a."/>
    <s v="n.a."/>
    <x v="193"/>
    <n v="-26"/>
  </r>
  <r>
    <x v="47"/>
    <x v="57"/>
    <x v="149"/>
    <x v="33"/>
    <n v="634"/>
    <s v="n.a."/>
    <s v="n.a."/>
    <x v="290"/>
    <n v="55"/>
  </r>
  <r>
    <x v="47"/>
    <x v="58"/>
    <x v="2632"/>
    <x v="33"/>
    <n v="653"/>
    <s v="n.a."/>
    <s v="n.a."/>
    <x v="2287"/>
    <n v="61"/>
  </r>
  <r>
    <x v="47"/>
    <x v="59"/>
    <x v="2633"/>
    <x v="33"/>
    <n v="625"/>
    <s v="n.a."/>
    <s v="n.a."/>
    <x v="180"/>
    <n v="-3"/>
  </r>
  <r>
    <x v="47"/>
    <x v="60"/>
    <x v="2634"/>
    <x v="33"/>
    <n v="616"/>
    <s v="n.a."/>
    <s v="n.a."/>
    <x v="2144"/>
    <n v="-30"/>
  </r>
  <r>
    <x v="47"/>
    <x v="61"/>
    <x v="2396"/>
    <x v="33"/>
    <n v="602"/>
    <s v="n.a."/>
    <s v="n.a."/>
    <x v="320"/>
    <n v="9"/>
  </r>
  <r>
    <x v="47"/>
    <x v="62"/>
    <x v="2617"/>
    <x v="33"/>
    <n v="615"/>
    <s v="n.a."/>
    <s v="n.a."/>
    <x v="2288"/>
    <n v="17"/>
  </r>
  <r>
    <x v="47"/>
    <x v="63"/>
    <x v="2635"/>
    <x v="33"/>
    <n v="621"/>
    <s v="n.a."/>
    <s v="n.a."/>
    <x v="184"/>
    <n v="14"/>
  </r>
  <r>
    <x v="47"/>
    <x v="64"/>
    <x v="2636"/>
    <x v="33"/>
    <n v="623"/>
    <s v="n.a."/>
    <s v="n.a."/>
    <x v="1796"/>
    <n v="12"/>
  </r>
  <r>
    <x v="47"/>
    <x v="65"/>
    <x v="2636"/>
    <x v="33"/>
    <n v="635"/>
    <s v="n.a."/>
    <s v="n.a."/>
    <x v="1798"/>
    <n v="3"/>
  </r>
  <r>
    <x v="47"/>
    <x v="66"/>
    <x v="2637"/>
    <x v="33"/>
    <n v="636"/>
    <s v="n.a."/>
    <s v="n.a."/>
    <x v="762"/>
    <n v="-33"/>
  </r>
  <r>
    <x v="47"/>
    <x v="67"/>
    <x v="2412"/>
    <x v="33"/>
    <n v="663"/>
    <s v="n.a."/>
    <s v="n.a."/>
    <x v="2289"/>
    <n v="32"/>
  </r>
  <r>
    <x v="47"/>
    <x v="68"/>
    <x v="2397"/>
    <x v="33"/>
    <n v="672"/>
    <s v="n.a."/>
    <s v="n.a."/>
    <x v="1842"/>
    <n v="-14"/>
  </r>
  <r>
    <x v="47"/>
    <x v="69"/>
    <x v="2638"/>
    <x v="33"/>
    <n v="662"/>
    <s v="n.a."/>
    <s v="n.a."/>
    <x v="1796"/>
    <n v="-27"/>
  </r>
  <r>
    <x v="48"/>
    <x v="0"/>
    <x v="2639"/>
    <x v="1106"/>
    <n v="2537"/>
    <n v="-46"/>
    <n v="3"/>
    <x v="2290"/>
    <n v="-144"/>
  </r>
  <r>
    <x v="48"/>
    <x v="1"/>
    <x v="2640"/>
    <x v="1107"/>
    <n v="2582"/>
    <n v="129"/>
    <n v="1"/>
    <x v="19"/>
    <n v="122"/>
  </r>
  <r>
    <x v="48"/>
    <x v="2"/>
    <x v="2641"/>
    <x v="1108"/>
    <n v="2548"/>
    <n v="52"/>
    <n v="15"/>
    <x v="2291"/>
    <n v="-160"/>
  </r>
  <r>
    <x v="48"/>
    <x v="3"/>
    <x v="2642"/>
    <x v="884"/>
    <n v="2482"/>
    <n v="-210"/>
    <n v="-8"/>
    <x v="2292"/>
    <n v="181"/>
  </r>
  <r>
    <x v="48"/>
    <x v="4"/>
    <x v="2643"/>
    <x v="1109"/>
    <n v="2704"/>
    <n v="-89"/>
    <n v="10"/>
    <x v="1858"/>
    <n v="21"/>
  </r>
  <r>
    <x v="48"/>
    <x v="5"/>
    <x v="2644"/>
    <x v="1039"/>
    <n v="2794"/>
    <n v="-20"/>
    <n v="-18"/>
    <x v="2293"/>
    <n v="48"/>
  </r>
  <r>
    <x v="48"/>
    <x v="6"/>
    <x v="2645"/>
    <x v="1110"/>
    <n v="2833"/>
    <n v="84"/>
    <n v="18"/>
    <x v="2294"/>
    <n v="-98"/>
  </r>
  <r>
    <x v="48"/>
    <x v="7"/>
    <x v="2646"/>
    <x v="1082"/>
    <n v="2736"/>
    <n v="-49"/>
    <n v="8"/>
    <x v="2295"/>
    <n v="16"/>
  </r>
  <r>
    <x v="48"/>
    <x v="8"/>
    <x v="2647"/>
    <x v="531"/>
    <n v="2778"/>
    <n v="-11"/>
    <n v="28"/>
    <x v="2296"/>
    <n v="12"/>
  </r>
  <r>
    <x v="48"/>
    <x v="9"/>
    <x v="2648"/>
    <x v="897"/>
    <n v="2779"/>
    <n v="3"/>
    <n v="6"/>
    <x v="2297"/>
    <n v="11"/>
  </r>
  <r>
    <x v="48"/>
    <x v="10"/>
    <x v="2646"/>
    <x v="876"/>
    <n v="2775"/>
    <n v="82"/>
    <n v="-20"/>
    <x v="701"/>
    <n v="149"/>
  </r>
  <r>
    <x v="48"/>
    <x v="11"/>
    <x v="2649"/>
    <x v="1111"/>
    <n v="2717"/>
    <n v="-95"/>
    <n v="7"/>
    <x v="2298"/>
    <n v="-99"/>
  </r>
  <r>
    <x v="48"/>
    <x v="12"/>
    <x v="2650"/>
    <x v="1112"/>
    <n v="2790"/>
    <n v="115"/>
    <n v="-36"/>
    <x v="2299"/>
    <n v="-312"/>
  </r>
  <r>
    <x v="48"/>
    <x v="13"/>
    <x v="2651"/>
    <x v="1035"/>
    <n v="2665"/>
    <n v="-29"/>
    <n v="20"/>
    <x v="2300"/>
    <n v="10"/>
  </r>
  <r>
    <x v="48"/>
    <x v="14"/>
    <x v="2652"/>
    <x v="408"/>
    <n v="2630"/>
    <n v="59"/>
    <n v="23"/>
    <x v="708"/>
    <n v="34"/>
  </r>
  <r>
    <x v="48"/>
    <x v="15"/>
    <x v="2653"/>
    <x v="401"/>
    <n v="2448"/>
    <n v="23"/>
    <n v="25"/>
    <x v="2301"/>
    <n v="9"/>
  </r>
  <r>
    <x v="48"/>
    <x v="16"/>
    <x v="2654"/>
    <x v="1113"/>
    <n v="2349"/>
    <n v="18"/>
    <n v="14"/>
    <x v="2302"/>
    <n v="166"/>
  </r>
  <r>
    <x v="48"/>
    <x v="17"/>
    <x v="2655"/>
    <x v="890"/>
    <n v="2312"/>
    <n v="58"/>
    <n v="16"/>
    <x v="2303"/>
    <n v="76"/>
  </r>
  <r>
    <x v="48"/>
    <x v="18"/>
    <x v="2656"/>
    <x v="1114"/>
    <n v="2281"/>
    <n v="-173"/>
    <n v="-20"/>
    <x v="2304"/>
    <n v="-194"/>
  </r>
  <r>
    <x v="48"/>
    <x v="19"/>
    <x v="2657"/>
    <x v="1039"/>
    <n v="2488"/>
    <n v="-125"/>
    <n v="8"/>
    <x v="2305"/>
    <n v="153"/>
  </r>
  <r>
    <x v="48"/>
    <x v="20"/>
    <x v="2658"/>
    <x v="1115"/>
    <n v="2615"/>
    <n v="45"/>
    <n v="-17"/>
    <x v="2306"/>
    <n v="179"/>
  </r>
  <r>
    <x v="48"/>
    <x v="21"/>
    <x v="2659"/>
    <x v="760"/>
    <n v="2610"/>
    <n v="269"/>
    <n v="-1"/>
    <x v="2307"/>
    <n v="-202"/>
  </r>
  <r>
    <x v="48"/>
    <x v="22"/>
    <x v="1283"/>
    <x v="1116"/>
    <n v="2357"/>
    <n v="41"/>
    <n v="33"/>
    <x v="2291"/>
    <n v="136"/>
  </r>
  <r>
    <x v="48"/>
    <x v="23"/>
    <x v="2660"/>
    <x v="1117"/>
    <n v="2275"/>
    <n v="13"/>
    <n v="32"/>
    <x v="2308"/>
    <n v="-86"/>
  </r>
  <r>
    <x v="48"/>
    <x v="24"/>
    <x v="2661"/>
    <x v="882"/>
    <n v="2253"/>
    <n v="-75"/>
    <n v="-8"/>
    <x v="1219"/>
    <n v="14"/>
  </r>
  <r>
    <x v="48"/>
    <x v="25"/>
    <x v="2662"/>
    <x v="1105"/>
    <n v="2327"/>
    <n v="44"/>
    <n v="-13"/>
    <x v="2304"/>
    <n v="150"/>
  </r>
  <r>
    <x v="48"/>
    <x v="26"/>
    <x v="2663"/>
    <x v="1118"/>
    <n v="2285"/>
    <n v="-9"/>
    <n v="-2"/>
    <x v="2309"/>
    <n v="-156"/>
  </r>
  <r>
    <x v="48"/>
    <x v="27"/>
    <x v="2664"/>
    <x v="1119"/>
    <n v="2292"/>
    <n v="-1"/>
    <n v="2"/>
    <x v="2236"/>
    <n v="-39"/>
  </r>
  <r>
    <x v="48"/>
    <x v="28"/>
    <x v="2665"/>
    <x v="579"/>
    <n v="2290"/>
    <n v="47"/>
    <n v="-8"/>
    <x v="2310"/>
    <n v="-38"/>
  </r>
  <r>
    <x v="48"/>
    <x v="29"/>
    <x v="2666"/>
    <x v="768"/>
    <n v="2243"/>
    <n v="116"/>
    <n v="-12"/>
    <x v="2311"/>
    <n v="265"/>
  </r>
  <r>
    <x v="48"/>
    <x v="30"/>
    <x v="2667"/>
    <x v="406"/>
    <n v="2137"/>
    <n v="172"/>
    <n v="3"/>
    <x v="2226"/>
    <n v="-267"/>
  </r>
  <r>
    <x v="48"/>
    <x v="31"/>
    <x v="2668"/>
    <x v="1096"/>
    <n v="1970"/>
    <n v="-42"/>
    <n v="32"/>
    <x v="34"/>
    <n v="182"/>
  </r>
  <r>
    <x v="48"/>
    <x v="32"/>
    <x v="2669"/>
    <x v="413"/>
    <n v="1991"/>
    <n v="25"/>
    <n v="-21"/>
    <x v="2312"/>
    <n v="142"/>
  </r>
  <r>
    <x v="48"/>
    <x v="33"/>
    <x v="2529"/>
    <x v="33"/>
    <n v="1996"/>
    <s v="n.a."/>
    <s v="n.a."/>
    <x v="2313"/>
    <n v="-126"/>
  </r>
  <r>
    <x v="48"/>
    <x v="34"/>
    <x v="1122"/>
    <x v="33"/>
    <n v="2015"/>
    <s v="n.a."/>
    <s v="n.a."/>
    <x v="883"/>
    <n v="298"/>
  </r>
  <r>
    <x v="48"/>
    <x v="35"/>
    <x v="2670"/>
    <x v="33"/>
    <n v="2002"/>
    <s v="n.a."/>
    <s v="n.a."/>
    <x v="1766"/>
    <n v="-116"/>
  </r>
  <r>
    <x v="48"/>
    <x v="36"/>
    <x v="2671"/>
    <x v="33"/>
    <n v="1924"/>
    <s v="n.a."/>
    <s v="n.a."/>
    <x v="2314"/>
    <n v="141"/>
  </r>
  <r>
    <x v="48"/>
    <x v="37"/>
    <x v="2672"/>
    <x v="33"/>
    <n v="1902"/>
    <s v="n.a."/>
    <s v="n.a."/>
    <x v="2315"/>
    <n v="29"/>
  </r>
  <r>
    <x v="48"/>
    <x v="38"/>
    <x v="2542"/>
    <x v="33"/>
    <n v="1974"/>
    <s v="n.a."/>
    <s v="n.a."/>
    <x v="2316"/>
    <n v="184"/>
  </r>
  <r>
    <x v="48"/>
    <x v="39"/>
    <x v="2673"/>
    <x v="33"/>
    <n v="1829"/>
    <s v="n.a."/>
    <s v="n.a."/>
    <x v="1778"/>
    <n v="118"/>
  </r>
  <r>
    <x v="48"/>
    <x v="40"/>
    <x v="2674"/>
    <x v="33"/>
    <n v="1865"/>
    <s v="n.a."/>
    <s v="n.a."/>
    <x v="2317"/>
    <n v="14"/>
  </r>
  <r>
    <x v="48"/>
    <x v="41"/>
    <x v="2675"/>
    <x v="33"/>
    <n v="1887"/>
    <s v="n.a."/>
    <s v="n.a."/>
    <x v="2318"/>
    <n v="17"/>
  </r>
  <r>
    <x v="48"/>
    <x v="42"/>
    <x v="2548"/>
    <x v="33"/>
    <n v="1866"/>
    <s v="n.a."/>
    <s v="n.a."/>
    <x v="2319"/>
    <n v="20"/>
  </r>
  <r>
    <x v="48"/>
    <x v="43"/>
    <x v="2676"/>
    <x v="33"/>
    <n v="1935"/>
    <s v="n.a."/>
    <s v="n.a."/>
    <x v="2320"/>
    <n v="84"/>
  </r>
  <r>
    <x v="48"/>
    <x v="44"/>
    <x v="2677"/>
    <x v="33"/>
    <n v="1997"/>
    <s v="n.a."/>
    <s v="n.a."/>
    <x v="2321"/>
    <n v="-66"/>
  </r>
  <r>
    <x v="48"/>
    <x v="45"/>
    <x v="2678"/>
    <x v="33"/>
    <n v="1929"/>
    <s v="n.a."/>
    <s v="n.a."/>
    <x v="2322"/>
    <n v="70"/>
  </r>
  <r>
    <x v="48"/>
    <x v="46"/>
    <x v="2679"/>
    <x v="33"/>
    <n v="1953"/>
    <s v="n.a."/>
    <s v="n.a."/>
    <x v="2323"/>
    <n v="48"/>
  </r>
  <r>
    <x v="48"/>
    <x v="47"/>
    <x v="2680"/>
    <x v="33"/>
    <n v="1866"/>
    <s v="n.a."/>
    <s v="n.a."/>
    <x v="2324"/>
    <n v="-127"/>
  </r>
  <r>
    <x v="48"/>
    <x v="48"/>
    <x v="2681"/>
    <x v="33"/>
    <n v="1899"/>
    <s v="n.a."/>
    <s v="n.a."/>
    <x v="1782"/>
    <n v="43"/>
  </r>
  <r>
    <x v="48"/>
    <x v="49"/>
    <x v="2682"/>
    <x v="33"/>
    <n v="1900"/>
    <s v="n.a."/>
    <s v="n.a."/>
    <x v="2018"/>
    <n v="77"/>
  </r>
  <r>
    <x v="48"/>
    <x v="50"/>
    <x v="2683"/>
    <x v="33"/>
    <n v="1943"/>
    <s v="n.a."/>
    <s v="n.a."/>
    <x v="2325"/>
    <n v="40"/>
  </r>
  <r>
    <x v="48"/>
    <x v="51"/>
    <x v="2684"/>
    <x v="33"/>
    <n v="2027"/>
    <s v="n.a."/>
    <s v="n.a."/>
    <x v="793"/>
    <n v="-84"/>
  </r>
  <r>
    <x v="48"/>
    <x v="52"/>
    <x v="2685"/>
    <x v="33"/>
    <n v="2066"/>
    <s v="n.a."/>
    <s v="n.a."/>
    <x v="241"/>
    <n v="31"/>
  </r>
  <r>
    <x v="48"/>
    <x v="53"/>
    <x v="2686"/>
    <x v="33"/>
    <n v="2082"/>
    <s v="n.a."/>
    <s v="n.a."/>
    <x v="2326"/>
    <n v="62"/>
  </r>
  <r>
    <x v="48"/>
    <x v="54"/>
    <x v="2687"/>
    <x v="33"/>
    <n v="2086"/>
    <s v="n.a."/>
    <s v="n.a."/>
    <x v="2327"/>
    <n v="-57"/>
  </r>
  <r>
    <x v="48"/>
    <x v="55"/>
    <x v="2688"/>
    <x v="33"/>
    <n v="1941"/>
    <s v="n.a."/>
    <s v="n.a."/>
    <x v="2019"/>
    <n v="-90"/>
  </r>
  <r>
    <x v="48"/>
    <x v="56"/>
    <x v="2234"/>
    <x v="33"/>
    <n v="1960"/>
    <s v="n.a."/>
    <s v="n.a."/>
    <x v="798"/>
    <n v="-267"/>
  </r>
  <r>
    <x v="48"/>
    <x v="57"/>
    <x v="2689"/>
    <x v="33"/>
    <n v="2031"/>
    <s v="n.a."/>
    <s v="n.a."/>
    <x v="717"/>
    <n v="-119"/>
  </r>
  <r>
    <x v="48"/>
    <x v="58"/>
    <x v="2690"/>
    <x v="33"/>
    <n v="1907"/>
    <s v="n.a."/>
    <s v="n.a."/>
    <x v="2328"/>
    <n v="-28"/>
  </r>
  <r>
    <x v="48"/>
    <x v="59"/>
    <x v="2691"/>
    <x v="33"/>
    <n v="1706"/>
    <s v="n.a."/>
    <s v="n.a."/>
    <x v="1853"/>
    <n v="209"/>
  </r>
  <r>
    <x v="48"/>
    <x v="60"/>
    <x v="2692"/>
    <x v="33"/>
    <n v="1869"/>
    <s v="n.a."/>
    <s v="n.a."/>
    <x v="2329"/>
    <n v="268"/>
  </r>
  <r>
    <x v="48"/>
    <x v="61"/>
    <x v="2693"/>
    <x v="33"/>
    <n v="1858"/>
    <s v="n.a."/>
    <s v="n.a."/>
    <x v="1042"/>
    <n v="-71"/>
  </r>
  <r>
    <x v="48"/>
    <x v="62"/>
    <x v="2694"/>
    <x v="33"/>
    <n v="1852"/>
    <s v="n.a."/>
    <s v="n.a."/>
    <x v="2263"/>
    <n v="111"/>
  </r>
  <r>
    <x v="48"/>
    <x v="63"/>
    <x v="2695"/>
    <x v="33"/>
    <n v="1965"/>
    <s v="n.a."/>
    <s v="n.a."/>
    <x v="790"/>
    <n v="-81"/>
  </r>
  <r>
    <x v="48"/>
    <x v="64"/>
    <x v="2696"/>
    <x v="33"/>
    <n v="2012"/>
    <s v="n.a."/>
    <s v="n.a."/>
    <x v="2257"/>
    <n v="166"/>
  </r>
  <r>
    <x v="48"/>
    <x v="65"/>
    <x v="2697"/>
    <x v="33"/>
    <n v="2093"/>
    <s v="n.a."/>
    <s v="n.a."/>
    <x v="41"/>
    <n v="19"/>
  </r>
  <r>
    <x v="48"/>
    <x v="66"/>
    <x v="2698"/>
    <x v="33"/>
    <n v="2533"/>
    <s v="n.a."/>
    <s v="n.a."/>
    <x v="140"/>
    <n v="-46"/>
  </r>
  <r>
    <x v="48"/>
    <x v="67"/>
    <x v="2699"/>
    <x v="33"/>
    <n v="2710"/>
    <s v="n.a."/>
    <s v="n.a."/>
    <x v="39"/>
    <n v="-401"/>
  </r>
  <r>
    <x v="48"/>
    <x v="68"/>
    <x v="2700"/>
    <x v="33"/>
    <n v="2572"/>
    <s v="n.a."/>
    <s v="n.a."/>
    <x v="2330"/>
    <n v="-55"/>
  </r>
  <r>
    <x v="48"/>
    <x v="69"/>
    <x v="2701"/>
    <x v="33"/>
    <n v="2406"/>
    <s v="n.a."/>
    <s v="n.a."/>
    <x v="2331"/>
    <n v="117"/>
  </r>
  <r>
    <x v="49"/>
    <x v="0"/>
    <x v="481"/>
    <x v="33"/>
    <n v="805"/>
    <n v="9"/>
    <n v="1"/>
    <x v="461"/>
    <s v="n.a."/>
  </r>
  <r>
    <x v="49"/>
    <x v="1"/>
    <x v="481"/>
    <x v="33"/>
    <n v="798"/>
    <n v="6"/>
    <n v="1"/>
    <x v="461"/>
    <s v="n.a."/>
  </r>
  <r>
    <x v="49"/>
    <x v="2"/>
    <x v="481"/>
    <x v="33"/>
    <n v="795"/>
    <n v="106"/>
    <n v="4"/>
    <x v="461"/>
    <s v="n.a."/>
  </r>
  <r>
    <x v="49"/>
    <x v="3"/>
    <x v="481"/>
    <x v="33"/>
    <n v="689"/>
    <n v="4"/>
    <n v="-4"/>
    <x v="461"/>
    <s v="n.a."/>
  </r>
  <r>
    <x v="49"/>
    <x v="4"/>
    <x v="481"/>
    <x v="33"/>
    <n v="689"/>
    <n v="4"/>
    <n v="5"/>
    <x v="461"/>
    <s v="n.a."/>
  </r>
  <r>
    <x v="49"/>
    <x v="5"/>
    <x v="481"/>
    <x v="33"/>
    <n v="679"/>
    <n v="9"/>
    <n v="-5"/>
    <x v="461"/>
    <s v="n.a."/>
  </r>
  <r>
    <x v="49"/>
    <x v="6"/>
    <x v="481"/>
    <x v="33"/>
    <n v="674"/>
    <n v="21"/>
    <n v="5"/>
    <x v="461"/>
    <s v="n.a."/>
  </r>
  <r>
    <x v="49"/>
    <x v="7"/>
    <x v="481"/>
    <x v="33"/>
    <n v="654"/>
    <n v="19"/>
    <n v="4"/>
    <x v="461"/>
    <s v="n.a."/>
  </r>
  <r>
    <x v="49"/>
    <x v="8"/>
    <x v="481"/>
    <x v="33"/>
    <n v="631"/>
    <n v="-32"/>
    <n v="6"/>
    <x v="461"/>
    <s v="n.a."/>
  </r>
  <r>
    <x v="49"/>
    <x v="9"/>
    <x v="481"/>
    <x v="33"/>
    <n v="656"/>
    <n v="-1"/>
    <n v="1"/>
    <x v="461"/>
    <s v="n.a."/>
  </r>
  <r>
    <x v="49"/>
    <x v="10"/>
    <x v="481"/>
    <x v="33"/>
    <n v="631"/>
    <n v="25"/>
    <n v="2"/>
    <x v="461"/>
    <s v="n.a."/>
  </r>
  <r>
    <x v="49"/>
    <x v="11"/>
    <x v="481"/>
    <x v="33"/>
    <n v="603"/>
    <n v="4"/>
    <n v="2"/>
    <x v="461"/>
    <s v="n.a."/>
  </r>
  <r>
    <x v="49"/>
    <x v="12"/>
    <x v="481"/>
    <x v="33"/>
    <n v="596"/>
    <n v="18"/>
    <n v="-11"/>
    <x v="461"/>
    <s v="n.a."/>
  </r>
  <r>
    <x v="49"/>
    <x v="13"/>
    <x v="481"/>
    <x v="33"/>
    <n v="589"/>
    <n v="54"/>
    <n v="-6"/>
    <x v="461"/>
    <s v="n.a."/>
  </r>
  <r>
    <x v="49"/>
    <x v="14"/>
    <x v="481"/>
    <x v="33"/>
    <n v="534"/>
    <n v="12"/>
    <n v="8"/>
    <x v="461"/>
    <s v="n.a."/>
  </r>
  <r>
    <x v="49"/>
    <x v="15"/>
    <x v="481"/>
    <x v="33"/>
    <n v="512"/>
    <n v="48"/>
    <n v="5"/>
    <x v="461"/>
    <s v="n.a."/>
  </r>
  <r>
    <x v="49"/>
    <x v="16"/>
    <x v="481"/>
    <x v="33"/>
    <n v="462"/>
    <n v="-3"/>
    <n v="2"/>
    <x v="461"/>
    <s v="n.a."/>
  </r>
  <r>
    <x v="49"/>
    <x v="17"/>
    <x v="481"/>
    <x v="33"/>
    <n v="462"/>
    <n v="39"/>
    <n v="3"/>
    <x v="461"/>
    <s v="n.a."/>
  </r>
  <r>
    <x v="49"/>
    <x v="18"/>
    <x v="481"/>
    <x v="33"/>
    <n v="421"/>
    <n v="13"/>
    <n v="-6"/>
    <x v="461"/>
    <s v="n.a."/>
  </r>
  <r>
    <x v="49"/>
    <x v="19"/>
    <x v="481"/>
    <x v="33"/>
    <n v="415"/>
    <n v="6"/>
    <n v="1"/>
    <x v="461"/>
    <s v="n.a."/>
  </r>
  <r>
    <x v="49"/>
    <x v="20"/>
    <x v="481"/>
    <x v="33"/>
    <n v="402"/>
    <n v="49"/>
    <n v="-5"/>
    <x v="461"/>
    <s v="n.a."/>
  </r>
  <r>
    <x v="49"/>
    <x v="21"/>
    <x v="481"/>
    <x v="33"/>
    <n v="359"/>
    <n v="-15"/>
    <n v="0"/>
    <x v="461"/>
    <s v="n.a."/>
  </r>
  <r>
    <x v="49"/>
    <x v="22"/>
    <x v="481"/>
    <x v="33"/>
    <n v="374"/>
    <n v="23"/>
    <n v="5"/>
    <x v="461"/>
    <s v="n.a."/>
  </r>
  <r>
    <x v="49"/>
    <x v="23"/>
    <x v="481"/>
    <x v="33"/>
    <n v="340"/>
    <n v="11"/>
    <n v="6"/>
    <x v="461"/>
    <s v="n.a."/>
  </r>
  <r>
    <x v="49"/>
    <x v="24"/>
    <x v="481"/>
    <x v="33"/>
    <n v="334"/>
    <n v="16"/>
    <n v="0"/>
    <x v="461"/>
    <s v="n.a."/>
  </r>
  <r>
    <x v="49"/>
    <x v="25"/>
    <x v="481"/>
    <x v="33"/>
    <n v="320"/>
    <n v="2"/>
    <n v="-3"/>
    <x v="461"/>
    <s v="n.a."/>
  </r>
  <r>
    <x v="49"/>
    <x v="26"/>
    <x v="481"/>
    <x v="33"/>
    <n v="323"/>
    <n v="4"/>
    <n v="-1"/>
    <x v="461"/>
    <s v="n.a."/>
  </r>
  <r>
    <x v="49"/>
    <x v="27"/>
    <x v="481"/>
    <x v="33"/>
    <n v="322"/>
    <n v="-92"/>
    <n v="0"/>
    <x v="461"/>
    <s v="n.a."/>
  </r>
  <r>
    <x v="49"/>
    <x v="28"/>
    <x v="481"/>
    <x v="33"/>
    <n v="277"/>
    <n v="12"/>
    <n v="-2"/>
    <x v="461"/>
    <s v="n.a."/>
  </r>
  <r>
    <x v="49"/>
    <x v="29"/>
    <x v="481"/>
    <x v="33"/>
    <n v="268"/>
    <n v="-14"/>
    <n v="-2"/>
    <x v="461"/>
    <s v="n.a."/>
  </r>
  <r>
    <x v="49"/>
    <x v="30"/>
    <x v="481"/>
    <x v="33"/>
    <n v="283"/>
    <n v="18"/>
    <n v="1"/>
    <x v="461"/>
    <s v="n.a."/>
  </r>
  <r>
    <x v="49"/>
    <x v="31"/>
    <x v="481"/>
    <x v="33"/>
    <n v="264"/>
    <n v="1"/>
    <n v="4"/>
    <x v="461"/>
    <s v="n.a."/>
  </r>
  <r>
    <x v="49"/>
    <x v="32"/>
    <x v="481"/>
    <x v="33"/>
    <n v="258"/>
    <n v="8"/>
    <n v="-4"/>
    <x v="461"/>
    <s v="n.a."/>
  </r>
  <r>
    <x v="49"/>
    <x v="33"/>
    <x v="481"/>
    <x v="33"/>
    <n v="257"/>
    <s v="n.a."/>
    <s v="n.a."/>
    <x v="461"/>
    <s v="n.a."/>
  </r>
  <r>
    <x v="49"/>
    <x v="34"/>
    <x v="481"/>
    <x v="33"/>
    <n v="243"/>
    <s v="n.a."/>
    <s v="n.a."/>
    <x v="461"/>
    <s v="n.a."/>
  </r>
  <r>
    <x v="49"/>
    <x v="35"/>
    <x v="481"/>
    <x v="33"/>
    <n v="257"/>
    <s v="n.a."/>
    <s v="n.a."/>
    <x v="461"/>
    <s v="n.a."/>
  </r>
  <r>
    <x v="49"/>
    <x v="36"/>
    <x v="481"/>
    <x v="33"/>
    <n v="218"/>
    <s v="n.a."/>
    <s v="n.a."/>
    <x v="461"/>
    <s v="n.a."/>
  </r>
  <r>
    <x v="49"/>
    <x v="37"/>
    <x v="481"/>
    <x v="33"/>
    <n v="219"/>
    <s v="n.a."/>
    <s v="n.a."/>
    <x v="461"/>
    <s v="n.a."/>
  </r>
  <r>
    <x v="49"/>
    <x v="38"/>
    <x v="481"/>
    <x v="33"/>
    <n v="243"/>
    <s v="n.a."/>
    <s v="n.a."/>
    <x v="461"/>
    <s v="n.a."/>
  </r>
  <r>
    <x v="49"/>
    <x v="39"/>
    <x v="481"/>
    <x v="33"/>
    <n v="245"/>
    <s v="n.a."/>
    <s v="n.a."/>
    <x v="461"/>
    <s v="n.a."/>
  </r>
  <r>
    <x v="49"/>
    <x v="40"/>
    <x v="481"/>
    <x v="33"/>
    <n v="265"/>
    <s v="n.a."/>
    <s v="n.a."/>
    <x v="461"/>
    <s v="n.a."/>
  </r>
  <r>
    <x v="49"/>
    <x v="41"/>
    <x v="481"/>
    <x v="33"/>
    <n v="250"/>
    <s v="n.a."/>
    <s v="n.a."/>
    <x v="461"/>
    <s v="n.a."/>
  </r>
  <r>
    <x v="49"/>
    <x v="42"/>
    <x v="481"/>
    <x v="33"/>
    <n v="233"/>
    <s v="n.a."/>
    <s v="n.a."/>
    <x v="461"/>
    <s v="n.a."/>
  </r>
  <r>
    <x v="49"/>
    <x v="43"/>
    <x v="481"/>
    <x v="33"/>
    <n v="237"/>
    <s v="n.a."/>
    <s v="n.a."/>
    <x v="461"/>
    <s v="n.a."/>
  </r>
  <r>
    <x v="49"/>
    <x v="44"/>
    <x v="481"/>
    <x v="33"/>
    <n v="248"/>
    <s v="n.a."/>
    <s v="n.a."/>
    <x v="461"/>
    <s v="n.a."/>
  </r>
  <r>
    <x v="49"/>
    <x v="45"/>
    <x v="481"/>
    <x v="33"/>
    <n v="93"/>
    <s v="n.a."/>
    <s v="n.a."/>
    <x v="461"/>
    <s v="n.a."/>
  </r>
  <r>
    <x v="49"/>
    <x v="46"/>
    <x v="481"/>
    <x v="33"/>
    <n v="89"/>
    <s v="n.a."/>
    <s v="n.a."/>
    <x v="461"/>
    <s v="n.a."/>
  </r>
  <r>
    <x v="49"/>
    <x v="47"/>
    <x v="481"/>
    <x v="33"/>
    <n v="107"/>
    <s v="n.a."/>
    <s v="n.a."/>
    <x v="461"/>
    <s v="n.a."/>
  </r>
  <r>
    <x v="49"/>
    <x v="48"/>
    <x v="481"/>
    <x v="33"/>
    <n v="87"/>
    <s v="n.a."/>
    <s v="n.a."/>
    <x v="461"/>
    <s v="n.a."/>
  </r>
  <r>
    <x v="49"/>
    <x v="49"/>
    <x v="481"/>
    <x v="33"/>
    <n v="78"/>
    <s v="n.a."/>
    <s v="n.a."/>
    <x v="461"/>
    <s v="n.a."/>
  </r>
  <r>
    <x v="49"/>
    <x v="50"/>
    <x v="481"/>
    <x v="33"/>
    <n v="81"/>
    <s v="n.a."/>
    <s v="n.a."/>
    <x v="461"/>
    <s v="n.a."/>
  </r>
  <r>
    <x v="49"/>
    <x v="51"/>
    <x v="481"/>
    <x v="33"/>
    <n v="87"/>
    <s v="n.a."/>
    <s v="n.a."/>
    <x v="461"/>
    <s v="n.a."/>
  </r>
  <r>
    <x v="49"/>
    <x v="52"/>
    <x v="481"/>
    <x v="33"/>
    <n v="80"/>
    <s v="n.a."/>
    <s v="n.a."/>
    <x v="461"/>
    <s v="n.a."/>
  </r>
  <r>
    <x v="49"/>
    <x v="53"/>
    <x v="481"/>
    <x v="33"/>
    <n v="96"/>
    <s v="n.a."/>
    <s v="n.a."/>
    <x v="461"/>
    <s v="n.a."/>
  </r>
  <r>
    <x v="49"/>
    <x v="54"/>
    <x v="481"/>
    <x v="33"/>
    <n v="105"/>
    <s v="n.a."/>
    <s v="n.a."/>
    <x v="461"/>
    <s v="n.a."/>
  </r>
  <r>
    <x v="49"/>
    <x v="55"/>
    <x v="481"/>
    <x v="33"/>
    <n v="107"/>
    <s v="n.a."/>
    <s v="n.a."/>
    <x v="461"/>
    <s v="n.a."/>
  </r>
  <r>
    <x v="49"/>
    <x v="56"/>
    <x v="481"/>
    <x v="33"/>
    <n v="107"/>
    <s v="n.a."/>
    <s v="n.a."/>
    <x v="461"/>
    <s v="n.a."/>
  </r>
  <r>
    <x v="49"/>
    <x v="57"/>
    <x v="481"/>
    <x v="33"/>
    <n v="105"/>
    <s v="n.a."/>
    <s v="n.a."/>
    <x v="461"/>
    <s v="n.a."/>
  </r>
  <r>
    <x v="49"/>
    <x v="58"/>
    <x v="481"/>
    <x v="33"/>
    <n v="109"/>
    <s v="n.a."/>
    <s v="n.a."/>
    <x v="461"/>
    <s v="n.a."/>
  </r>
  <r>
    <x v="49"/>
    <x v="59"/>
    <x v="481"/>
    <x v="33"/>
    <n v="82"/>
    <s v="n.a."/>
    <s v="n.a."/>
    <x v="461"/>
    <s v="n.a."/>
  </r>
  <r>
    <x v="49"/>
    <x v="60"/>
    <x v="481"/>
    <x v="33"/>
    <n v="82"/>
    <s v="n.a."/>
    <s v="n.a."/>
    <x v="461"/>
    <s v="n.a."/>
  </r>
  <r>
    <x v="49"/>
    <x v="61"/>
    <x v="481"/>
    <x v="33"/>
    <n v="82"/>
    <s v="n.a."/>
    <s v="n.a."/>
    <x v="461"/>
    <s v="n.a."/>
  </r>
  <r>
    <x v="49"/>
    <x v="62"/>
    <x v="481"/>
    <x v="33"/>
    <n v="82"/>
    <s v="n.a."/>
    <s v="n.a."/>
    <x v="461"/>
    <s v="n.a."/>
  </r>
  <r>
    <x v="49"/>
    <x v="63"/>
    <x v="481"/>
    <x v="33"/>
    <n v="82"/>
    <s v="n.a."/>
    <s v="n.a."/>
    <x v="461"/>
    <s v="n.a."/>
  </r>
  <r>
    <x v="49"/>
    <x v="64"/>
    <x v="481"/>
    <x v="33"/>
    <n v="94"/>
    <s v="n.a."/>
    <s v="n.a."/>
    <x v="461"/>
    <s v="n.a."/>
  </r>
  <r>
    <x v="49"/>
    <x v="65"/>
    <x v="481"/>
    <x v="33"/>
    <n v="95"/>
    <s v="n.a."/>
    <s v="n.a."/>
    <x v="461"/>
    <s v="n.a."/>
  </r>
  <r>
    <x v="49"/>
    <x v="66"/>
    <x v="481"/>
    <x v="33"/>
    <n v="90"/>
    <s v="n.a."/>
    <s v="n.a."/>
    <x v="461"/>
    <s v="n.a."/>
  </r>
  <r>
    <x v="49"/>
    <x v="67"/>
    <x v="481"/>
    <x v="33"/>
    <n v="86"/>
    <s v="n.a."/>
    <s v="n.a."/>
    <x v="461"/>
    <s v="n.a."/>
  </r>
  <r>
    <x v="49"/>
    <x v="68"/>
    <x v="481"/>
    <x v="33"/>
    <n v="91"/>
    <s v="n.a."/>
    <s v="n.a."/>
    <x v="461"/>
    <s v="n.a."/>
  </r>
  <r>
    <x v="49"/>
    <x v="69"/>
    <x v="481"/>
    <x v="33"/>
    <n v="90"/>
    <s v="n.a."/>
    <s v="n.a."/>
    <x v="461"/>
    <s v="n.a."/>
  </r>
  <r>
    <x v="50"/>
    <x v="0"/>
    <x v="2702"/>
    <x v="1000"/>
    <n v="8964"/>
    <n v="784"/>
    <n v="-20"/>
    <x v="2332"/>
    <n v="178"/>
  </r>
  <r>
    <x v="50"/>
    <x v="1"/>
    <x v="2703"/>
    <x v="1120"/>
    <n v="8215"/>
    <n v="116"/>
    <n v="-83"/>
    <x v="2333"/>
    <n v="1532"/>
  </r>
  <r>
    <x v="50"/>
    <x v="2"/>
    <x v="2704"/>
    <x v="84"/>
    <n v="8214"/>
    <n v="141"/>
    <n v="49"/>
    <x v="2334"/>
    <n v="-133"/>
  </r>
  <r>
    <x v="50"/>
    <x v="3"/>
    <x v="2705"/>
    <x v="1121"/>
    <n v="8110"/>
    <n v="222"/>
    <n v="-51"/>
    <x v="342"/>
    <n v="-910"/>
  </r>
  <r>
    <x v="50"/>
    <x v="4"/>
    <x v="2706"/>
    <x v="1122"/>
    <n v="8012"/>
    <n v="-363"/>
    <n v="17"/>
    <x v="2335"/>
    <n v="-528"/>
  </r>
  <r>
    <x v="50"/>
    <x v="5"/>
    <x v="2707"/>
    <x v="1123"/>
    <n v="8463"/>
    <n v="115"/>
    <n v="-62"/>
    <x v="2336"/>
    <n v="1173"/>
  </r>
  <r>
    <x v="50"/>
    <x v="6"/>
    <x v="2708"/>
    <x v="593"/>
    <n v="8412"/>
    <n v="231"/>
    <n v="28"/>
    <x v="2337"/>
    <n v="-105"/>
  </r>
  <r>
    <x v="50"/>
    <x v="7"/>
    <x v="2709"/>
    <x v="362"/>
    <n v="8027"/>
    <n v="-43"/>
    <n v="10"/>
    <x v="2338"/>
    <n v="416"/>
  </r>
  <r>
    <x v="50"/>
    <x v="8"/>
    <x v="2710"/>
    <x v="1124"/>
    <n v="8061"/>
    <n v="79"/>
    <n v="68"/>
    <x v="2339"/>
    <n v="-19649"/>
  </r>
  <r>
    <x v="50"/>
    <x v="9"/>
    <x v="2711"/>
    <x v="1125"/>
    <n v="7694"/>
    <n v="-555"/>
    <n v="3"/>
    <x v="2340"/>
    <n v="490"/>
  </r>
  <r>
    <x v="50"/>
    <x v="10"/>
    <x v="2712"/>
    <x v="1126"/>
    <n v="8081"/>
    <n v="579"/>
    <n v="-76"/>
    <x v="2341"/>
    <n v="4020"/>
  </r>
  <r>
    <x v="50"/>
    <x v="11"/>
    <x v="2713"/>
    <x v="1127"/>
    <n v="7605"/>
    <n v="283"/>
    <n v="32"/>
    <x v="2342"/>
    <n v="-2177"/>
  </r>
  <r>
    <x v="50"/>
    <x v="12"/>
    <x v="2714"/>
    <x v="1128"/>
    <n v="7320"/>
    <n v="547"/>
    <n v="-121"/>
    <x v="2343"/>
    <n v="2829"/>
  </r>
  <r>
    <x v="50"/>
    <x v="13"/>
    <x v="2715"/>
    <x v="1129"/>
    <n v="6994"/>
    <n v="-1250"/>
    <n v="38"/>
    <x v="2344"/>
    <n v="-2772"/>
  </r>
  <r>
    <x v="50"/>
    <x v="14"/>
    <x v="2716"/>
    <x v="1130"/>
    <n v="16030"/>
    <n v="1827"/>
    <n v="125"/>
    <x v="2345"/>
    <n v="4162"/>
  </r>
  <r>
    <x v="50"/>
    <x v="15"/>
    <x v="2717"/>
    <x v="1131"/>
    <n v="14794"/>
    <n v="3528"/>
    <n v="71"/>
    <x v="2346"/>
    <n v="-4859"/>
  </r>
  <r>
    <x v="50"/>
    <x v="16"/>
    <x v="2718"/>
    <x v="1132"/>
    <n v="13098"/>
    <n v="-8"/>
    <n v="57"/>
    <x v="2347"/>
    <n v="25895"/>
  </r>
  <r>
    <x v="50"/>
    <x v="17"/>
    <x v="2719"/>
    <x v="384"/>
    <n v="7496"/>
    <n v="2212"/>
    <n v="9"/>
    <x v="2348"/>
    <n v="-1449"/>
  </r>
  <r>
    <x v="50"/>
    <x v="18"/>
    <x v="2720"/>
    <x v="134"/>
    <n v="7503"/>
    <n v="1530"/>
    <n v="-27"/>
    <x v="2349"/>
    <n v="-840"/>
  </r>
  <r>
    <x v="50"/>
    <x v="19"/>
    <x v="2721"/>
    <x v="1133"/>
    <n v="7537"/>
    <n v="699"/>
    <n v="40"/>
    <x v="2350"/>
    <n v="1204"/>
  </r>
  <r>
    <x v="50"/>
    <x v="20"/>
    <x v="2722"/>
    <x v="1134"/>
    <n v="7259"/>
    <n v="2115"/>
    <n v="-29"/>
    <x v="2351"/>
    <n v="-215"/>
  </r>
  <r>
    <x v="50"/>
    <x v="21"/>
    <x v="2723"/>
    <x v="1135"/>
    <n v="7061"/>
    <n v="2227"/>
    <n v="-131"/>
    <x v="2352"/>
    <n v="-146"/>
  </r>
  <r>
    <x v="50"/>
    <x v="22"/>
    <x v="2724"/>
    <x v="1136"/>
    <n v="6652"/>
    <n v="63"/>
    <n v="111"/>
    <x v="2353"/>
    <n v="-484"/>
  </r>
  <r>
    <x v="50"/>
    <x v="23"/>
    <x v="2725"/>
    <x v="1137"/>
    <n v="6783"/>
    <n v="2804"/>
    <n v="170"/>
    <x v="2354"/>
    <n v="-230"/>
  </r>
  <r>
    <x v="50"/>
    <x v="24"/>
    <x v="2726"/>
    <x v="1138"/>
    <n v="6432"/>
    <n v="3591"/>
    <n v="-32"/>
    <x v="2355"/>
    <n v="-832"/>
  </r>
  <r>
    <x v="50"/>
    <x v="25"/>
    <x v="2727"/>
    <x v="1139"/>
    <n v="6273"/>
    <n v="998"/>
    <n v="-77"/>
    <x v="2356"/>
    <n v="549"/>
  </r>
  <r>
    <x v="50"/>
    <x v="26"/>
    <x v="2728"/>
    <x v="1140"/>
    <n v="5834"/>
    <n v="2982"/>
    <n v="14"/>
    <x v="2357"/>
    <n v="-1257"/>
  </r>
  <r>
    <x v="50"/>
    <x v="27"/>
    <x v="2729"/>
    <x v="1141"/>
    <n v="5241"/>
    <n v="4738"/>
    <n v="15"/>
    <x v="2358"/>
    <n v="-1218"/>
  </r>
  <r>
    <x v="50"/>
    <x v="28"/>
    <x v="2730"/>
    <x v="1142"/>
    <n v="5360"/>
    <n v="2507"/>
    <n v="329"/>
    <x v="2359"/>
    <n v="-1089"/>
  </r>
  <r>
    <x v="50"/>
    <x v="29"/>
    <x v="2731"/>
    <x v="1143"/>
    <n v="4819"/>
    <n v="2358"/>
    <n v="-2371"/>
    <x v="2360"/>
    <n v="-8617"/>
  </r>
  <r>
    <x v="50"/>
    <x v="30"/>
    <x v="2732"/>
    <x v="1144"/>
    <n v="4791"/>
    <n v="372"/>
    <n v="-271"/>
    <x v="2361"/>
    <n v="-11863"/>
  </r>
  <r>
    <x v="50"/>
    <x v="31"/>
    <x v="2733"/>
    <x v="1145"/>
    <n v="4733"/>
    <n v="-304"/>
    <n v="519"/>
    <x v="2362"/>
    <n v="2807"/>
  </r>
  <r>
    <x v="50"/>
    <x v="32"/>
    <x v="2734"/>
    <x v="1146"/>
    <n v="4542"/>
    <n v="-138"/>
    <n v="17"/>
    <x v="2363"/>
    <n v="-1148"/>
  </r>
  <r>
    <x v="50"/>
    <x v="33"/>
    <x v="2735"/>
    <x v="33"/>
    <n v="4692"/>
    <s v="n.a."/>
    <s v="n.a."/>
    <x v="2364"/>
    <n v="-7876"/>
  </r>
  <r>
    <x v="50"/>
    <x v="34"/>
    <x v="2736"/>
    <x v="33"/>
    <n v="4663"/>
    <s v="n.a."/>
    <s v="n.a."/>
    <x v="2365"/>
    <n v="1463"/>
  </r>
  <r>
    <x v="50"/>
    <x v="35"/>
    <x v="2737"/>
    <x v="33"/>
    <n v="4189"/>
    <s v="n.a."/>
    <s v="n.a."/>
    <x v="2366"/>
    <n v="-1567"/>
  </r>
  <r>
    <x v="50"/>
    <x v="36"/>
    <x v="2738"/>
    <x v="33"/>
    <n v="3699"/>
    <s v="n.a."/>
    <s v="n.a."/>
    <x v="2367"/>
    <n v="3432"/>
  </r>
  <r>
    <x v="50"/>
    <x v="37"/>
    <x v="2739"/>
    <x v="33"/>
    <n v="3330"/>
    <s v="n.a."/>
    <s v="n.a."/>
    <x v="2368"/>
    <n v="1422"/>
  </r>
  <r>
    <x v="50"/>
    <x v="38"/>
    <x v="2740"/>
    <x v="33"/>
    <n v="3413"/>
    <s v="n.a."/>
    <s v="n.a."/>
    <x v="2369"/>
    <n v="4244"/>
  </r>
  <r>
    <x v="50"/>
    <x v="39"/>
    <x v="2741"/>
    <x v="33"/>
    <n v="3404"/>
    <s v="n.a."/>
    <s v="n.a."/>
    <x v="2370"/>
    <n v="4912"/>
  </r>
  <r>
    <x v="50"/>
    <x v="40"/>
    <x v="2742"/>
    <x v="33"/>
    <n v="2839"/>
    <s v="n.a."/>
    <s v="n.a."/>
    <x v="2371"/>
    <n v="-198"/>
  </r>
  <r>
    <x v="50"/>
    <x v="41"/>
    <x v="2743"/>
    <x v="33"/>
    <n v="2412"/>
    <s v="n.a."/>
    <s v="n.a."/>
    <x v="2372"/>
    <n v="-9752"/>
  </r>
  <r>
    <x v="50"/>
    <x v="42"/>
    <x v="2744"/>
    <x v="33"/>
    <n v="2096"/>
    <s v="n.a."/>
    <s v="n.a."/>
    <x v="2373"/>
    <n v="3800"/>
  </r>
  <r>
    <x v="50"/>
    <x v="43"/>
    <x v="2745"/>
    <x v="33"/>
    <n v="2554"/>
    <s v="n.a."/>
    <s v="n.a."/>
    <x v="2374"/>
    <n v="2824"/>
  </r>
  <r>
    <x v="50"/>
    <x v="44"/>
    <x v="2746"/>
    <x v="33"/>
    <n v="2756"/>
    <s v="n.a."/>
    <s v="n.a."/>
    <x v="2375"/>
    <n v="-2065"/>
  </r>
  <r>
    <x v="50"/>
    <x v="45"/>
    <x v="2747"/>
    <x v="33"/>
    <n v="3072"/>
    <s v="n.a."/>
    <s v="n.a."/>
    <x v="2376"/>
    <n v="1042"/>
  </r>
  <r>
    <x v="50"/>
    <x v="46"/>
    <x v="2748"/>
    <x v="33"/>
    <n v="3107"/>
    <s v="n.a."/>
    <s v="n.a."/>
    <x v="2377"/>
    <n v="6001"/>
  </r>
  <r>
    <x v="50"/>
    <x v="47"/>
    <x v="2749"/>
    <x v="33"/>
    <n v="2516"/>
    <s v="n.a."/>
    <s v="n.a."/>
    <x v="2378"/>
    <n v="4544"/>
  </r>
  <r>
    <x v="50"/>
    <x v="48"/>
    <x v="2750"/>
    <x v="33"/>
    <n v="2658"/>
    <s v="n.a."/>
    <s v="n.a."/>
    <x v="2379"/>
    <n v="5440"/>
  </r>
  <r>
    <x v="50"/>
    <x v="49"/>
    <x v="2751"/>
    <x v="33"/>
    <n v="2583"/>
    <s v="n.a."/>
    <s v="n.a."/>
    <x v="2380"/>
    <n v="-3026"/>
  </r>
  <r>
    <x v="50"/>
    <x v="50"/>
    <x v="2752"/>
    <x v="33"/>
    <n v="2743"/>
    <s v="n.a."/>
    <s v="n.a."/>
    <x v="2381"/>
    <n v="4405"/>
  </r>
  <r>
    <x v="50"/>
    <x v="51"/>
    <x v="2753"/>
    <x v="33"/>
    <n v="2310"/>
    <s v="n.a."/>
    <s v="n.a."/>
    <x v="2382"/>
    <n v="3153"/>
  </r>
  <r>
    <x v="50"/>
    <x v="52"/>
    <x v="2754"/>
    <x v="33"/>
    <n v="2436"/>
    <s v="n.a."/>
    <s v="n.a."/>
    <x v="2383"/>
    <n v="-914"/>
  </r>
  <r>
    <x v="50"/>
    <x v="53"/>
    <x v="2755"/>
    <x v="33"/>
    <n v="2361"/>
    <s v="n.a."/>
    <s v="n.a."/>
    <x v="2384"/>
    <n v="7137"/>
  </r>
  <r>
    <x v="50"/>
    <x v="54"/>
    <x v="2756"/>
    <x v="33"/>
    <n v="2357"/>
    <s v="n.a."/>
    <s v="n.a."/>
    <x v="2385"/>
    <n v="520"/>
  </r>
  <r>
    <x v="50"/>
    <x v="55"/>
    <x v="2757"/>
    <x v="33"/>
    <n v="3037"/>
    <s v="n.a."/>
    <s v="n.a."/>
    <x v="2386"/>
    <n v="-1178"/>
  </r>
  <r>
    <x v="50"/>
    <x v="56"/>
    <x v="2758"/>
    <x v="33"/>
    <n v="2868"/>
    <s v="n.a."/>
    <s v="n.a."/>
    <x v="2387"/>
    <n v="536"/>
  </r>
  <r>
    <x v="50"/>
    <x v="57"/>
    <x v="2759"/>
    <x v="33"/>
    <n v="2830"/>
    <s v="n.a."/>
    <s v="n.a."/>
    <x v="2388"/>
    <n v="1425"/>
  </r>
  <r>
    <x v="50"/>
    <x v="58"/>
    <x v="2760"/>
    <x v="33"/>
    <n v="2868"/>
    <s v="n.a."/>
    <s v="n.a."/>
    <x v="2389"/>
    <n v="-394"/>
  </r>
  <r>
    <x v="50"/>
    <x v="59"/>
    <x v="2761"/>
    <x v="33"/>
    <n v="2516"/>
    <s v="n.a."/>
    <s v="n.a."/>
    <x v="2390"/>
    <n v="199"/>
  </r>
  <r>
    <x v="50"/>
    <x v="60"/>
    <x v="2762"/>
    <x v="33"/>
    <n v="2759"/>
    <s v="n.a."/>
    <s v="n.a."/>
    <x v="2391"/>
    <n v="120"/>
  </r>
  <r>
    <x v="50"/>
    <x v="61"/>
    <x v="2763"/>
    <x v="33"/>
    <n v="2645"/>
    <s v="n.a."/>
    <s v="n.a."/>
    <x v="2392"/>
    <n v="-336"/>
  </r>
  <r>
    <x v="50"/>
    <x v="62"/>
    <x v="2764"/>
    <x v="33"/>
    <n v="3618"/>
    <s v="n.a."/>
    <s v="n.a."/>
    <x v="2393"/>
    <n v="-71"/>
  </r>
  <r>
    <x v="50"/>
    <x v="63"/>
    <x v="2765"/>
    <x v="33"/>
    <n v="3674"/>
    <s v="n.a."/>
    <s v="n.a."/>
    <x v="2394"/>
    <n v="-12"/>
  </r>
  <r>
    <x v="50"/>
    <x v="64"/>
    <x v="2766"/>
    <x v="33"/>
    <n v="4165"/>
    <s v="n.a."/>
    <s v="n.a."/>
    <x v="2395"/>
    <n v="82"/>
  </r>
  <r>
    <x v="50"/>
    <x v="65"/>
    <x v="2767"/>
    <x v="33"/>
    <n v="2845"/>
    <s v="n.a."/>
    <s v="n.a."/>
    <x v="2396"/>
    <n v="218"/>
  </r>
  <r>
    <x v="50"/>
    <x v="66"/>
    <x v="2768"/>
    <x v="33"/>
    <n v="2801"/>
    <s v="n.a."/>
    <s v="n.a."/>
    <x v="2397"/>
    <n v="219"/>
  </r>
  <r>
    <x v="50"/>
    <x v="67"/>
    <x v="2769"/>
    <x v="33"/>
    <n v="3648"/>
    <s v="n.a."/>
    <s v="n.a."/>
    <x v="2398"/>
    <n v="198"/>
  </r>
  <r>
    <x v="50"/>
    <x v="68"/>
    <x v="2770"/>
    <x v="33"/>
    <n v="2843"/>
    <s v="n.a."/>
    <s v="n.a."/>
    <x v="2399"/>
    <n v="12"/>
  </r>
  <r>
    <x v="50"/>
    <x v="69"/>
    <x v="2771"/>
    <x v="33"/>
    <n v="2726"/>
    <s v="n.a."/>
    <s v="n.a."/>
    <x v="2400"/>
    <n v="-540"/>
  </r>
  <r>
    <x v="51"/>
    <x v="0"/>
    <x v="2772"/>
    <x v="1147"/>
    <n v="59324"/>
    <n v="141"/>
    <n v="206"/>
    <x v="2401"/>
    <n v="2102"/>
  </r>
  <r>
    <x v="51"/>
    <x v="1"/>
    <x v="2773"/>
    <x v="1148"/>
    <n v="59010"/>
    <n v="1530"/>
    <n v="151"/>
    <x v="2402"/>
    <n v="1915"/>
  </r>
  <r>
    <x v="51"/>
    <x v="2"/>
    <x v="2774"/>
    <x v="1149"/>
    <n v="56285"/>
    <n v="1032"/>
    <n v="322"/>
    <x v="2403"/>
    <n v="32"/>
  </r>
  <r>
    <x v="51"/>
    <x v="3"/>
    <x v="2775"/>
    <x v="1150"/>
    <n v="54463"/>
    <n v="2106"/>
    <n v="-326"/>
    <x v="2404"/>
    <n v="-295"/>
  </r>
  <r>
    <x v="51"/>
    <x v="4"/>
    <x v="2776"/>
    <x v="1151"/>
    <n v="52908"/>
    <n v="677"/>
    <n v="441"/>
    <x v="2405"/>
    <n v="535"/>
  </r>
  <r>
    <x v="51"/>
    <x v="5"/>
    <x v="2777"/>
    <x v="1152"/>
    <n v="51576"/>
    <n v="-233"/>
    <n v="-633"/>
    <x v="2406"/>
    <n v="-2356"/>
  </r>
  <r>
    <x v="51"/>
    <x v="6"/>
    <x v="2778"/>
    <x v="1153"/>
    <n v="52680"/>
    <n v="-381"/>
    <n v="306"/>
    <x v="2407"/>
    <n v="2115"/>
  </r>
  <r>
    <x v="51"/>
    <x v="7"/>
    <x v="2779"/>
    <x v="1154"/>
    <n v="52895"/>
    <n v="1193"/>
    <n v="-41"/>
    <x v="2408"/>
    <n v="2902"/>
  </r>
  <r>
    <x v="51"/>
    <x v="8"/>
    <x v="2780"/>
    <x v="1155"/>
    <n v="52576"/>
    <n v="2235"/>
    <n v="789"/>
    <x v="2409"/>
    <n v="108"/>
  </r>
  <r>
    <x v="51"/>
    <x v="9"/>
    <x v="2781"/>
    <x v="1156"/>
    <n v="49175"/>
    <n v="-219"/>
    <n v="31"/>
    <x v="2410"/>
    <n v="-978"/>
  </r>
  <r>
    <x v="51"/>
    <x v="10"/>
    <x v="2782"/>
    <x v="1157"/>
    <n v="49457"/>
    <n v="-1536"/>
    <n v="-529"/>
    <x v="2411"/>
    <n v="-93"/>
  </r>
  <r>
    <x v="51"/>
    <x v="11"/>
    <x v="2783"/>
    <x v="1158"/>
    <n v="50830"/>
    <n v="-27"/>
    <n v="-488"/>
    <x v="2412"/>
    <n v="1198"/>
  </r>
  <r>
    <x v="51"/>
    <x v="12"/>
    <x v="2784"/>
    <x v="1159"/>
    <n v="51355"/>
    <n v="-419"/>
    <n v="-507"/>
    <x v="2413"/>
    <n v="-612"/>
  </r>
  <r>
    <x v="51"/>
    <x v="13"/>
    <x v="2785"/>
    <x v="1160"/>
    <n v="52134"/>
    <n v="210"/>
    <n v="976"/>
    <x v="2414"/>
    <n v="-917"/>
  </r>
  <r>
    <x v="51"/>
    <x v="14"/>
    <x v="2786"/>
    <x v="754"/>
    <n v="50835"/>
    <n v="862"/>
    <n v="583"/>
    <x v="2415"/>
    <n v="-777"/>
  </r>
  <r>
    <x v="51"/>
    <x v="15"/>
    <x v="2787"/>
    <x v="1161"/>
    <n v="49115"/>
    <n v="723"/>
    <n v="309"/>
    <x v="2416"/>
    <n v="1053"/>
  </r>
  <r>
    <x v="51"/>
    <x v="16"/>
    <x v="2788"/>
    <x v="1162"/>
    <n v="48226"/>
    <n v="248"/>
    <n v="204"/>
    <x v="2417"/>
    <n v="1020"/>
  </r>
  <r>
    <x v="51"/>
    <x v="17"/>
    <x v="2789"/>
    <x v="1163"/>
    <n v="47841"/>
    <n v="157"/>
    <n v="158"/>
    <x v="2418"/>
    <n v="-12"/>
  </r>
  <r>
    <x v="51"/>
    <x v="18"/>
    <x v="2790"/>
    <x v="1164"/>
    <n v="47091"/>
    <n v="-1548"/>
    <n v="-1310"/>
    <x v="2419"/>
    <n v="73"/>
  </r>
  <r>
    <x v="51"/>
    <x v="19"/>
    <x v="2791"/>
    <x v="1165"/>
    <n v="50613"/>
    <n v="2967"/>
    <n v="623"/>
    <x v="2420"/>
    <n v="-113"/>
  </r>
  <r>
    <x v="51"/>
    <x v="20"/>
    <x v="2792"/>
    <x v="971"/>
    <n v="47225"/>
    <n v="-826"/>
    <n v="-212"/>
    <x v="2421"/>
    <n v="1125"/>
  </r>
  <r>
    <x v="51"/>
    <x v="21"/>
    <x v="2793"/>
    <x v="1166"/>
    <n v="48041"/>
    <n v="-1550"/>
    <n v="318"/>
    <x v="2422"/>
    <n v="-2267"/>
  </r>
  <r>
    <x v="51"/>
    <x v="22"/>
    <x v="2794"/>
    <x v="1167"/>
    <n v="49628"/>
    <n v="1790"/>
    <n v="893"/>
    <x v="2423"/>
    <n v="-3024"/>
  </r>
  <r>
    <x v="51"/>
    <x v="23"/>
    <x v="2795"/>
    <x v="1168"/>
    <n v="45194"/>
    <n v="1874"/>
    <n v="814"/>
    <x v="2424"/>
    <n v="-2652"/>
  </r>
  <r>
    <x v="51"/>
    <x v="24"/>
    <x v="2796"/>
    <x v="1169"/>
    <n v="42485"/>
    <n v="-1491"/>
    <n v="-186"/>
    <x v="2425"/>
    <n v="2125"/>
  </r>
  <r>
    <x v="51"/>
    <x v="25"/>
    <x v="2797"/>
    <x v="1170"/>
    <n v="44132"/>
    <n v="678"/>
    <n v="-855"/>
    <x v="2426"/>
    <n v="1456"/>
  </r>
  <r>
    <x v="51"/>
    <x v="26"/>
    <x v="2798"/>
    <x v="471"/>
    <n v="44737"/>
    <n v="569"/>
    <n v="80"/>
    <x v="2427"/>
    <n v="333"/>
  </r>
  <r>
    <x v="51"/>
    <x v="27"/>
    <x v="2799"/>
    <x v="1171"/>
    <n v="44247"/>
    <n v="2246"/>
    <n v="-367"/>
    <x v="2428"/>
    <n v="815"/>
  </r>
  <r>
    <x v="51"/>
    <x v="28"/>
    <x v="2800"/>
    <x v="1172"/>
    <n v="42607"/>
    <n v="45"/>
    <n v="-194"/>
    <x v="2429"/>
    <n v="11346"/>
  </r>
  <r>
    <x v="51"/>
    <x v="29"/>
    <x v="2801"/>
    <x v="1173"/>
    <n v="42431"/>
    <n v="329"/>
    <n v="-449"/>
    <x v="2430"/>
    <n v="-2050"/>
  </r>
  <r>
    <x v="51"/>
    <x v="30"/>
    <x v="2802"/>
    <x v="1174"/>
    <n v="42445"/>
    <n v="495"/>
    <n v="223"/>
    <x v="2431"/>
    <n v="-4903"/>
  </r>
  <r>
    <x v="51"/>
    <x v="31"/>
    <x v="2803"/>
    <x v="1175"/>
    <n v="41587"/>
    <n v="356"/>
    <n v="956"/>
    <x v="2432"/>
    <n v="1114"/>
  </r>
  <r>
    <x v="51"/>
    <x v="32"/>
    <x v="2804"/>
    <x v="1176"/>
    <n v="41398"/>
    <n v="-390"/>
    <n v="-549"/>
    <x v="2433"/>
    <n v="1198"/>
  </r>
  <r>
    <x v="51"/>
    <x v="33"/>
    <x v="2805"/>
    <x v="33"/>
    <n v="42215"/>
    <s v="n.a."/>
    <s v="n.a."/>
    <x v="2434"/>
    <n v="-5164"/>
  </r>
  <r>
    <x v="51"/>
    <x v="34"/>
    <x v="2806"/>
    <x v="33"/>
    <n v="41162"/>
    <s v="n.a."/>
    <s v="n.a."/>
    <x v="2435"/>
    <n v="-2749"/>
  </r>
  <r>
    <x v="51"/>
    <x v="35"/>
    <x v="2807"/>
    <x v="33"/>
    <n v="40506"/>
    <s v="n.a."/>
    <s v="n.a."/>
    <x v="2436"/>
    <n v="-2457"/>
  </r>
  <r>
    <x v="51"/>
    <x v="36"/>
    <x v="2808"/>
    <x v="33"/>
    <n v="38040"/>
    <s v="n.a."/>
    <s v="n.a."/>
    <x v="2437"/>
    <n v="2272"/>
  </r>
  <r>
    <x v="51"/>
    <x v="37"/>
    <x v="2809"/>
    <x v="33"/>
    <n v="39274"/>
    <s v="n.a."/>
    <s v="n.a."/>
    <x v="2438"/>
    <n v="2791"/>
  </r>
  <r>
    <x v="51"/>
    <x v="38"/>
    <x v="2810"/>
    <x v="33"/>
    <n v="42176"/>
    <s v="n.a."/>
    <s v="n.a."/>
    <x v="2439"/>
    <n v="-210"/>
  </r>
  <r>
    <x v="51"/>
    <x v="39"/>
    <x v="2811"/>
    <x v="33"/>
    <n v="41591"/>
    <s v="n.a."/>
    <s v="n.a."/>
    <x v="2440"/>
    <n v="2563"/>
  </r>
  <r>
    <x v="51"/>
    <x v="40"/>
    <x v="2812"/>
    <x v="33"/>
    <n v="41333"/>
    <s v="n.a."/>
    <s v="n.a."/>
    <x v="2441"/>
    <n v="1287"/>
  </r>
  <r>
    <x v="51"/>
    <x v="41"/>
    <x v="2813"/>
    <x v="33"/>
    <n v="40534"/>
    <s v="n.a."/>
    <s v="n.a."/>
    <x v="2442"/>
    <n v="245"/>
  </r>
  <r>
    <x v="51"/>
    <x v="42"/>
    <x v="2814"/>
    <x v="33"/>
    <n v="38550"/>
    <s v="n.a."/>
    <s v="n.a."/>
    <x v="2443"/>
    <n v="1133"/>
  </r>
  <r>
    <x v="51"/>
    <x v="43"/>
    <x v="2815"/>
    <x v="33"/>
    <n v="37433"/>
    <s v="n.a."/>
    <s v="n.a."/>
    <x v="2444"/>
    <n v="2626"/>
  </r>
  <r>
    <x v="51"/>
    <x v="44"/>
    <x v="2816"/>
    <x v="33"/>
    <n v="38283"/>
    <s v="n.a."/>
    <s v="n.a."/>
    <x v="2445"/>
    <n v="1736"/>
  </r>
  <r>
    <x v="51"/>
    <x v="45"/>
    <x v="2817"/>
    <x v="33"/>
    <n v="38523"/>
    <s v="n.a."/>
    <s v="n.a."/>
    <x v="2446"/>
    <n v="-2462"/>
  </r>
  <r>
    <x v="51"/>
    <x v="46"/>
    <x v="2818"/>
    <x v="33"/>
    <n v="38635"/>
    <s v="n.a."/>
    <s v="n.a."/>
    <x v="2447"/>
    <n v="-1537"/>
  </r>
  <r>
    <x v="51"/>
    <x v="47"/>
    <x v="2819"/>
    <x v="33"/>
    <n v="38044"/>
    <s v="n.a."/>
    <s v="n.a."/>
    <x v="2448"/>
    <n v="1214"/>
  </r>
  <r>
    <x v="51"/>
    <x v="48"/>
    <x v="2820"/>
    <x v="33"/>
    <n v="36989"/>
    <s v="n.a."/>
    <s v="n.a."/>
    <x v="2449"/>
    <n v="-586"/>
  </r>
  <r>
    <x v="51"/>
    <x v="49"/>
    <x v="2821"/>
    <x v="33"/>
    <n v="37750"/>
    <s v="n.a."/>
    <s v="n.a."/>
    <x v="2450"/>
    <n v="1218"/>
  </r>
  <r>
    <x v="51"/>
    <x v="50"/>
    <x v="2822"/>
    <x v="33"/>
    <n v="36895"/>
    <s v="n.a."/>
    <s v="n.a."/>
    <x v="2451"/>
    <n v="1302"/>
  </r>
  <r>
    <x v="51"/>
    <x v="51"/>
    <x v="2823"/>
    <x v="33"/>
    <n v="36130"/>
    <s v="n.a."/>
    <s v="n.a."/>
    <x v="2452"/>
    <n v="-616"/>
  </r>
  <r>
    <x v="51"/>
    <x v="52"/>
    <x v="2824"/>
    <x v="33"/>
    <n v="35380"/>
    <s v="n.a."/>
    <s v="n.a."/>
    <x v="2453"/>
    <n v="747"/>
  </r>
  <r>
    <x v="51"/>
    <x v="53"/>
    <x v="2825"/>
    <x v="33"/>
    <n v="34373"/>
    <s v="n.a."/>
    <s v="n.a."/>
    <x v="2454"/>
    <n v="-1195"/>
  </r>
  <r>
    <x v="51"/>
    <x v="54"/>
    <x v="2826"/>
    <x v="33"/>
    <n v="34070"/>
    <s v="n.a."/>
    <s v="n.a."/>
    <x v="2455"/>
    <n v="30"/>
  </r>
  <r>
    <x v="51"/>
    <x v="55"/>
    <x v="2827"/>
    <x v="33"/>
    <n v="33238"/>
    <s v="n.a."/>
    <s v="n.a."/>
    <x v="2456"/>
    <n v="-1286"/>
  </r>
  <r>
    <x v="51"/>
    <x v="56"/>
    <x v="2828"/>
    <x v="33"/>
    <n v="32783"/>
    <s v="n.a."/>
    <s v="n.a."/>
    <x v="2457"/>
    <n v="-7"/>
  </r>
  <r>
    <x v="51"/>
    <x v="57"/>
    <x v="2829"/>
    <x v="33"/>
    <n v="33828"/>
    <s v="n.a."/>
    <s v="n.a."/>
    <x v="2458"/>
    <n v="-3507"/>
  </r>
  <r>
    <x v="51"/>
    <x v="58"/>
    <x v="2830"/>
    <x v="33"/>
    <n v="34752"/>
    <s v="n.a."/>
    <s v="n.a."/>
    <x v="2459"/>
    <n v="-1086"/>
  </r>
  <r>
    <x v="51"/>
    <x v="59"/>
    <x v="2831"/>
    <x v="33"/>
    <n v="35119"/>
    <s v="n.a."/>
    <s v="n.a."/>
    <x v="2460"/>
    <n v="827"/>
  </r>
  <r>
    <x v="51"/>
    <x v="60"/>
    <x v="2832"/>
    <x v="33"/>
    <n v="35787"/>
    <s v="n.a."/>
    <s v="n.a."/>
    <x v="2461"/>
    <n v="-1336"/>
  </r>
  <r>
    <x v="51"/>
    <x v="61"/>
    <x v="2833"/>
    <x v="33"/>
    <n v="36702"/>
    <s v="n.a."/>
    <s v="n.a."/>
    <x v="2462"/>
    <n v="3540"/>
  </r>
  <r>
    <x v="51"/>
    <x v="62"/>
    <x v="2834"/>
    <x v="33"/>
    <n v="38298"/>
    <s v="n.a."/>
    <s v="n.a."/>
    <x v="2463"/>
    <n v="4221"/>
  </r>
  <r>
    <x v="51"/>
    <x v="63"/>
    <x v="2835"/>
    <x v="33"/>
    <n v="39379"/>
    <s v="n.a."/>
    <s v="n.a."/>
    <x v="2464"/>
    <n v="10"/>
  </r>
  <r>
    <x v="51"/>
    <x v="64"/>
    <x v="2836"/>
    <x v="33"/>
    <n v="39201"/>
    <s v="n.a."/>
    <s v="n.a."/>
    <x v="2465"/>
    <n v="3271"/>
  </r>
  <r>
    <x v="51"/>
    <x v="65"/>
    <x v="2837"/>
    <x v="33"/>
    <n v="35459"/>
    <s v="n.a."/>
    <s v="n.a."/>
    <x v="2466"/>
    <n v="707"/>
  </r>
  <r>
    <x v="51"/>
    <x v="66"/>
    <x v="2838"/>
    <x v="33"/>
    <n v="37519"/>
    <s v="n.a."/>
    <s v="n.a."/>
    <x v="2467"/>
    <n v="2869"/>
  </r>
  <r>
    <x v="51"/>
    <x v="67"/>
    <x v="2839"/>
    <x v="33"/>
    <n v="39404"/>
    <s v="n.a."/>
    <s v="n.a."/>
    <x v="2468"/>
    <n v="2829"/>
  </r>
  <r>
    <x v="51"/>
    <x v="68"/>
    <x v="2840"/>
    <x v="33"/>
    <n v="43884"/>
    <s v="n.a."/>
    <s v="n.a."/>
    <x v="2469"/>
    <n v="640"/>
  </r>
  <r>
    <x v="51"/>
    <x v="69"/>
    <x v="2841"/>
    <x v="33"/>
    <n v="43470"/>
    <s v="n.a."/>
    <s v="n.a."/>
    <x v="2470"/>
    <n v="-560"/>
  </r>
  <r>
    <x v="52"/>
    <x v="0"/>
    <x v="2842"/>
    <x v="1177"/>
    <n v="60246"/>
    <n v="2054"/>
    <n v="-4"/>
    <x v="2471"/>
    <n v="-741"/>
  </r>
  <r>
    <x v="52"/>
    <x v="1"/>
    <x v="2843"/>
    <x v="1178"/>
    <n v="58255"/>
    <n v="5195"/>
    <n v="-72"/>
    <x v="2472"/>
    <n v="-585"/>
  </r>
  <r>
    <x v="52"/>
    <x v="2"/>
    <x v="2844"/>
    <x v="1179"/>
    <n v="54497"/>
    <n v="71"/>
    <n v="214"/>
    <x v="2473"/>
    <n v="1544"/>
  </r>
  <r>
    <x v="52"/>
    <x v="3"/>
    <x v="2845"/>
    <x v="1087"/>
    <n v="55785"/>
    <n v="344"/>
    <n v="-334"/>
    <x v="2474"/>
    <n v="-708"/>
  </r>
  <r>
    <x v="52"/>
    <x v="4"/>
    <x v="2846"/>
    <x v="1180"/>
    <n v="55998"/>
    <n v="1014"/>
    <n v="348"/>
    <x v="2475"/>
    <n v="183"/>
  </r>
  <r>
    <x v="52"/>
    <x v="5"/>
    <x v="2847"/>
    <x v="1181"/>
    <n v="55162"/>
    <n v="1908"/>
    <n v="-1751"/>
    <x v="2476"/>
    <n v="-233"/>
  </r>
  <r>
    <x v="52"/>
    <x v="6"/>
    <x v="2848"/>
    <x v="1182"/>
    <n v="56380"/>
    <n v="1457"/>
    <n v="250"/>
    <x v="2477"/>
    <n v="1190"/>
  </r>
  <r>
    <x v="52"/>
    <x v="7"/>
    <x v="2849"/>
    <x v="1183"/>
    <n v="55216"/>
    <n v="2745"/>
    <n v="83"/>
    <x v="2478"/>
    <n v="-80972"/>
  </r>
  <r>
    <x v="52"/>
    <x v="8"/>
    <x v="2850"/>
    <x v="1184"/>
    <n v="52586"/>
    <n v="2512"/>
    <n v="539"/>
    <x v="2479"/>
    <n v="22166"/>
  </r>
  <r>
    <x v="52"/>
    <x v="9"/>
    <x v="2851"/>
    <x v="1185"/>
    <n v="51135"/>
    <n v="1811"/>
    <n v="459"/>
    <x v="2480"/>
    <n v="2836"/>
  </r>
  <r>
    <x v="52"/>
    <x v="10"/>
    <x v="2852"/>
    <x v="1186"/>
    <n v="49887"/>
    <n v="-1022"/>
    <n v="-646"/>
    <x v="2481"/>
    <n v="5805"/>
  </r>
  <r>
    <x v="52"/>
    <x v="11"/>
    <x v="2853"/>
    <x v="1187"/>
    <n v="50119"/>
    <n v="1012"/>
    <n v="234"/>
    <x v="2482"/>
    <n v="-685"/>
  </r>
  <r>
    <x v="52"/>
    <x v="12"/>
    <x v="2854"/>
    <x v="1188"/>
    <n v="48850"/>
    <n v="-2"/>
    <n v="-658"/>
    <x v="2483"/>
    <n v="2233"/>
  </r>
  <r>
    <x v="52"/>
    <x v="13"/>
    <x v="2855"/>
    <x v="1091"/>
    <n v="49368"/>
    <n v="2645"/>
    <n v="213"/>
    <x v="1117"/>
    <n v="-2604"/>
  </r>
  <r>
    <x v="52"/>
    <x v="14"/>
    <x v="2856"/>
    <x v="1189"/>
    <n v="39751"/>
    <n v="-62"/>
    <n v="183"/>
    <x v="2484"/>
    <n v="4019"/>
  </r>
  <r>
    <x v="52"/>
    <x v="15"/>
    <x v="2857"/>
    <x v="1190"/>
    <n v="39857"/>
    <n v="1660"/>
    <n v="342"/>
    <x v="2485"/>
    <n v="-3795"/>
  </r>
  <r>
    <x v="52"/>
    <x v="16"/>
    <x v="2858"/>
    <x v="1191"/>
    <n v="38418"/>
    <n v="525"/>
    <n v="152"/>
    <x v="2486"/>
    <n v="49506"/>
  </r>
  <r>
    <x v="52"/>
    <x v="17"/>
    <x v="2859"/>
    <x v="1192"/>
    <n v="38132"/>
    <n v="-1710"/>
    <n v="283"/>
    <x v="2487"/>
    <n v="32"/>
  </r>
  <r>
    <x v="52"/>
    <x v="18"/>
    <x v="2860"/>
    <x v="1193"/>
    <n v="39593"/>
    <n v="1848"/>
    <n v="-451"/>
    <x v="2488"/>
    <n v="1015"/>
  </r>
  <r>
    <x v="52"/>
    <x v="19"/>
    <x v="2861"/>
    <x v="1194"/>
    <n v="38101"/>
    <n v="119"/>
    <n v="522"/>
    <x v="2489"/>
    <n v="246"/>
  </r>
  <r>
    <x v="52"/>
    <x v="20"/>
    <x v="2862"/>
    <x v="227"/>
    <n v="37956"/>
    <n v="-1095"/>
    <n v="-264"/>
    <x v="2490"/>
    <n v="2064"/>
  </r>
  <r>
    <x v="52"/>
    <x v="21"/>
    <x v="2863"/>
    <x v="1195"/>
    <n v="39674"/>
    <n v="11"/>
    <n v="-171"/>
    <x v="2491"/>
    <n v="-2265"/>
  </r>
  <r>
    <x v="52"/>
    <x v="22"/>
    <x v="2864"/>
    <x v="1196"/>
    <n v="38734"/>
    <n v="194"/>
    <n v="602"/>
    <x v="2492"/>
    <n v="-1564"/>
  </r>
  <r>
    <x v="52"/>
    <x v="23"/>
    <x v="2865"/>
    <x v="1197"/>
    <n v="38026"/>
    <n v="897"/>
    <n v="584"/>
    <x v="2493"/>
    <n v="-327"/>
  </r>
  <r>
    <x v="52"/>
    <x v="24"/>
    <x v="2866"/>
    <x v="1198"/>
    <n v="37089"/>
    <n v="716"/>
    <n v="-95"/>
    <x v="2494"/>
    <n v="745"/>
  </r>
  <r>
    <x v="52"/>
    <x v="25"/>
    <x v="2867"/>
    <x v="922"/>
    <n v="36539"/>
    <n v="2463"/>
    <n v="-186"/>
    <x v="2495"/>
    <n v="-1168"/>
  </r>
  <r>
    <x v="52"/>
    <x v="26"/>
    <x v="2868"/>
    <x v="766"/>
    <n v="34827"/>
    <n v="-35"/>
    <n v="249"/>
    <x v="2496"/>
    <n v="340"/>
  </r>
  <r>
    <x v="52"/>
    <x v="27"/>
    <x v="2869"/>
    <x v="1199"/>
    <n v="34536"/>
    <n v="-1083"/>
    <n v="384"/>
    <x v="2497"/>
    <n v="311"/>
  </r>
  <r>
    <x v="52"/>
    <x v="28"/>
    <x v="2870"/>
    <x v="1200"/>
    <n v="35105"/>
    <n v="1042"/>
    <n v="-2"/>
    <x v="2498"/>
    <n v="416"/>
  </r>
  <r>
    <x v="52"/>
    <x v="29"/>
    <x v="2871"/>
    <x v="1201"/>
    <n v="33902"/>
    <n v="208"/>
    <n v="-388"/>
    <x v="2499"/>
    <n v="-488"/>
  </r>
  <r>
    <x v="52"/>
    <x v="30"/>
    <x v="2872"/>
    <x v="1202"/>
    <n v="34746"/>
    <n v="203"/>
    <n v="49"/>
    <x v="2500"/>
    <n v="199"/>
  </r>
  <r>
    <x v="52"/>
    <x v="31"/>
    <x v="2873"/>
    <x v="1203"/>
    <n v="34194"/>
    <n v="1382"/>
    <n v="418"/>
    <x v="384"/>
    <n v="4713"/>
  </r>
  <r>
    <x v="52"/>
    <x v="32"/>
    <x v="2874"/>
    <x v="1204"/>
    <n v="32689"/>
    <n v="2595"/>
    <n v="-50"/>
    <x v="2501"/>
    <n v="2497"/>
  </r>
  <r>
    <x v="52"/>
    <x v="33"/>
    <x v="2875"/>
    <x v="33"/>
    <n v="30266"/>
    <s v="n.a."/>
    <s v="n.a."/>
    <x v="2502"/>
    <n v="-628"/>
  </r>
  <r>
    <x v="52"/>
    <x v="34"/>
    <x v="2876"/>
    <x v="33"/>
    <n v="32882"/>
    <s v="n.a."/>
    <s v="n.a."/>
    <x v="2503"/>
    <n v="-1147"/>
  </r>
  <r>
    <x v="52"/>
    <x v="35"/>
    <x v="2877"/>
    <x v="33"/>
    <n v="33955"/>
    <s v="n.a."/>
    <s v="n.a."/>
    <x v="2504"/>
    <n v="243"/>
  </r>
  <r>
    <x v="52"/>
    <x v="36"/>
    <x v="2878"/>
    <x v="33"/>
    <n v="34372"/>
    <s v="n.a."/>
    <s v="n.a."/>
    <x v="2505"/>
    <n v="2623"/>
  </r>
  <r>
    <x v="52"/>
    <x v="37"/>
    <x v="2879"/>
    <x v="33"/>
    <n v="34284"/>
    <s v="n.a."/>
    <s v="n.a."/>
    <x v="2506"/>
    <n v="2720"/>
  </r>
  <r>
    <x v="52"/>
    <x v="38"/>
    <x v="2880"/>
    <x v="33"/>
    <n v="33602"/>
    <s v="n.a."/>
    <s v="n.a."/>
    <x v="2507"/>
    <n v="1725"/>
  </r>
  <r>
    <x v="52"/>
    <x v="39"/>
    <x v="2881"/>
    <x v="33"/>
    <n v="34574"/>
    <s v="n.a."/>
    <s v="n.a."/>
    <x v="2508"/>
    <n v="1270"/>
  </r>
  <r>
    <x v="52"/>
    <x v="40"/>
    <x v="2882"/>
    <x v="33"/>
    <n v="33527"/>
    <s v="n.a."/>
    <s v="n.a."/>
    <x v="2509"/>
    <n v="881"/>
  </r>
  <r>
    <x v="52"/>
    <x v="41"/>
    <x v="2883"/>
    <x v="33"/>
    <n v="31588"/>
    <s v="n.a."/>
    <s v="n.a."/>
    <x v="2510"/>
    <n v="-728"/>
  </r>
  <r>
    <x v="52"/>
    <x v="42"/>
    <x v="2884"/>
    <x v="33"/>
    <n v="31138"/>
    <s v="n.a."/>
    <s v="n.a."/>
    <x v="2511"/>
    <n v="231"/>
  </r>
  <r>
    <x v="52"/>
    <x v="43"/>
    <x v="2885"/>
    <x v="33"/>
    <n v="27816"/>
    <s v="n.a."/>
    <s v="n.a."/>
    <x v="2512"/>
    <n v="1129"/>
  </r>
  <r>
    <x v="52"/>
    <x v="44"/>
    <x v="2886"/>
    <x v="33"/>
    <n v="30631"/>
    <s v="n.a."/>
    <s v="n.a."/>
    <x v="2513"/>
    <n v="283"/>
  </r>
  <r>
    <x v="52"/>
    <x v="45"/>
    <x v="2887"/>
    <x v="33"/>
    <n v="31500"/>
    <s v="n.a."/>
    <s v="n.a."/>
    <x v="2514"/>
    <n v="1166"/>
  </r>
  <r>
    <x v="52"/>
    <x v="46"/>
    <x v="2888"/>
    <x v="33"/>
    <n v="31703"/>
    <s v="n.a."/>
    <s v="n.a."/>
    <x v="2515"/>
    <n v="-127"/>
  </r>
  <r>
    <x v="52"/>
    <x v="47"/>
    <x v="2889"/>
    <x v="33"/>
    <n v="31963"/>
    <s v="n.a."/>
    <s v="n.a."/>
    <x v="2516"/>
    <n v="53"/>
  </r>
  <r>
    <x v="52"/>
    <x v="48"/>
    <x v="2890"/>
    <x v="33"/>
    <n v="32523"/>
    <s v="n.a."/>
    <s v="n.a."/>
    <x v="2517"/>
    <n v="433"/>
  </r>
  <r>
    <x v="52"/>
    <x v="49"/>
    <x v="2891"/>
    <x v="33"/>
    <n v="32077"/>
    <s v="n.a."/>
    <s v="n.a."/>
    <x v="2518"/>
    <n v="-126"/>
  </r>
  <r>
    <x v="52"/>
    <x v="50"/>
    <x v="2892"/>
    <x v="33"/>
    <n v="32156"/>
    <s v="n.a."/>
    <s v="n.a."/>
    <x v="2519"/>
    <n v="-267"/>
  </r>
  <r>
    <x v="52"/>
    <x v="51"/>
    <x v="2893"/>
    <x v="33"/>
    <n v="31970"/>
    <s v="n.a."/>
    <s v="n.a."/>
    <x v="1182"/>
    <n v="-374"/>
  </r>
  <r>
    <x v="52"/>
    <x v="52"/>
    <x v="1904"/>
    <x v="33"/>
    <n v="30591"/>
    <s v="n.a."/>
    <s v="n.a."/>
    <x v="2520"/>
    <n v="422"/>
  </r>
  <r>
    <x v="52"/>
    <x v="53"/>
    <x v="2894"/>
    <x v="33"/>
    <n v="30780"/>
    <s v="n.a."/>
    <s v="n.a."/>
    <x v="1726"/>
    <n v="199"/>
  </r>
  <r>
    <x v="52"/>
    <x v="54"/>
    <x v="2895"/>
    <x v="33"/>
    <n v="29771"/>
    <s v="n.a."/>
    <s v="n.a."/>
    <x v="2521"/>
    <n v="-570"/>
  </r>
  <r>
    <x v="52"/>
    <x v="55"/>
    <x v="2896"/>
    <x v="33"/>
    <n v="30035"/>
    <s v="n.a."/>
    <s v="n.a."/>
    <x v="2522"/>
    <n v="-153"/>
  </r>
  <r>
    <x v="52"/>
    <x v="56"/>
    <x v="2897"/>
    <x v="33"/>
    <n v="29755"/>
    <s v="n.a."/>
    <s v="n.a."/>
    <x v="2523"/>
    <n v="609"/>
  </r>
  <r>
    <x v="52"/>
    <x v="57"/>
    <x v="2898"/>
    <x v="33"/>
    <n v="29447"/>
    <s v="n.a."/>
    <s v="n.a."/>
    <x v="2524"/>
    <n v="-572"/>
  </r>
  <r>
    <x v="52"/>
    <x v="58"/>
    <x v="2899"/>
    <x v="33"/>
    <n v="29325"/>
    <s v="n.a."/>
    <s v="n.a."/>
    <x v="2525"/>
    <n v="-559"/>
  </r>
  <r>
    <x v="52"/>
    <x v="59"/>
    <x v="2900"/>
    <x v="33"/>
    <n v="29333"/>
    <s v="n.a."/>
    <s v="n.a."/>
    <x v="2526"/>
    <n v="-745"/>
  </r>
  <r>
    <x v="52"/>
    <x v="60"/>
    <x v="2901"/>
    <x v="33"/>
    <n v="30298"/>
    <s v="n.a."/>
    <s v="n.a."/>
    <x v="2527"/>
    <n v="182"/>
  </r>
  <r>
    <x v="52"/>
    <x v="61"/>
    <x v="2902"/>
    <x v="33"/>
    <n v="30741"/>
    <s v="n.a."/>
    <s v="n.a."/>
    <x v="2528"/>
    <n v="-497"/>
  </r>
  <r>
    <x v="52"/>
    <x v="62"/>
    <x v="2903"/>
    <x v="33"/>
    <n v="31287"/>
    <s v="n.a."/>
    <s v="n.a."/>
    <x v="2529"/>
    <n v="-139"/>
  </r>
  <r>
    <x v="52"/>
    <x v="63"/>
    <x v="2904"/>
    <x v="33"/>
    <n v="30767"/>
    <s v="n.a."/>
    <s v="n.a."/>
    <x v="2530"/>
    <n v="-104"/>
  </r>
  <r>
    <x v="52"/>
    <x v="64"/>
    <x v="2905"/>
    <x v="33"/>
    <n v="30680"/>
    <s v="n.a."/>
    <s v="n.a."/>
    <x v="2531"/>
    <n v="-920"/>
  </r>
  <r>
    <x v="52"/>
    <x v="65"/>
    <x v="2906"/>
    <x v="33"/>
    <n v="32153"/>
    <s v="n.a."/>
    <s v="n.a."/>
    <x v="2532"/>
    <n v="1458"/>
  </r>
  <r>
    <x v="52"/>
    <x v="66"/>
    <x v="2907"/>
    <x v="33"/>
    <n v="32008"/>
    <s v="n.a."/>
    <s v="n.a."/>
    <x v="2533"/>
    <n v="-1054"/>
  </r>
  <r>
    <x v="52"/>
    <x v="67"/>
    <x v="2908"/>
    <x v="33"/>
    <n v="32294"/>
    <s v="n.a."/>
    <s v="n.a."/>
    <x v="2534"/>
    <n v="-122"/>
  </r>
  <r>
    <x v="52"/>
    <x v="68"/>
    <x v="2909"/>
    <x v="33"/>
    <n v="32909"/>
    <s v="n.a."/>
    <s v="n.a."/>
    <x v="2535"/>
    <n v="-156"/>
  </r>
  <r>
    <x v="52"/>
    <x v="69"/>
    <x v="2910"/>
    <x v="33"/>
    <n v="31939"/>
    <s v="n.a."/>
    <s v="n.a."/>
    <x v="2536"/>
    <n v="1191"/>
  </r>
  <r>
    <x v="53"/>
    <x v="0"/>
    <x v="2911"/>
    <x v="1205"/>
    <n v="255777"/>
    <n v="-22403"/>
    <n v="-338"/>
    <x v="2537"/>
    <n v="7996"/>
  </r>
  <r>
    <x v="53"/>
    <x v="1"/>
    <x v="2912"/>
    <x v="1206"/>
    <n v="272122"/>
    <n v="15330"/>
    <n v="243"/>
    <x v="2538"/>
    <n v="1996"/>
  </r>
  <r>
    <x v="53"/>
    <x v="2"/>
    <x v="2913"/>
    <x v="1207"/>
    <n v="259633"/>
    <n v="-28426"/>
    <n v="2427"/>
    <x v="2539"/>
    <n v="-3571"/>
  </r>
  <r>
    <x v="53"/>
    <x v="3"/>
    <x v="2914"/>
    <x v="1208"/>
    <n v="282266"/>
    <n v="-9027"/>
    <n v="-4822"/>
    <x v="2540"/>
    <n v="1647"/>
  </r>
  <r>
    <x v="53"/>
    <x v="4"/>
    <x v="2915"/>
    <x v="1209"/>
    <n v="287973"/>
    <n v="789"/>
    <n v="652"/>
    <x v="2541"/>
    <n v="-3348"/>
  </r>
  <r>
    <x v="53"/>
    <x v="5"/>
    <x v="2916"/>
    <x v="1210"/>
    <n v="284957"/>
    <n v="-7999"/>
    <n v="-7422"/>
    <x v="2542"/>
    <n v="9597"/>
  </r>
  <r>
    <x v="53"/>
    <x v="6"/>
    <x v="2917"/>
    <x v="1211"/>
    <n v="299832"/>
    <n v="86"/>
    <n v="460"/>
    <x v="2543"/>
    <n v="3553"/>
  </r>
  <r>
    <x v="53"/>
    <x v="7"/>
    <x v="2918"/>
    <x v="1212"/>
    <n v="310377"/>
    <n v="25072"/>
    <n v="-123"/>
    <x v="2544"/>
    <n v="2641"/>
  </r>
  <r>
    <x v="53"/>
    <x v="8"/>
    <x v="2919"/>
    <x v="1213"/>
    <n v="275518"/>
    <n v="11278"/>
    <n v="6767"/>
    <x v="2545"/>
    <n v="-8068"/>
  </r>
  <r>
    <x v="53"/>
    <x v="9"/>
    <x v="2920"/>
    <x v="1214"/>
    <n v="258254"/>
    <n v="2482"/>
    <n v="-1977"/>
    <x v="2546"/>
    <n v="-5254"/>
  </r>
  <r>
    <x v="53"/>
    <x v="10"/>
    <x v="2921"/>
    <x v="1215"/>
    <n v="267417"/>
    <n v="258"/>
    <n v="-1303"/>
    <x v="2547"/>
    <n v="12264"/>
  </r>
  <r>
    <x v="53"/>
    <x v="11"/>
    <x v="2922"/>
    <x v="1216"/>
    <n v="262006"/>
    <n v="-21844"/>
    <n v="-72"/>
    <x v="2548"/>
    <n v="184"/>
  </r>
  <r>
    <x v="53"/>
    <x v="12"/>
    <x v="2923"/>
    <x v="1217"/>
    <n v="275129"/>
    <n v="2983"/>
    <n v="-3676"/>
    <x v="2549"/>
    <n v="1983"/>
  </r>
  <r>
    <x v="53"/>
    <x v="13"/>
    <x v="2924"/>
    <x v="1218"/>
    <n v="283459"/>
    <n v="23773"/>
    <n v="900"/>
    <x v="2550"/>
    <n v="-7159"/>
  </r>
  <r>
    <x v="53"/>
    <x v="14"/>
    <x v="2925"/>
    <x v="1219"/>
    <n v="275905"/>
    <n v="18517"/>
    <n v="1619"/>
    <x v="2551"/>
    <n v="2478"/>
  </r>
  <r>
    <x v="53"/>
    <x v="15"/>
    <x v="2926"/>
    <x v="1220"/>
    <n v="234324"/>
    <n v="49676"/>
    <n v="3218"/>
    <x v="2552"/>
    <n v="2476"/>
  </r>
  <r>
    <x v="53"/>
    <x v="16"/>
    <x v="2927"/>
    <x v="1221"/>
    <n v="182947"/>
    <n v="-9229"/>
    <n v="1857"/>
    <x v="2553"/>
    <n v="2108"/>
  </r>
  <r>
    <x v="53"/>
    <x v="17"/>
    <x v="2928"/>
    <x v="1222"/>
    <n v="201496"/>
    <n v="4648"/>
    <n v="1852"/>
    <x v="2554"/>
    <n v="4185"/>
  </r>
  <r>
    <x v="53"/>
    <x v="18"/>
    <x v="2929"/>
    <x v="1223"/>
    <n v="188973"/>
    <n v="17854"/>
    <n v="-4606"/>
    <x v="2555"/>
    <n v="4835"/>
  </r>
  <r>
    <x v="53"/>
    <x v="19"/>
    <x v="2930"/>
    <x v="1224"/>
    <n v="178531"/>
    <n v="-9699"/>
    <n v="1606"/>
    <x v="2556"/>
    <n v="-1585"/>
  </r>
  <r>
    <x v="53"/>
    <x v="20"/>
    <x v="2931"/>
    <x v="1225"/>
    <n v="176100"/>
    <n v="-16835"/>
    <n v="-3825"/>
    <x v="2557"/>
    <n v="-1513"/>
  </r>
  <r>
    <x v="53"/>
    <x v="21"/>
    <x v="2932"/>
    <x v="1226"/>
    <n v="192610"/>
    <n v="16864"/>
    <n v="144"/>
    <x v="2558"/>
    <n v="99"/>
  </r>
  <r>
    <x v="53"/>
    <x v="22"/>
    <x v="2933"/>
    <x v="1227"/>
    <n v="179544"/>
    <n v="-9682"/>
    <n v="4888"/>
    <x v="2559"/>
    <n v="-5073"/>
  </r>
  <r>
    <x v="53"/>
    <x v="23"/>
    <x v="2934"/>
    <x v="1228"/>
    <n v="188661"/>
    <n v="5708"/>
    <n v="8703"/>
    <x v="2560"/>
    <n v="-8248"/>
  </r>
  <r>
    <x v="53"/>
    <x v="24"/>
    <x v="2935"/>
    <x v="1229"/>
    <n v="184683"/>
    <n v="1801"/>
    <n v="-2326"/>
    <x v="2561"/>
    <n v="387"/>
  </r>
  <r>
    <x v="53"/>
    <x v="25"/>
    <x v="2936"/>
    <x v="907"/>
    <n v="175230"/>
    <n v="-3260"/>
    <n v="-2666"/>
    <x v="2562"/>
    <n v="3947"/>
  </r>
  <r>
    <x v="53"/>
    <x v="26"/>
    <x v="2937"/>
    <x v="1230"/>
    <n v="174531"/>
    <n v="364"/>
    <n v="-2873"/>
    <x v="2563"/>
    <n v="17924"/>
  </r>
  <r>
    <x v="53"/>
    <x v="27"/>
    <x v="2938"/>
    <x v="1231"/>
    <n v="179371"/>
    <n v="897"/>
    <n v="-3862"/>
    <x v="2564"/>
    <n v="6729"/>
  </r>
  <r>
    <x v="53"/>
    <x v="28"/>
    <x v="2939"/>
    <x v="1232"/>
    <n v="164826"/>
    <n v="-3373"/>
    <n v="-2526"/>
    <x v="2565"/>
    <n v="15249"/>
  </r>
  <r>
    <x v="53"/>
    <x v="29"/>
    <x v="2940"/>
    <x v="1233"/>
    <n v="168978"/>
    <n v="-711"/>
    <n v="-2037"/>
    <x v="2566"/>
    <n v="-10097"/>
  </r>
  <r>
    <x v="53"/>
    <x v="30"/>
    <x v="2941"/>
    <x v="1234"/>
    <n v="170703"/>
    <n v="2748"/>
    <n v="-254"/>
    <x v="2567"/>
    <n v="-8051"/>
  </r>
  <r>
    <x v="53"/>
    <x v="31"/>
    <x v="2942"/>
    <x v="1235"/>
    <n v="174876"/>
    <n v="8919"/>
    <n v="4624"/>
    <x v="2568"/>
    <n v="-11159"/>
  </r>
  <r>
    <x v="53"/>
    <x v="32"/>
    <x v="2943"/>
    <x v="1236"/>
    <n v="158998"/>
    <n v="-10373"/>
    <n v="-2503"/>
    <x v="2569"/>
    <n v="7660"/>
  </r>
  <r>
    <x v="53"/>
    <x v="33"/>
    <x v="2944"/>
    <x v="33"/>
    <n v="166341"/>
    <s v="n.a."/>
    <s v="n.a."/>
    <x v="2570"/>
    <n v="-1144"/>
  </r>
  <r>
    <x v="53"/>
    <x v="34"/>
    <x v="2945"/>
    <x v="33"/>
    <n v="165554"/>
    <s v="n.a."/>
    <s v="n.a."/>
    <x v="2571"/>
    <n v="-1894"/>
  </r>
  <r>
    <x v="53"/>
    <x v="35"/>
    <x v="2946"/>
    <x v="33"/>
    <n v="164456"/>
    <s v="n.a."/>
    <s v="n.a."/>
    <x v="2572"/>
    <n v="-6601"/>
  </r>
  <r>
    <x v="53"/>
    <x v="36"/>
    <x v="2947"/>
    <x v="33"/>
    <n v="156119"/>
    <s v="n.a."/>
    <s v="n.a."/>
    <x v="2573"/>
    <n v="-633"/>
  </r>
  <r>
    <x v="53"/>
    <x v="37"/>
    <x v="2948"/>
    <x v="33"/>
    <n v="165325"/>
    <s v="n.a."/>
    <s v="n.a."/>
    <x v="2574"/>
    <n v="1620"/>
  </r>
  <r>
    <x v="53"/>
    <x v="38"/>
    <x v="2949"/>
    <x v="33"/>
    <n v="173958"/>
    <s v="n.a."/>
    <s v="n.a."/>
    <x v="2575"/>
    <n v="9500"/>
  </r>
  <r>
    <x v="53"/>
    <x v="39"/>
    <x v="2950"/>
    <x v="33"/>
    <n v="168261"/>
    <s v="n.a."/>
    <s v="n.a."/>
    <x v="2576"/>
    <n v="-1719"/>
  </r>
  <r>
    <x v="53"/>
    <x v="40"/>
    <x v="2951"/>
    <x v="33"/>
    <n v="175477"/>
    <s v="n.a."/>
    <s v="n.a."/>
    <x v="2577"/>
    <n v="2215"/>
  </r>
  <r>
    <x v="53"/>
    <x v="41"/>
    <x v="2952"/>
    <x v="33"/>
    <n v="170796"/>
    <s v="n.a."/>
    <s v="n.a."/>
    <x v="2578"/>
    <n v="-9125"/>
  </r>
  <r>
    <x v="53"/>
    <x v="42"/>
    <x v="2953"/>
    <x v="33"/>
    <n v="158768"/>
    <s v="n.a."/>
    <s v="n.a."/>
    <x v="2579"/>
    <n v="677"/>
  </r>
  <r>
    <x v="53"/>
    <x v="43"/>
    <x v="2954"/>
    <x v="33"/>
    <n v="160851"/>
    <s v="n.a."/>
    <s v="n.a."/>
    <x v="2580"/>
    <n v="-417"/>
  </r>
  <r>
    <x v="53"/>
    <x v="44"/>
    <x v="2955"/>
    <x v="33"/>
    <n v="142457"/>
    <s v="n.a."/>
    <s v="n.a."/>
    <x v="2581"/>
    <n v="7666"/>
  </r>
  <r>
    <x v="53"/>
    <x v="45"/>
    <x v="2956"/>
    <x v="33"/>
    <n v="146313"/>
    <s v="n.a."/>
    <s v="n.a."/>
    <x v="2582"/>
    <n v="7583"/>
  </r>
  <r>
    <x v="53"/>
    <x v="46"/>
    <x v="2957"/>
    <x v="33"/>
    <n v="144625"/>
    <s v="n.a."/>
    <s v="n.a."/>
    <x v="2583"/>
    <n v="-1932"/>
  </r>
  <r>
    <x v="53"/>
    <x v="47"/>
    <x v="2958"/>
    <x v="33"/>
    <n v="141908"/>
    <s v="n.a."/>
    <s v="n.a."/>
    <x v="2584"/>
    <n v="-7465"/>
  </r>
  <r>
    <x v="53"/>
    <x v="48"/>
    <x v="2959"/>
    <x v="33"/>
    <n v="144236"/>
    <s v="n.a."/>
    <s v="n.a."/>
    <x v="2585"/>
    <n v="3787"/>
  </r>
  <r>
    <x v="53"/>
    <x v="49"/>
    <x v="2960"/>
    <x v="33"/>
    <n v="142969"/>
    <s v="n.a."/>
    <s v="n.a."/>
    <x v="2586"/>
    <n v="2896"/>
  </r>
  <r>
    <x v="53"/>
    <x v="50"/>
    <x v="2961"/>
    <x v="33"/>
    <n v="142542"/>
    <s v="n.a."/>
    <s v="n.a."/>
    <x v="2587"/>
    <n v="2657"/>
  </r>
  <r>
    <x v="53"/>
    <x v="51"/>
    <x v="2962"/>
    <x v="33"/>
    <n v="145552"/>
    <s v="n.a."/>
    <s v="n.a."/>
    <x v="2588"/>
    <n v="-518"/>
  </r>
  <r>
    <x v="53"/>
    <x v="52"/>
    <x v="2963"/>
    <x v="33"/>
    <n v="141349"/>
    <s v="n.a."/>
    <s v="n.a."/>
    <x v="2589"/>
    <n v="7624"/>
  </r>
  <r>
    <x v="53"/>
    <x v="53"/>
    <x v="2964"/>
    <x v="33"/>
    <n v="118228"/>
    <s v="n.a."/>
    <s v="n.a."/>
    <x v="2590"/>
    <n v="-236"/>
  </r>
  <r>
    <x v="53"/>
    <x v="54"/>
    <x v="2965"/>
    <x v="33"/>
    <n v="114979"/>
    <s v="n.a."/>
    <s v="n.a."/>
    <x v="2591"/>
    <n v="3875"/>
  </r>
  <r>
    <x v="53"/>
    <x v="55"/>
    <x v="2966"/>
    <x v="33"/>
    <n v="107622"/>
    <s v="n.a."/>
    <s v="n.a."/>
    <x v="2592"/>
    <n v="-5343"/>
  </r>
  <r>
    <x v="53"/>
    <x v="56"/>
    <x v="2967"/>
    <x v="33"/>
    <n v="103160"/>
    <s v="n.a."/>
    <s v="n.a."/>
    <x v="2593"/>
    <n v="2144"/>
  </r>
  <r>
    <x v="53"/>
    <x v="57"/>
    <x v="2968"/>
    <x v="33"/>
    <n v="106055"/>
    <s v="n.a."/>
    <s v="n.a."/>
    <x v="2594"/>
    <n v="-7118"/>
  </r>
  <r>
    <x v="53"/>
    <x v="58"/>
    <x v="2969"/>
    <x v="33"/>
    <n v="105027"/>
    <s v="n.a."/>
    <s v="n.a."/>
    <x v="2595"/>
    <n v="1129"/>
  </r>
  <r>
    <x v="53"/>
    <x v="59"/>
    <x v="2970"/>
    <x v="33"/>
    <n v="106164"/>
    <s v="n.a."/>
    <s v="n.a."/>
    <x v="2596"/>
    <n v="4614"/>
  </r>
  <r>
    <x v="53"/>
    <x v="60"/>
    <x v="2971"/>
    <x v="33"/>
    <n v="109431"/>
    <s v="n.a."/>
    <s v="n.a."/>
    <x v="2597"/>
    <n v="-2364"/>
  </r>
  <r>
    <x v="53"/>
    <x v="61"/>
    <x v="2972"/>
    <x v="33"/>
    <n v="117121"/>
    <s v="n.a."/>
    <s v="n.a."/>
    <x v="2598"/>
    <n v="5909"/>
  </r>
  <r>
    <x v="53"/>
    <x v="62"/>
    <x v="2973"/>
    <x v="33"/>
    <n v="120391"/>
    <s v="n.a."/>
    <s v="n.a."/>
    <x v="2599"/>
    <n v="1297"/>
  </r>
  <r>
    <x v="53"/>
    <x v="63"/>
    <x v="2974"/>
    <x v="33"/>
    <n v="115028"/>
    <s v="n.a."/>
    <s v="n.a."/>
    <x v="2600"/>
    <n v="-7894"/>
  </r>
  <r>
    <x v="53"/>
    <x v="64"/>
    <x v="2975"/>
    <x v="33"/>
    <n v="114416"/>
    <s v="n.a."/>
    <s v="n.a."/>
    <x v="2601"/>
    <n v="5264"/>
  </r>
  <r>
    <x v="53"/>
    <x v="65"/>
    <x v="2976"/>
    <x v="33"/>
    <n v="106820"/>
    <s v="n.a."/>
    <s v="n.a."/>
    <x v="2602"/>
    <n v="4126"/>
  </r>
  <r>
    <x v="53"/>
    <x v="66"/>
    <x v="2977"/>
    <x v="33"/>
    <n v="107339"/>
    <s v="n.a."/>
    <s v="n.a."/>
    <x v="2603"/>
    <n v="9652"/>
  </r>
  <r>
    <x v="53"/>
    <x v="67"/>
    <x v="2978"/>
    <x v="33"/>
    <n v="113327"/>
    <s v="n.a."/>
    <s v="n.a."/>
    <x v="2604"/>
    <n v="130"/>
  </r>
  <r>
    <x v="53"/>
    <x v="68"/>
    <x v="2979"/>
    <x v="33"/>
    <n v="132188"/>
    <s v="n.a."/>
    <s v="n.a."/>
    <x v="2605"/>
    <n v="3422"/>
  </r>
  <r>
    <x v="53"/>
    <x v="69"/>
    <x v="2980"/>
    <x v="33"/>
    <n v="132534"/>
    <s v="n.a."/>
    <s v="n.a."/>
    <x v="2606"/>
    <n v="-3725"/>
  </r>
  <r>
    <x v="54"/>
    <x v="0"/>
    <x v="481"/>
    <x v="33"/>
    <n v="1787"/>
    <n v="-24"/>
    <n v="67"/>
    <x v="461"/>
    <s v="n.a."/>
  </r>
  <r>
    <x v="54"/>
    <x v="1"/>
    <x v="481"/>
    <x v="33"/>
    <n v="1755"/>
    <n v="105"/>
    <n v="-100"/>
    <x v="461"/>
    <s v="n.a."/>
  </r>
  <r>
    <x v="54"/>
    <x v="2"/>
    <x v="481"/>
    <x v="33"/>
    <n v="1804"/>
    <n v="-29"/>
    <n v="67"/>
    <x v="461"/>
    <s v="n.a."/>
  </r>
  <r>
    <x v="54"/>
    <x v="3"/>
    <x v="481"/>
    <x v="33"/>
    <n v="1784"/>
    <n v="218"/>
    <n v="-29"/>
    <x v="461"/>
    <s v="n.a."/>
  </r>
  <r>
    <x v="54"/>
    <x v="4"/>
    <x v="481"/>
    <x v="33"/>
    <n v="1612"/>
    <n v="-152"/>
    <n v="-10"/>
    <x v="461"/>
    <s v="n.a."/>
  </r>
  <r>
    <x v="54"/>
    <x v="5"/>
    <x v="481"/>
    <x v="33"/>
    <n v="1847"/>
    <n v="1"/>
    <n v="11"/>
    <x v="461"/>
    <s v="n.a."/>
  </r>
  <r>
    <x v="54"/>
    <x v="6"/>
    <x v="481"/>
    <x v="33"/>
    <n v="1837"/>
    <n v="82"/>
    <n v="-62"/>
    <x v="461"/>
    <s v="n.a."/>
  </r>
  <r>
    <x v="54"/>
    <x v="7"/>
    <x v="481"/>
    <x v="33"/>
    <n v="1817"/>
    <n v="-54"/>
    <n v="32"/>
    <x v="461"/>
    <s v="n.a."/>
  </r>
  <r>
    <x v="54"/>
    <x v="8"/>
    <x v="481"/>
    <x v="33"/>
    <n v="1839"/>
    <n v="-7"/>
    <n v="61"/>
    <x v="461"/>
    <s v="n.a."/>
  </r>
  <r>
    <x v="54"/>
    <x v="9"/>
    <x v="481"/>
    <x v="33"/>
    <n v="1784"/>
    <n v="-83"/>
    <n v="-23"/>
    <x v="461"/>
    <s v="n.a."/>
  </r>
  <r>
    <x v="54"/>
    <x v="10"/>
    <x v="481"/>
    <x v="33"/>
    <n v="1951"/>
    <n v="-41"/>
    <n v="-14"/>
    <x v="461"/>
    <s v="n.a."/>
  </r>
  <r>
    <x v="54"/>
    <x v="11"/>
    <x v="481"/>
    <x v="33"/>
    <n v="2006"/>
    <n v="195"/>
    <n v="20"/>
    <x v="461"/>
    <s v="n.a."/>
  </r>
  <r>
    <x v="54"/>
    <x v="12"/>
    <x v="481"/>
    <x v="33"/>
    <n v="1859"/>
    <n v="170"/>
    <n v="-41"/>
    <x v="461"/>
    <s v="n.a."/>
  </r>
  <r>
    <x v="54"/>
    <x v="13"/>
    <x v="481"/>
    <x v="33"/>
    <n v="1719"/>
    <n v="75"/>
    <n v="8"/>
    <x v="461"/>
    <s v="n.a."/>
  </r>
  <r>
    <x v="54"/>
    <x v="14"/>
    <x v="481"/>
    <x v="33"/>
    <n v="1648"/>
    <n v="21"/>
    <n v="-1"/>
    <x v="461"/>
    <s v="n.a."/>
  </r>
  <r>
    <x v="54"/>
    <x v="15"/>
    <x v="481"/>
    <x v="33"/>
    <n v="1632"/>
    <n v="100"/>
    <n v="26"/>
    <x v="461"/>
    <s v="n.a."/>
  </r>
  <r>
    <x v="54"/>
    <x v="16"/>
    <x v="481"/>
    <x v="33"/>
    <n v="1508"/>
    <n v="-7"/>
    <n v="-7"/>
    <x v="461"/>
    <s v="n.a."/>
  </r>
  <r>
    <x v="54"/>
    <x v="17"/>
    <x v="481"/>
    <x v="33"/>
    <n v="1521"/>
    <n v="75"/>
    <n v="3"/>
    <x v="461"/>
    <s v="n.a."/>
  </r>
  <r>
    <x v="54"/>
    <x v="18"/>
    <x v="481"/>
    <x v="33"/>
    <n v="1430"/>
    <n v="69"/>
    <n v="-21"/>
    <x v="461"/>
    <s v="n.a."/>
  </r>
  <r>
    <x v="54"/>
    <x v="19"/>
    <x v="481"/>
    <x v="33"/>
    <n v="1379"/>
    <n v="24"/>
    <n v="1"/>
    <x v="461"/>
    <s v="n.a."/>
  </r>
  <r>
    <x v="54"/>
    <x v="20"/>
    <x v="481"/>
    <x v="33"/>
    <n v="1443"/>
    <n v="49"/>
    <n v="-2"/>
    <x v="461"/>
    <s v="n.a."/>
  </r>
  <r>
    <x v="54"/>
    <x v="21"/>
    <x v="481"/>
    <x v="33"/>
    <n v="1345"/>
    <n v="254"/>
    <n v="-6"/>
    <x v="461"/>
    <s v="n.a."/>
  </r>
  <r>
    <x v="54"/>
    <x v="22"/>
    <x v="481"/>
    <x v="33"/>
    <n v="1102"/>
    <n v="25"/>
    <n v="8"/>
    <x v="461"/>
    <s v="n.a."/>
  </r>
  <r>
    <x v="54"/>
    <x v="23"/>
    <x v="481"/>
    <x v="33"/>
    <n v="1065"/>
    <n v="13"/>
    <n v="7"/>
    <x v="461"/>
    <s v="n.a."/>
  </r>
  <r>
    <x v="54"/>
    <x v="24"/>
    <x v="481"/>
    <x v="33"/>
    <n v="1071"/>
    <n v="-28"/>
    <n v="-18"/>
    <x v="461"/>
    <s v="n.a."/>
  </r>
  <r>
    <x v="54"/>
    <x v="25"/>
    <x v="481"/>
    <x v="33"/>
    <n v="1106"/>
    <n v="236"/>
    <n v="-4"/>
    <x v="461"/>
    <s v="n.a."/>
  </r>
  <r>
    <x v="54"/>
    <x v="26"/>
    <x v="481"/>
    <x v="33"/>
    <n v="872"/>
    <n v="13"/>
    <n v="-19"/>
    <x v="461"/>
    <s v="n.a."/>
  </r>
  <r>
    <x v="54"/>
    <x v="27"/>
    <x v="481"/>
    <x v="33"/>
    <n v="831"/>
    <n v="31"/>
    <n v="-6"/>
    <x v="461"/>
    <s v="n.a."/>
  </r>
  <r>
    <x v="54"/>
    <x v="28"/>
    <x v="481"/>
    <x v="33"/>
    <n v="829"/>
    <n v="77"/>
    <n v="1"/>
    <x v="461"/>
    <s v="n.a."/>
  </r>
  <r>
    <x v="54"/>
    <x v="29"/>
    <x v="481"/>
    <x v="33"/>
    <n v="744"/>
    <n v="-24"/>
    <n v="-1"/>
    <x v="461"/>
    <s v="n.a."/>
  </r>
  <r>
    <x v="54"/>
    <x v="30"/>
    <x v="481"/>
    <x v="33"/>
    <n v="721"/>
    <n v="12"/>
    <n v="0"/>
    <x v="461"/>
    <s v="n.a."/>
  </r>
  <r>
    <x v="54"/>
    <x v="31"/>
    <x v="481"/>
    <x v="33"/>
    <n v="706"/>
    <n v="-81"/>
    <n v="12"/>
    <x v="461"/>
    <s v="n.a."/>
  </r>
  <r>
    <x v="54"/>
    <x v="32"/>
    <x v="481"/>
    <x v="33"/>
    <n v="773"/>
    <n v="42"/>
    <n v="0"/>
    <x v="461"/>
    <s v="n.a."/>
  </r>
  <r>
    <x v="54"/>
    <x v="33"/>
    <x v="481"/>
    <x v="33"/>
    <n v="734"/>
    <s v="n.a."/>
    <s v="n.a."/>
    <x v="461"/>
    <s v="n.a."/>
  </r>
  <r>
    <x v="54"/>
    <x v="34"/>
    <x v="481"/>
    <x v="33"/>
    <n v="689"/>
    <s v="n.a."/>
    <s v="n.a."/>
    <x v="461"/>
    <s v="n.a."/>
  </r>
  <r>
    <x v="54"/>
    <x v="35"/>
    <x v="481"/>
    <x v="33"/>
    <n v="666"/>
    <s v="n.a."/>
    <s v="n.a."/>
    <x v="461"/>
    <s v="n.a."/>
  </r>
  <r>
    <x v="54"/>
    <x v="36"/>
    <x v="481"/>
    <x v="33"/>
    <n v="675"/>
    <s v="n.a."/>
    <s v="n.a."/>
    <x v="461"/>
    <s v="n.a."/>
  </r>
  <r>
    <x v="54"/>
    <x v="37"/>
    <x v="481"/>
    <x v="33"/>
    <n v="664"/>
    <s v="n.a."/>
    <s v="n.a."/>
    <x v="461"/>
    <s v="n.a."/>
  </r>
  <r>
    <x v="54"/>
    <x v="38"/>
    <x v="481"/>
    <x v="33"/>
    <n v="645"/>
    <s v="n.a."/>
    <s v="n.a."/>
    <x v="461"/>
    <s v="n.a."/>
  </r>
  <r>
    <x v="54"/>
    <x v="39"/>
    <x v="481"/>
    <x v="33"/>
    <n v="673"/>
    <s v="n.a."/>
    <s v="n.a."/>
    <x v="461"/>
    <s v="n.a."/>
  </r>
  <r>
    <x v="54"/>
    <x v="40"/>
    <x v="481"/>
    <x v="33"/>
    <n v="583"/>
    <s v="n.a."/>
    <s v="n.a."/>
    <x v="461"/>
    <s v="n.a."/>
  </r>
  <r>
    <x v="54"/>
    <x v="41"/>
    <x v="481"/>
    <x v="33"/>
    <n v="554"/>
    <s v="n.a."/>
    <s v="n.a."/>
    <x v="461"/>
    <s v="n.a."/>
  </r>
  <r>
    <x v="54"/>
    <x v="42"/>
    <x v="481"/>
    <x v="33"/>
    <n v="611"/>
    <s v="n.a."/>
    <s v="n.a."/>
    <x v="461"/>
    <s v="n.a."/>
  </r>
  <r>
    <x v="54"/>
    <x v="43"/>
    <x v="481"/>
    <x v="33"/>
    <n v="339"/>
    <s v="n.a."/>
    <s v="n.a."/>
    <x v="461"/>
    <s v="n.a."/>
  </r>
  <r>
    <x v="54"/>
    <x v="44"/>
    <x v="481"/>
    <x v="33"/>
    <n v="287"/>
    <s v="n.a."/>
    <s v="n.a."/>
    <x v="461"/>
    <s v="n.a."/>
  </r>
  <r>
    <x v="54"/>
    <x v="45"/>
    <x v="481"/>
    <x v="33"/>
    <n v="273"/>
    <s v="n.a."/>
    <s v="n.a."/>
    <x v="461"/>
    <s v="n.a."/>
  </r>
  <r>
    <x v="54"/>
    <x v="46"/>
    <x v="481"/>
    <x v="33"/>
    <n v="264"/>
    <s v="n.a."/>
    <s v="n.a."/>
    <x v="461"/>
    <s v="n.a."/>
  </r>
  <r>
    <x v="54"/>
    <x v="47"/>
    <x v="481"/>
    <x v="33"/>
    <n v="263"/>
    <s v="n.a."/>
    <s v="n.a."/>
    <x v="461"/>
    <s v="n.a."/>
  </r>
  <r>
    <x v="54"/>
    <x v="48"/>
    <x v="481"/>
    <x v="33"/>
    <n v="287"/>
    <s v="n.a."/>
    <s v="n.a."/>
    <x v="461"/>
    <s v="n.a."/>
  </r>
  <r>
    <x v="54"/>
    <x v="49"/>
    <x v="481"/>
    <x v="33"/>
    <n v="293"/>
    <s v="n.a."/>
    <s v="n.a."/>
    <x v="461"/>
    <s v="n.a."/>
  </r>
  <r>
    <x v="54"/>
    <x v="50"/>
    <x v="481"/>
    <x v="33"/>
    <n v="283"/>
    <s v="n.a."/>
    <s v="n.a."/>
    <x v="461"/>
    <s v="n.a."/>
  </r>
  <r>
    <x v="54"/>
    <x v="51"/>
    <x v="481"/>
    <x v="33"/>
    <n v="276"/>
    <s v="n.a."/>
    <s v="n.a."/>
    <x v="461"/>
    <s v="n.a."/>
  </r>
  <r>
    <x v="54"/>
    <x v="52"/>
    <x v="481"/>
    <x v="33"/>
    <n v="289"/>
    <s v="n.a."/>
    <s v="n.a."/>
    <x v="461"/>
    <s v="n.a."/>
  </r>
  <r>
    <x v="54"/>
    <x v="53"/>
    <x v="481"/>
    <x v="33"/>
    <n v="290"/>
    <s v="n.a."/>
    <s v="n.a."/>
    <x v="461"/>
    <s v="n.a."/>
  </r>
  <r>
    <x v="54"/>
    <x v="54"/>
    <x v="481"/>
    <x v="33"/>
    <n v="278"/>
    <s v="n.a."/>
    <s v="n.a."/>
    <x v="461"/>
    <s v="n.a."/>
  </r>
  <r>
    <x v="54"/>
    <x v="55"/>
    <x v="481"/>
    <x v="33"/>
    <n v="281"/>
    <s v="n.a."/>
    <s v="n.a."/>
    <x v="461"/>
    <s v="n.a."/>
  </r>
  <r>
    <x v="54"/>
    <x v="56"/>
    <x v="481"/>
    <x v="33"/>
    <n v="283"/>
    <s v="n.a."/>
    <s v="n.a."/>
    <x v="461"/>
    <s v="n.a."/>
  </r>
  <r>
    <x v="54"/>
    <x v="57"/>
    <x v="481"/>
    <x v="33"/>
    <n v="295"/>
    <s v="n.a."/>
    <s v="n.a."/>
    <x v="461"/>
    <s v="n.a."/>
  </r>
  <r>
    <x v="54"/>
    <x v="58"/>
    <x v="481"/>
    <x v="33"/>
    <n v="287"/>
    <s v="n.a."/>
    <s v="n.a."/>
    <x v="461"/>
    <s v="n.a."/>
  </r>
  <r>
    <x v="54"/>
    <x v="59"/>
    <x v="481"/>
    <x v="33"/>
    <n v="270"/>
    <s v="n.a."/>
    <s v="n.a."/>
    <x v="461"/>
    <s v="n.a."/>
  </r>
  <r>
    <x v="54"/>
    <x v="60"/>
    <x v="481"/>
    <x v="33"/>
    <n v="293"/>
    <s v="n.a."/>
    <s v="n.a."/>
    <x v="461"/>
    <s v="n.a."/>
  </r>
  <r>
    <x v="54"/>
    <x v="61"/>
    <x v="481"/>
    <x v="33"/>
    <n v="367"/>
    <s v="n.a."/>
    <s v="n.a."/>
    <x v="461"/>
    <s v="n.a."/>
  </r>
  <r>
    <x v="54"/>
    <x v="62"/>
    <x v="481"/>
    <x v="33"/>
    <n v="377"/>
    <s v="n.a."/>
    <s v="n.a."/>
    <x v="461"/>
    <s v="n.a."/>
  </r>
  <r>
    <x v="54"/>
    <x v="63"/>
    <x v="481"/>
    <x v="33"/>
    <n v="395"/>
    <s v="n.a."/>
    <s v="n.a."/>
    <x v="461"/>
    <s v="n.a."/>
  </r>
  <r>
    <x v="54"/>
    <x v="64"/>
    <x v="481"/>
    <x v="33"/>
    <n v="393"/>
    <s v="n.a."/>
    <s v="n.a."/>
    <x v="461"/>
    <s v="n.a."/>
  </r>
  <r>
    <x v="54"/>
    <x v="65"/>
    <x v="481"/>
    <x v="33"/>
    <n v="396"/>
    <s v="n.a."/>
    <s v="n.a."/>
    <x v="461"/>
    <s v="n.a."/>
  </r>
  <r>
    <x v="54"/>
    <x v="66"/>
    <x v="481"/>
    <x v="33"/>
    <n v="398"/>
    <s v="n.a."/>
    <s v="n.a."/>
    <x v="461"/>
    <s v="n.a."/>
  </r>
  <r>
    <x v="54"/>
    <x v="67"/>
    <x v="481"/>
    <x v="33"/>
    <n v="403"/>
    <s v="n.a."/>
    <s v="n.a."/>
    <x v="461"/>
    <s v="n.a."/>
  </r>
  <r>
    <x v="54"/>
    <x v="68"/>
    <x v="481"/>
    <x v="33"/>
    <n v="477"/>
    <s v="n.a."/>
    <s v="n.a."/>
    <x v="461"/>
    <s v="n.a."/>
  </r>
  <r>
    <x v="54"/>
    <x v="69"/>
    <x v="481"/>
    <x v="33"/>
    <n v="491"/>
    <s v="n.a."/>
    <s v="n.a."/>
    <x v="461"/>
    <s v="n.a."/>
  </r>
  <r>
    <x v="55"/>
    <x v="0"/>
    <x v="481"/>
    <x v="33"/>
    <n v="1139"/>
    <n v="-6"/>
    <n v="-5"/>
    <x v="461"/>
    <s v="n.a."/>
  </r>
  <r>
    <x v="55"/>
    <x v="1"/>
    <x v="481"/>
    <x v="33"/>
    <n v="1163"/>
    <n v="15"/>
    <n v="7"/>
    <x v="461"/>
    <s v="n.a."/>
  </r>
  <r>
    <x v="55"/>
    <x v="2"/>
    <x v="481"/>
    <x v="33"/>
    <n v="1202"/>
    <n v="-38"/>
    <n v="8"/>
    <x v="461"/>
    <s v="n.a."/>
  </r>
  <r>
    <x v="55"/>
    <x v="3"/>
    <x v="481"/>
    <x v="33"/>
    <n v="1242"/>
    <n v="39"/>
    <n v="-8"/>
    <x v="461"/>
    <s v="n.a."/>
  </r>
  <r>
    <x v="55"/>
    <x v="4"/>
    <x v="481"/>
    <x v="33"/>
    <n v="1234"/>
    <n v="33"/>
    <n v="-23"/>
    <x v="461"/>
    <s v="n.a."/>
  </r>
  <r>
    <x v="55"/>
    <x v="5"/>
    <x v="481"/>
    <x v="33"/>
    <n v="1255"/>
    <n v="53"/>
    <n v="-17"/>
    <x v="461"/>
    <s v="n.a."/>
  </r>
  <r>
    <x v="55"/>
    <x v="6"/>
    <x v="481"/>
    <x v="33"/>
    <n v="1220"/>
    <n v="2"/>
    <n v="4"/>
    <x v="461"/>
    <s v="n.a."/>
  </r>
  <r>
    <x v="55"/>
    <x v="7"/>
    <x v="481"/>
    <x v="33"/>
    <n v="1225"/>
    <n v="22"/>
    <n v="5"/>
    <x v="461"/>
    <s v="n.a."/>
  </r>
  <r>
    <x v="55"/>
    <x v="8"/>
    <x v="481"/>
    <x v="33"/>
    <n v="1219"/>
    <n v="18"/>
    <n v="25"/>
    <x v="461"/>
    <s v="n.a."/>
  </r>
  <r>
    <x v="55"/>
    <x v="9"/>
    <x v="481"/>
    <x v="33"/>
    <n v="1186"/>
    <n v="0"/>
    <n v="-1"/>
    <x v="461"/>
    <s v="n.a."/>
  </r>
  <r>
    <x v="55"/>
    <x v="10"/>
    <x v="481"/>
    <x v="33"/>
    <n v="1194"/>
    <n v="44"/>
    <n v="-35"/>
    <x v="461"/>
    <s v="n.a."/>
  </r>
  <r>
    <x v="55"/>
    <x v="11"/>
    <x v="481"/>
    <x v="33"/>
    <n v="1225"/>
    <n v="22"/>
    <n v="1"/>
    <x v="461"/>
    <s v="n.a."/>
  </r>
  <r>
    <x v="55"/>
    <x v="12"/>
    <x v="481"/>
    <x v="33"/>
    <n v="1199"/>
    <n v="48"/>
    <n v="-13"/>
    <x v="461"/>
    <s v="n.a."/>
  </r>
  <r>
    <x v="55"/>
    <x v="13"/>
    <x v="481"/>
    <x v="33"/>
    <n v="1198"/>
    <n v="-41"/>
    <n v="7"/>
    <x v="461"/>
    <s v="n.a."/>
  </r>
  <r>
    <x v="55"/>
    <x v="14"/>
    <x v="481"/>
    <x v="33"/>
    <n v="1257"/>
    <n v="13"/>
    <n v="19"/>
    <x v="461"/>
    <s v="n.a."/>
  </r>
  <r>
    <x v="55"/>
    <x v="15"/>
    <x v="481"/>
    <x v="33"/>
    <n v="1236"/>
    <n v="39"/>
    <n v="16"/>
    <x v="461"/>
    <s v="n.a."/>
  </r>
  <r>
    <x v="55"/>
    <x v="16"/>
    <x v="481"/>
    <x v="33"/>
    <n v="1214"/>
    <n v="60"/>
    <n v="21"/>
    <x v="461"/>
    <s v="n.a."/>
  </r>
  <r>
    <x v="55"/>
    <x v="17"/>
    <x v="481"/>
    <x v="33"/>
    <n v="1087"/>
    <n v="12"/>
    <n v="26"/>
    <x v="461"/>
    <s v="n.a."/>
  </r>
  <r>
    <x v="55"/>
    <x v="18"/>
    <x v="481"/>
    <x v="33"/>
    <n v="1070"/>
    <n v="25"/>
    <n v="-6"/>
    <x v="461"/>
    <s v="n.a."/>
  </r>
  <r>
    <x v="55"/>
    <x v="19"/>
    <x v="481"/>
    <x v="33"/>
    <n v="1077"/>
    <n v="55"/>
    <n v="-6"/>
    <x v="461"/>
    <s v="n.a."/>
  </r>
  <r>
    <x v="55"/>
    <x v="20"/>
    <x v="481"/>
    <x v="33"/>
    <n v="1034"/>
    <n v="26"/>
    <n v="6"/>
    <x v="461"/>
    <s v="n.a."/>
  </r>
  <r>
    <x v="55"/>
    <x v="21"/>
    <x v="481"/>
    <x v="33"/>
    <n v="1014"/>
    <n v="2"/>
    <n v="0"/>
    <x v="461"/>
    <s v="n.a."/>
  </r>
  <r>
    <x v="55"/>
    <x v="22"/>
    <x v="481"/>
    <x v="33"/>
    <n v="1039"/>
    <n v="111"/>
    <n v="25"/>
    <x v="461"/>
    <s v="n.a."/>
  </r>
  <r>
    <x v="55"/>
    <x v="23"/>
    <x v="481"/>
    <x v="33"/>
    <n v="842"/>
    <n v="38"/>
    <n v="19"/>
    <x v="461"/>
    <s v="n.a."/>
  </r>
  <r>
    <x v="55"/>
    <x v="24"/>
    <x v="481"/>
    <x v="33"/>
    <n v="801"/>
    <n v="24"/>
    <n v="4"/>
    <x v="461"/>
    <s v="n.a."/>
  </r>
  <r>
    <x v="55"/>
    <x v="25"/>
    <x v="481"/>
    <x v="33"/>
    <n v="795"/>
    <n v="43"/>
    <n v="0"/>
    <x v="461"/>
    <s v="n.a."/>
  </r>
  <r>
    <x v="55"/>
    <x v="26"/>
    <x v="481"/>
    <x v="33"/>
    <n v="750"/>
    <n v="51"/>
    <n v="-1"/>
    <x v="461"/>
    <s v="n.a."/>
  </r>
  <r>
    <x v="55"/>
    <x v="27"/>
    <x v="481"/>
    <x v="33"/>
    <n v="701"/>
    <n v="15"/>
    <n v="-1"/>
    <x v="461"/>
    <s v="n.a."/>
  </r>
  <r>
    <x v="55"/>
    <x v="28"/>
    <x v="481"/>
    <x v="33"/>
    <n v="691"/>
    <n v="11"/>
    <n v="-1"/>
    <x v="461"/>
    <s v="n.a."/>
  </r>
  <r>
    <x v="55"/>
    <x v="29"/>
    <x v="481"/>
    <x v="33"/>
    <n v="660"/>
    <n v="10"/>
    <n v="5"/>
    <x v="461"/>
    <s v="n.a."/>
  </r>
  <r>
    <x v="55"/>
    <x v="30"/>
    <x v="481"/>
    <x v="33"/>
    <n v="652"/>
    <n v="13"/>
    <n v="3"/>
    <x v="461"/>
    <s v="n.a."/>
  </r>
  <r>
    <x v="55"/>
    <x v="31"/>
    <x v="481"/>
    <x v="33"/>
    <n v="620"/>
    <n v="44"/>
    <n v="12"/>
    <x v="461"/>
    <s v="n.a."/>
  </r>
  <r>
    <x v="55"/>
    <x v="32"/>
    <x v="481"/>
    <x v="33"/>
    <n v="559"/>
    <n v="18"/>
    <n v="-5"/>
    <x v="461"/>
    <s v="n.a."/>
  </r>
  <r>
    <x v="55"/>
    <x v="33"/>
    <x v="481"/>
    <x v="33"/>
    <n v="545"/>
    <s v="n.a."/>
    <s v="n.a."/>
    <x v="461"/>
    <s v="n.a."/>
  </r>
  <r>
    <x v="55"/>
    <x v="34"/>
    <x v="481"/>
    <x v="33"/>
    <n v="536"/>
    <s v="n.a."/>
    <s v="n.a."/>
    <x v="461"/>
    <s v="n.a."/>
  </r>
  <r>
    <x v="55"/>
    <x v="35"/>
    <x v="481"/>
    <x v="33"/>
    <n v="502"/>
    <s v="n.a."/>
    <s v="n.a."/>
    <x v="461"/>
    <s v="n.a."/>
  </r>
  <r>
    <x v="55"/>
    <x v="36"/>
    <x v="481"/>
    <x v="33"/>
    <n v="439"/>
    <s v="n.a."/>
    <s v="n.a."/>
    <x v="461"/>
    <s v="n.a."/>
  </r>
  <r>
    <x v="55"/>
    <x v="37"/>
    <x v="481"/>
    <x v="33"/>
    <n v="394"/>
    <s v="n.a."/>
    <s v="n.a."/>
    <x v="461"/>
    <s v="n.a."/>
  </r>
  <r>
    <x v="55"/>
    <x v="38"/>
    <x v="481"/>
    <x v="33"/>
    <n v="343"/>
    <s v="n.a."/>
    <s v="n.a."/>
    <x v="461"/>
    <s v="n.a."/>
  </r>
  <r>
    <x v="55"/>
    <x v="39"/>
    <x v="481"/>
    <x v="33"/>
    <n v="286"/>
    <s v="n.a."/>
    <s v="n.a."/>
    <x v="461"/>
    <s v="n.a."/>
  </r>
  <r>
    <x v="55"/>
    <x v="40"/>
    <x v="481"/>
    <x v="33"/>
    <n v="253"/>
    <s v="n.a."/>
    <s v="n.a."/>
    <x v="461"/>
    <s v="n.a."/>
  </r>
  <r>
    <x v="55"/>
    <x v="41"/>
    <x v="481"/>
    <x v="33"/>
    <n v="228"/>
    <s v="n.a."/>
    <s v="n.a."/>
    <x v="461"/>
    <s v="n.a."/>
  </r>
  <r>
    <x v="55"/>
    <x v="42"/>
    <x v="481"/>
    <x v="33"/>
    <n v="213"/>
    <s v="n.a."/>
    <s v="n.a."/>
    <x v="461"/>
    <s v="n.a."/>
  </r>
  <r>
    <x v="55"/>
    <x v="43"/>
    <x v="481"/>
    <x v="33"/>
    <n v="206"/>
    <s v="n.a."/>
    <s v="n.a."/>
    <x v="461"/>
    <s v="n.a."/>
  </r>
  <r>
    <x v="55"/>
    <x v="44"/>
    <x v="481"/>
    <x v="33"/>
    <n v="191"/>
    <s v="n.a."/>
    <s v="n.a."/>
    <x v="461"/>
    <s v="n.a."/>
  </r>
  <r>
    <x v="55"/>
    <x v="45"/>
    <x v="481"/>
    <x v="33"/>
    <n v="197"/>
    <s v="n.a."/>
    <s v="n.a."/>
    <x v="461"/>
    <s v="n.a."/>
  </r>
  <r>
    <x v="55"/>
    <x v="46"/>
    <x v="481"/>
    <x v="33"/>
    <n v="203"/>
    <s v="n.a."/>
    <s v="n.a."/>
    <x v="461"/>
    <s v="n.a."/>
  </r>
  <r>
    <x v="55"/>
    <x v="47"/>
    <x v="481"/>
    <x v="33"/>
    <n v="207"/>
    <s v="n.a."/>
    <s v="n.a."/>
    <x v="461"/>
    <s v="n.a."/>
  </r>
  <r>
    <x v="55"/>
    <x v="48"/>
    <x v="481"/>
    <x v="33"/>
    <n v="73"/>
    <s v="n.a."/>
    <s v="n.a."/>
    <x v="461"/>
    <s v="n.a."/>
  </r>
  <r>
    <x v="55"/>
    <x v="49"/>
    <x v="481"/>
    <x v="33"/>
    <n v="63"/>
    <s v="n.a."/>
    <s v="n.a."/>
    <x v="461"/>
    <s v="n.a."/>
  </r>
  <r>
    <x v="55"/>
    <x v="50"/>
    <x v="481"/>
    <x v="33"/>
    <n v="71"/>
    <s v="n.a."/>
    <s v="n.a."/>
    <x v="461"/>
    <s v="n.a."/>
  </r>
  <r>
    <x v="55"/>
    <x v="51"/>
    <x v="481"/>
    <x v="33"/>
    <n v="92"/>
    <s v="n.a."/>
    <s v="n.a."/>
    <x v="461"/>
    <s v="n.a."/>
  </r>
  <r>
    <x v="55"/>
    <x v="52"/>
    <x v="481"/>
    <x v="33"/>
    <n v="226"/>
    <s v="n.a."/>
    <s v="n.a."/>
    <x v="461"/>
    <s v="n.a."/>
  </r>
  <r>
    <x v="55"/>
    <x v="53"/>
    <x v="481"/>
    <x v="33"/>
    <n v="225"/>
    <s v="n.a."/>
    <s v="n.a."/>
    <x v="461"/>
    <s v="n.a."/>
  </r>
  <r>
    <x v="55"/>
    <x v="54"/>
    <x v="481"/>
    <x v="33"/>
    <n v="226"/>
    <s v="n.a."/>
    <s v="n.a."/>
    <x v="461"/>
    <s v="n.a."/>
  </r>
  <r>
    <x v="55"/>
    <x v="55"/>
    <x v="481"/>
    <x v="33"/>
    <n v="236"/>
    <s v="n.a."/>
    <s v="n.a."/>
    <x v="461"/>
    <s v="n.a."/>
  </r>
  <r>
    <x v="55"/>
    <x v="56"/>
    <x v="481"/>
    <x v="33"/>
    <n v="234"/>
    <s v="n.a."/>
    <s v="n.a."/>
    <x v="461"/>
    <s v="n.a."/>
  </r>
  <r>
    <x v="55"/>
    <x v="57"/>
    <x v="481"/>
    <x v="33"/>
    <n v="241"/>
    <s v="n.a."/>
    <s v="n.a."/>
    <x v="461"/>
    <s v="n.a."/>
  </r>
  <r>
    <x v="55"/>
    <x v="58"/>
    <x v="481"/>
    <x v="33"/>
    <n v="237"/>
    <s v="n.a."/>
    <s v="n.a."/>
    <x v="461"/>
    <s v="n.a."/>
  </r>
  <r>
    <x v="55"/>
    <x v="59"/>
    <x v="481"/>
    <x v="33"/>
    <n v="240"/>
    <s v="n.a."/>
    <s v="n.a."/>
    <x v="461"/>
    <s v="n.a."/>
  </r>
  <r>
    <x v="55"/>
    <x v="60"/>
    <x v="481"/>
    <x v="33"/>
    <n v="255"/>
    <s v="n.a."/>
    <s v="n.a."/>
    <x v="461"/>
    <s v="n.a."/>
  </r>
  <r>
    <x v="55"/>
    <x v="61"/>
    <x v="481"/>
    <x v="33"/>
    <n v="253"/>
    <s v="n.a."/>
    <s v="n.a."/>
    <x v="461"/>
    <s v="n.a."/>
  </r>
  <r>
    <x v="55"/>
    <x v="62"/>
    <x v="481"/>
    <x v="33"/>
    <n v="250"/>
    <s v="n.a."/>
    <s v="n.a."/>
    <x v="461"/>
    <s v="n.a."/>
  </r>
  <r>
    <x v="55"/>
    <x v="63"/>
    <x v="481"/>
    <x v="33"/>
    <n v="235"/>
    <s v="n.a."/>
    <s v="n.a."/>
    <x v="461"/>
    <s v="n.a."/>
  </r>
  <r>
    <x v="55"/>
    <x v="64"/>
    <x v="481"/>
    <x v="33"/>
    <n v="259"/>
    <s v="n.a."/>
    <s v="n.a."/>
    <x v="461"/>
    <s v="n.a."/>
  </r>
  <r>
    <x v="55"/>
    <x v="65"/>
    <x v="481"/>
    <x v="33"/>
    <n v="263"/>
    <s v="n.a."/>
    <s v="n.a."/>
    <x v="461"/>
    <s v="n.a."/>
  </r>
  <r>
    <x v="55"/>
    <x v="66"/>
    <x v="481"/>
    <x v="33"/>
    <n v="285"/>
    <s v="n.a."/>
    <s v="n.a."/>
    <x v="461"/>
    <s v="n.a."/>
  </r>
  <r>
    <x v="55"/>
    <x v="67"/>
    <x v="481"/>
    <x v="33"/>
    <n v="282"/>
    <s v="n.a."/>
    <s v="n.a."/>
    <x v="461"/>
    <s v="n.a."/>
  </r>
  <r>
    <x v="55"/>
    <x v="68"/>
    <x v="481"/>
    <x v="33"/>
    <n v="290"/>
    <s v="n.a."/>
    <s v="n.a."/>
    <x v="461"/>
    <s v="n.a."/>
  </r>
  <r>
    <x v="55"/>
    <x v="69"/>
    <x v="481"/>
    <x v="33"/>
    <n v="294"/>
    <s v="n.a."/>
    <s v="n.a."/>
    <x v="461"/>
    <s v="n.a."/>
  </r>
  <r>
    <x v="56"/>
    <x v="0"/>
    <x v="2981"/>
    <x v="1237"/>
    <n v="402901"/>
    <n v="-19445"/>
    <n v="-238"/>
    <x v="2607"/>
    <n v="9365"/>
  </r>
  <r>
    <x v="56"/>
    <x v="1"/>
    <x v="2982"/>
    <x v="1238"/>
    <n v="416372"/>
    <n v="22656"/>
    <n v="290"/>
    <x v="2608"/>
    <n v="4734"/>
  </r>
  <r>
    <x v="56"/>
    <x v="2"/>
    <x v="2983"/>
    <x v="1239"/>
    <n v="397114"/>
    <n v="-27203"/>
    <n v="3043"/>
    <x v="2609"/>
    <n v="-2491"/>
  </r>
  <r>
    <x v="56"/>
    <x v="3"/>
    <x v="2984"/>
    <x v="1240"/>
    <n v="419168"/>
    <n v="-5922"/>
    <n v="-5539"/>
    <x v="2610"/>
    <n v="-255"/>
  </r>
  <r>
    <x v="56"/>
    <x v="4"/>
    <x v="2985"/>
    <x v="154"/>
    <n v="422947"/>
    <n v="2126"/>
    <n v="1321"/>
    <x v="2611"/>
    <n v="-2682"/>
  </r>
  <r>
    <x v="56"/>
    <x v="5"/>
    <x v="2986"/>
    <x v="1241"/>
    <n v="418545"/>
    <n v="-5596"/>
    <n v="-10020"/>
    <x v="2612"/>
    <n v="7746"/>
  </r>
  <r>
    <x v="56"/>
    <x v="6"/>
    <x v="2987"/>
    <x v="1242"/>
    <n v="435220"/>
    <n v="1164"/>
    <n v="1040"/>
    <x v="2613"/>
    <n v="6979"/>
  </r>
  <r>
    <x v="56"/>
    <x v="7"/>
    <x v="2988"/>
    <x v="1243"/>
    <n v="444705"/>
    <n v="29221"/>
    <n v="-88"/>
    <x v="2614"/>
    <n v="-74975"/>
  </r>
  <r>
    <x v="56"/>
    <x v="8"/>
    <x v="2989"/>
    <x v="1244"/>
    <n v="406722"/>
    <n v="15890"/>
    <n v="8366"/>
    <x v="2615"/>
    <n v="-5392"/>
  </r>
  <r>
    <x v="56"/>
    <x v="9"/>
    <x v="2990"/>
    <x v="1245"/>
    <n v="384384"/>
    <n v="2885"/>
    <n v="-1604"/>
    <x v="2616"/>
    <n v="-2174"/>
  </r>
  <r>
    <x v="56"/>
    <x v="10"/>
    <x v="2991"/>
    <x v="1246"/>
    <n v="393745"/>
    <n v="-1193"/>
    <n v="-2952"/>
    <x v="2617"/>
    <n v="22107"/>
  </r>
  <r>
    <x v="56"/>
    <x v="11"/>
    <x v="2992"/>
    <x v="1247"/>
    <n v="389501"/>
    <n v="-20239"/>
    <n v="-173"/>
    <x v="2618"/>
    <n v="-1635"/>
  </r>
  <r>
    <x v="56"/>
    <x v="12"/>
    <x v="2993"/>
    <x v="1248"/>
    <n v="401011"/>
    <n v="3602"/>
    <n v="-5440"/>
    <x v="2619"/>
    <n v="5115"/>
  </r>
  <r>
    <x v="56"/>
    <x v="13"/>
    <x v="2994"/>
    <x v="1249"/>
    <n v="410154"/>
    <n v="25288"/>
    <n v="2478"/>
    <x v="2620"/>
    <n v="-13348"/>
  </r>
  <r>
    <x v="56"/>
    <x v="14"/>
    <x v="2995"/>
    <x v="1250"/>
    <n v="400463"/>
    <n v="20983"/>
    <n v="2725"/>
    <x v="2621"/>
    <n v="9973"/>
  </r>
  <r>
    <x v="56"/>
    <x v="15"/>
    <x v="2996"/>
    <x v="1251"/>
    <n v="355898"/>
    <n v="55979"/>
    <n v="3856"/>
    <x v="2622"/>
    <n v="-4717"/>
  </r>
  <r>
    <x v="56"/>
    <x v="16"/>
    <x v="2997"/>
    <x v="1252"/>
    <n v="300286"/>
    <n v="-8202"/>
    <n v="2631"/>
    <x v="2623"/>
    <n v="78716"/>
  </r>
  <r>
    <x v="56"/>
    <x v="17"/>
    <x v="2998"/>
    <x v="1253"/>
    <n v="311415"/>
    <n v="5578"/>
    <n v="2372"/>
    <x v="2624"/>
    <n v="2454"/>
  </r>
  <r>
    <x v="56"/>
    <x v="18"/>
    <x v="2999"/>
    <x v="1254"/>
    <n v="299331"/>
    <n v="19685"/>
    <n v="-6559"/>
    <x v="2625"/>
    <n v="4466"/>
  </r>
  <r>
    <x v="56"/>
    <x v="19"/>
    <x v="3000"/>
    <x v="1255"/>
    <n v="291238"/>
    <n v="-5833"/>
    <n v="2755"/>
    <x v="2626"/>
    <n v="93"/>
  </r>
  <r>
    <x v="56"/>
    <x v="20"/>
    <x v="3001"/>
    <x v="1256"/>
    <n v="285072"/>
    <n v="-16200"/>
    <n v="-4443"/>
    <x v="2627"/>
    <n v="1553"/>
  </r>
  <r>
    <x v="56"/>
    <x v="21"/>
    <x v="3002"/>
    <x v="1257"/>
    <n v="303603"/>
    <n v="18203"/>
    <n v="112"/>
    <x v="2628"/>
    <n v="-4601"/>
  </r>
  <r>
    <x v="56"/>
    <x v="22"/>
    <x v="3003"/>
    <x v="1258"/>
    <n v="290380"/>
    <n v="-7140"/>
    <n v="6650"/>
    <x v="2629"/>
    <n v="-9889"/>
  </r>
  <r>
    <x v="56"/>
    <x v="23"/>
    <x v="3004"/>
    <x v="1259"/>
    <n v="293747"/>
    <n v="11839"/>
    <n v="10365"/>
    <x v="2630"/>
    <n v="-11502"/>
  </r>
  <r>
    <x v="56"/>
    <x v="24"/>
    <x v="3005"/>
    <x v="1260"/>
    <n v="285366"/>
    <n v="4454"/>
    <n v="-2700"/>
    <x v="2631"/>
    <n v="2623"/>
  </r>
  <r>
    <x v="56"/>
    <x v="25"/>
    <x v="3006"/>
    <x v="1261"/>
    <n v="277188"/>
    <n v="2821"/>
    <n v="-3852"/>
    <x v="2632"/>
    <n v="5069"/>
  </r>
  <r>
    <x v="56"/>
    <x v="26"/>
    <x v="3007"/>
    <x v="1262"/>
    <n v="273239"/>
    <n v="4764"/>
    <n v="-2575"/>
    <x v="2633"/>
    <n v="17390"/>
  </r>
  <r>
    <x v="56"/>
    <x v="27"/>
    <x v="3008"/>
    <x v="1263"/>
    <n v="275700"/>
    <n v="6954"/>
    <n v="-3884"/>
    <x v="2634"/>
    <n v="6760"/>
  </r>
  <r>
    <x v="56"/>
    <x v="28"/>
    <x v="3009"/>
    <x v="1264"/>
    <n v="259998"/>
    <n v="507"/>
    <n v="-2399"/>
    <x v="2635"/>
    <n v="26172"/>
  </r>
  <r>
    <x v="56"/>
    <x v="29"/>
    <x v="3010"/>
    <x v="1265"/>
    <n v="261936"/>
    <n v="2515"/>
    <n v="-5286"/>
    <x v="2636"/>
    <n v="-21451"/>
  </r>
  <r>
    <x v="56"/>
    <x v="30"/>
    <x v="3011"/>
    <x v="1266"/>
    <n v="264017"/>
    <n v="4319"/>
    <n v="-236"/>
    <x v="2637"/>
    <n v="-24253"/>
  </r>
  <r>
    <x v="56"/>
    <x v="31"/>
    <x v="3012"/>
    <x v="1267"/>
    <n v="266288"/>
    <n v="10445"/>
    <n v="6686"/>
    <x v="2638"/>
    <n v="-1934"/>
  </r>
  <r>
    <x v="56"/>
    <x v="32"/>
    <x v="3013"/>
    <x v="1268"/>
    <n v="248388"/>
    <n v="-8042"/>
    <n v="-3161"/>
    <x v="2639"/>
    <n v="9878"/>
  </r>
  <r>
    <x v="56"/>
    <x v="33"/>
    <x v="3014"/>
    <x v="33"/>
    <n v="254085"/>
    <s v="n.a."/>
    <s v="n.a."/>
    <x v="2640"/>
    <n v="-15821"/>
  </r>
  <r>
    <x v="56"/>
    <x v="34"/>
    <x v="3015"/>
    <x v="33"/>
    <n v="254318"/>
    <s v="n.a."/>
    <s v="n.a."/>
    <x v="2641"/>
    <n v="-2321"/>
  </r>
  <r>
    <x v="56"/>
    <x v="35"/>
    <x v="3016"/>
    <x v="33"/>
    <n v="252870"/>
    <s v="n.a."/>
    <s v="n.a."/>
    <x v="2642"/>
    <n v="-10559"/>
  </r>
  <r>
    <x v="56"/>
    <x v="36"/>
    <x v="3017"/>
    <x v="33"/>
    <n v="241702"/>
    <s v="n.a."/>
    <s v="n.a."/>
    <x v="2643"/>
    <n v="8616"/>
  </r>
  <r>
    <x v="56"/>
    <x v="37"/>
    <x v="3018"/>
    <x v="33"/>
    <n v="251858"/>
    <s v="n.a."/>
    <s v="n.a."/>
    <x v="2644"/>
    <n v="9017"/>
  </r>
  <r>
    <x v="56"/>
    <x v="38"/>
    <x v="3019"/>
    <x v="33"/>
    <n v="262365"/>
    <s v="n.a."/>
    <s v="n.a."/>
    <x v="2645"/>
    <n v="15695"/>
  </r>
  <r>
    <x v="56"/>
    <x v="39"/>
    <x v="3020"/>
    <x v="33"/>
    <n v="256603"/>
    <s v="n.a."/>
    <s v="n.a."/>
    <x v="2646"/>
    <n v="6149"/>
  </r>
  <r>
    <x v="56"/>
    <x v="40"/>
    <x v="3021"/>
    <x v="33"/>
    <n v="261770"/>
    <s v="n.a."/>
    <s v="n.a."/>
    <x v="2647"/>
    <n v="5132"/>
  </r>
  <r>
    <x v="56"/>
    <x v="41"/>
    <x v="3022"/>
    <x v="33"/>
    <n v="253734"/>
    <s v="n.a."/>
    <s v="n.a."/>
    <x v="2648"/>
    <n v="-20307"/>
  </r>
  <r>
    <x v="56"/>
    <x v="42"/>
    <x v="3023"/>
    <x v="33"/>
    <n v="238676"/>
    <s v="n.a."/>
    <s v="n.a."/>
    <x v="2649"/>
    <n v="6126"/>
  </r>
  <r>
    <x v="56"/>
    <x v="43"/>
    <x v="3024"/>
    <x v="33"/>
    <n v="236697"/>
    <s v="n.a."/>
    <s v="n.a."/>
    <x v="2650"/>
    <n v="7542"/>
  </r>
  <r>
    <x v="56"/>
    <x v="44"/>
    <x v="3025"/>
    <x v="33"/>
    <n v="222151"/>
    <s v="n.a."/>
    <s v="n.a."/>
    <x v="2651"/>
    <n v="6805"/>
  </r>
  <r>
    <x v="56"/>
    <x v="45"/>
    <x v="3026"/>
    <x v="33"/>
    <n v="227996"/>
    <s v="n.a."/>
    <s v="n.a."/>
    <x v="2652"/>
    <n v="5695"/>
  </r>
  <r>
    <x v="56"/>
    <x v="46"/>
    <x v="3027"/>
    <x v="33"/>
    <n v="226407"/>
    <s v="n.a."/>
    <s v="n.a."/>
    <x v="2653"/>
    <n v="4979"/>
  </r>
  <r>
    <x v="56"/>
    <x v="47"/>
    <x v="3028"/>
    <x v="33"/>
    <n v="222781"/>
    <s v="n.a."/>
    <s v="n.a."/>
    <x v="2654"/>
    <n v="-1871"/>
  </r>
  <r>
    <x v="56"/>
    <x v="48"/>
    <x v="3029"/>
    <x v="33"/>
    <n v="223733"/>
    <s v="n.a."/>
    <s v="n.a."/>
    <x v="2655"/>
    <n v="9307"/>
  </r>
  <r>
    <x v="56"/>
    <x v="49"/>
    <x v="3030"/>
    <x v="33"/>
    <n v="223197"/>
    <s v="n.a."/>
    <s v="n.a."/>
    <x v="2656"/>
    <n v="1011"/>
  </r>
  <r>
    <x v="56"/>
    <x v="50"/>
    <x v="3031"/>
    <x v="33"/>
    <n v="222015"/>
    <s v="n.a."/>
    <s v="n.a."/>
    <x v="2657"/>
    <n v="8441"/>
  </r>
  <r>
    <x v="56"/>
    <x v="51"/>
    <x v="3032"/>
    <x v="33"/>
    <n v="223802"/>
    <s v="n.a."/>
    <s v="n.a."/>
    <x v="2658"/>
    <n v="393"/>
  </r>
  <r>
    <x v="56"/>
    <x v="52"/>
    <x v="3033"/>
    <x v="33"/>
    <n v="219475"/>
    <s v="n.a."/>
    <s v="n.a."/>
    <x v="2659"/>
    <n v="8254"/>
  </r>
  <r>
    <x v="56"/>
    <x v="53"/>
    <x v="3034"/>
    <x v="33"/>
    <n v="195382"/>
    <s v="n.a."/>
    <s v="n.a."/>
    <x v="2660"/>
    <n v="5874"/>
  </r>
  <r>
    <x v="56"/>
    <x v="54"/>
    <x v="3035"/>
    <x v="33"/>
    <n v="190764"/>
    <s v="n.a."/>
    <s v="n.a."/>
    <x v="2661"/>
    <n v="3044"/>
  </r>
  <r>
    <x v="56"/>
    <x v="55"/>
    <x v="3036"/>
    <x v="33"/>
    <n v="182860"/>
    <s v="n.a."/>
    <s v="n.a."/>
    <x v="2662"/>
    <n v="-8148"/>
  </r>
  <r>
    <x v="56"/>
    <x v="56"/>
    <x v="3037"/>
    <x v="33"/>
    <n v="177438"/>
    <s v="n.a."/>
    <s v="n.a."/>
    <x v="2663"/>
    <n v="2629"/>
  </r>
  <r>
    <x v="56"/>
    <x v="57"/>
    <x v="3038"/>
    <x v="33"/>
    <n v="180320"/>
    <s v="n.a."/>
    <s v="n.a."/>
    <x v="2664"/>
    <n v="-9874"/>
  </r>
  <r>
    <x v="56"/>
    <x v="58"/>
    <x v="3039"/>
    <x v="33"/>
    <n v="180152"/>
    <s v="n.a."/>
    <s v="n.a."/>
    <x v="2665"/>
    <n v="-386"/>
  </r>
  <r>
    <x v="56"/>
    <x v="59"/>
    <x v="3040"/>
    <x v="33"/>
    <n v="180900"/>
    <s v="n.a."/>
    <s v="n.a."/>
    <x v="2666"/>
    <n v="5399"/>
  </r>
  <r>
    <x v="56"/>
    <x v="60"/>
    <x v="3041"/>
    <x v="33"/>
    <n v="186569"/>
    <s v="n.a."/>
    <s v="n.a."/>
    <x v="2667"/>
    <n v="-2558"/>
  </r>
  <r>
    <x v="56"/>
    <x v="61"/>
    <x v="3042"/>
    <x v="33"/>
    <n v="194862"/>
    <s v="n.a."/>
    <s v="n.a."/>
    <x v="2668"/>
    <n v="8471"/>
  </r>
  <r>
    <x v="56"/>
    <x v="62"/>
    <x v="3043"/>
    <x v="33"/>
    <n v="201246"/>
    <s v="n.a."/>
    <s v="n.a."/>
    <x v="2669"/>
    <n v="5333"/>
  </r>
  <r>
    <x v="56"/>
    <x v="63"/>
    <x v="3044"/>
    <x v="33"/>
    <n v="196666"/>
    <s v="n.a."/>
    <s v="n.a."/>
    <x v="2670"/>
    <n v="-8091"/>
  </r>
  <r>
    <x v="56"/>
    <x v="64"/>
    <x v="3045"/>
    <x v="33"/>
    <n v="196797"/>
    <s v="n.a."/>
    <s v="n.a."/>
    <x v="2671"/>
    <n v="8155"/>
  </r>
  <r>
    <x v="56"/>
    <x v="65"/>
    <x v="3046"/>
    <x v="33"/>
    <n v="186118"/>
    <s v="n.a."/>
    <s v="n.a."/>
    <x v="2672"/>
    <n v="6486"/>
  </r>
  <r>
    <x v="56"/>
    <x v="66"/>
    <x v="3047"/>
    <x v="33"/>
    <n v="188948"/>
    <s v="n.a."/>
    <s v="n.a."/>
    <x v="2673"/>
    <n v="11592"/>
  </r>
  <r>
    <x v="56"/>
    <x v="67"/>
    <x v="3048"/>
    <x v="33"/>
    <n v="198312"/>
    <s v="n.a."/>
    <s v="n.a."/>
    <x v="2674"/>
    <n v="2413"/>
  </r>
  <r>
    <x v="56"/>
    <x v="68"/>
    <x v="3049"/>
    <x v="33"/>
    <n v="222090"/>
    <s v="n.a."/>
    <s v="n.a."/>
    <x v="2675"/>
    <n v="3740"/>
  </r>
  <r>
    <x v="56"/>
    <x v="69"/>
    <x v="3050"/>
    <x v="33"/>
    <n v="220636"/>
    <s v="n.a."/>
    <s v="n.a."/>
    <x v="2676"/>
    <n v="-3841"/>
  </r>
  <r>
    <x v="57"/>
    <x v="0"/>
    <x v="3051"/>
    <x v="1269"/>
    <n v="620876"/>
    <n v="-11258"/>
    <n v="2386"/>
    <x v="2677"/>
    <n v="-3703"/>
  </r>
  <r>
    <x v="57"/>
    <x v="1"/>
    <x v="3052"/>
    <x v="1270"/>
    <n v="628966"/>
    <n v="-2966"/>
    <n v="8062"/>
    <x v="2678"/>
    <n v="-7007"/>
  </r>
  <r>
    <x v="57"/>
    <x v="2"/>
    <x v="3053"/>
    <x v="1271"/>
    <n v="622403"/>
    <n v="-21767"/>
    <n v="5420"/>
    <x v="2679"/>
    <n v="12806"/>
  </r>
  <r>
    <x v="57"/>
    <x v="3"/>
    <x v="3054"/>
    <x v="1272"/>
    <n v="631112"/>
    <n v="-23572"/>
    <n v="-2826"/>
    <x v="2680"/>
    <n v="-9849"/>
  </r>
  <r>
    <x v="57"/>
    <x v="4"/>
    <x v="3055"/>
    <x v="1273"/>
    <n v="657059"/>
    <n v="-5389"/>
    <n v="6217"/>
    <x v="2681"/>
    <n v="191"/>
  </r>
  <r>
    <x v="57"/>
    <x v="5"/>
    <x v="3056"/>
    <x v="1274"/>
    <n v="657235"/>
    <n v="2459"/>
    <n v="-6442"/>
    <x v="2682"/>
    <n v="-7452"/>
  </r>
  <r>
    <x v="57"/>
    <x v="6"/>
    <x v="3057"/>
    <x v="1275"/>
    <n v="660674"/>
    <n v="-20736"/>
    <n v="2373"/>
    <x v="2683"/>
    <n v="-2863"/>
  </r>
  <r>
    <x v="57"/>
    <x v="7"/>
    <x v="3058"/>
    <x v="1276"/>
    <n v="679610"/>
    <n v="-27575"/>
    <n v="1938"/>
    <x v="2684"/>
    <n v="8477"/>
  </r>
  <r>
    <x v="57"/>
    <x v="8"/>
    <x v="3059"/>
    <x v="1277"/>
    <n v="707015"/>
    <n v="-4781"/>
    <n v="13445"/>
    <x v="2685"/>
    <n v="15089"/>
  </r>
  <r>
    <x v="57"/>
    <x v="9"/>
    <x v="3060"/>
    <x v="1278"/>
    <n v="698635"/>
    <n v="-3197"/>
    <n v="4225"/>
    <x v="2686"/>
    <n v="1802"/>
  </r>
  <r>
    <x v="57"/>
    <x v="10"/>
    <x v="3061"/>
    <x v="1279"/>
    <n v="698635"/>
    <n v="-10702"/>
    <n v="-11384"/>
    <x v="2687"/>
    <n v="12216"/>
  </r>
  <r>
    <x v="57"/>
    <x v="11"/>
    <x v="3062"/>
    <x v="1280"/>
    <n v="720435"/>
    <n v="-4132"/>
    <n v="4446"/>
    <x v="2688"/>
    <n v="6476"/>
  </r>
  <r>
    <x v="57"/>
    <x v="12"/>
    <x v="3063"/>
    <x v="1281"/>
    <n v="718413"/>
    <n v="3138"/>
    <n v="-16159"/>
    <x v="2689"/>
    <n v="739"/>
  </r>
  <r>
    <x v="57"/>
    <x v="13"/>
    <x v="3064"/>
    <x v="1282"/>
    <n v="731018"/>
    <n v="-12354"/>
    <n v="7213"/>
    <x v="2690"/>
    <n v="427"/>
  </r>
  <r>
    <x v="57"/>
    <x v="14"/>
    <x v="3065"/>
    <x v="1283"/>
    <n v="734091"/>
    <n v="-15866"/>
    <n v="7263"/>
    <x v="2691"/>
    <n v="8071"/>
  </r>
  <r>
    <x v="57"/>
    <x v="15"/>
    <x v="3066"/>
    <x v="1284"/>
    <n v="744041"/>
    <n v="-23106"/>
    <n v="12851"/>
    <x v="2692"/>
    <n v="4739"/>
  </r>
  <r>
    <x v="57"/>
    <x v="16"/>
    <x v="3067"/>
    <x v="1285"/>
    <n v="752483"/>
    <n v="5925"/>
    <n v="5219"/>
    <x v="2693"/>
    <n v="464"/>
  </r>
  <r>
    <x v="57"/>
    <x v="17"/>
    <x v="3068"/>
    <x v="1286"/>
    <n v="741046"/>
    <n v="-23887"/>
    <n v="8861"/>
    <x v="2694"/>
    <n v="12545"/>
  </r>
  <r>
    <x v="57"/>
    <x v="18"/>
    <x v="3069"/>
    <x v="1287"/>
    <n v="756042"/>
    <n v="23895"/>
    <n v="-18842"/>
    <x v="2695"/>
    <n v="-2320"/>
  </r>
  <r>
    <x v="57"/>
    <x v="19"/>
    <x v="3070"/>
    <x v="1288"/>
    <n v="750389"/>
    <n v="-9813"/>
    <n v="5918"/>
    <x v="2696"/>
    <n v="-2829"/>
  </r>
  <r>
    <x v="57"/>
    <x v="20"/>
    <x v="3071"/>
    <x v="1289"/>
    <n v="755097"/>
    <n v="-13154"/>
    <n v="-9668"/>
    <x v="2697"/>
    <n v="-751"/>
  </r>
  <r>
    <x v="57"/>
    <x v="21"/>
    <x v="3072"/>
    <x v="1290"/>
    <n v="777130"/>
    <n v="-21735"/>
    <n v="-3342"/>
    <x v="2698"/>
    <n v="3928"/>
  </r>
  <r>
    <x v="57"/>
    <x v="22"/>
    <x v="3073"/>
    <x v="1291"/>
    <n v="799629"/>
    <n v="-2645"/>
    <n v="25191"/>
    <x v="2699"/>
    <n v="9030"/>
  </r>
  <r>
    <x v="57"/>
    <x v="23"/>
    <x v="3074"/>
    <x v="1292"/>
    <n v="774319"/>
    <n v="-15046"/>
    <n v="25091"/>
    <x v="2700"/>
    <n v="2587"/>
  </r>
  <r>
    <x v="57"/>
    <x v="24"/>
    <x v="3075"/>
    <x v="1293"/>
    <n v="764558"/>
    <n v="1852"/>
    <n v="-10665"/>
    <x v="2701"/>
    <n v="124"/>
  </r>
  <r>
    <x v="57"/>
    <x v="25"/>
    <x v="3076"/>
    <x v="1294"/>
    <n v="773204"/>
    <n v="-1004"/>
    <n v="-18892"/>
    <x v="2702"/>
    <n v="-6924"/>
  </r>
  <r>
    <x v="57"/>
    <x v="26"/>
    <x v="3077"/>
    <x v="1295"/>
    <n v="793507"/>
    <n v="-14867"/>
    <n v="-7447"/>
    <x v="2703"/>
    <n v="5611"/>
  </r>
  <r>
    <x v="57"/>
    <x v="27"/>
    <x v="3078"/>
    <x v="1296"/>
    <n v="815559"/>
    <n v="-11204"/>
    <n v="-4427"/>
    <x v="2704"/>
    <n v="1380"/>
  </r>
  <r>
    <x v="57"/>
    <x v="28"/>
    <x v="3079"/>
    <x v="1297"/>
    <n v="830907"/>
    <n v="8088"/>
    <n v="-7873"/>
    <x v="1728"/>
    <n v="-11913"/>
  </r>
  <r>
    <x v="57"/>
    <x v="29"/>
    <x v="3080"/>
    <x v="1298"/>
    <n v="829935"/>
    <n v="-13671"/>
    <n v="-11709"/>
    <x v="2705"/>
    <n v="390"/>
  </r>
  <r>
    <x v="57"/>
    <x v="30"/>
    <x v="3081"/>
    <x v="1299"/>
    <n v="852529"/>
    <n v="-997"/>
    <n v="1586"/>
    <x v="2706"/>
    <n v="1173"/>
  </r>
  <r>
    <x v="57"/>
    <x v="31"/>
    <x v="3082"/>
    <x v="1300"/>
    <n v="854080"/>
    <n v="-13816"/>
    <n v="25384"/>
    <x v="2707"/>
    <n v="8594"/>
  </r>
  <r>
    <x v="57"/>
    <x v="32"/>
    <x v="3083"/>
    <x v="1301"/>
    <n v="842351"/>
    <n v="6006"/>
    <n v="-19615"/>
    <x v="2708"/>
    <n v="2313"/>
  </r>
  <r>
    <x v="57"/>
    <x v="33"/>
    <x v="3084"/>
    <x v="33"/>
    <n v="855031"/>
    <s v="n.a."/>
    <s v="n.a."/>
    <x v="2709"/>
    <n v="-479"/>
  </r>
  <r>
    <x v="57"/>
    <x v="34"/>
    <x v="3085"/>
    <x v="33"/>
    <n v="862298"/>
    <s v="n.a."/>
    <s v="n.a."/>
    <x v="2710"/>
    <n v="-5078"/>
  </r>
  <r>
    <x v="57"/>
    <x v="35"/>
    <x v="3086"/>
    <x v="33"/>
    <n v="860419"/>
    <s v="n.a."/>
    <s v="n.a."/>
    <x v="2711"/>
    <n v="3585"/>
  </r>
  <r>
    <x v="57"/>
    <x v="36"/>
    <x v="3087"/>
    <x v="33"/>
    <n v="871654"/>
    <s v="n.a."/>
    <s v="n.a."/>
    <x v="2712"/>
    <n v="3063"/>
  </r>
  <r>
    <x v="57"/>
    <x v="37"/>
    <x v="3088"/>
    <x v="33"/>
    <n v="898502"/>
    <s v="n.a."/>
    <s v="n.a."/>
    <x v="2713"/>
    <n v="-832"/>
  </r>
  <r>
    <x v="57"/>
    <x v="38"/>
    <x v="3089"/>
    <x v="33"/>
    <n v="934500"/>
    <s v="n.a."/>
    <s v="n.a."/>
    <x v="2714"/>
    <n v="480"/>
  </r>
  <r>
    <x v="57"/>
    <x v="39"/>
    <x v="3090"/>
    <x v="33"/>
    <n v="935598"/>
    <s v="n.a."/>
    <s v="n.a."/>
    <x v="2715"/>
    <n v="1341"/>
  </r>
  <r>
    <x v="57"/>
    <x v="40"/>
    <x v="3091"/>
    <x v="33"/>
    <n v="936616"/>
    <s v="n.a."/>
    <s v="n.a."/>
    <x v="2716"/>
    <n v="-6642"/>
  </r>
  <r>
    <x v="57"/>
    <x v="41"/>
    <x v="3092"/>
    <x v="33"/>
    <n v="942880"/>
    <s v="n.a."/>
    <s v="n.a."/>
    <x v="2717"/>
    <n v="-2077"/>
  </r>
  <r>
    <x v="57"/>
    <x v="42"/>
    <x v="3093"/>
    <x v="33"/>
    <n v="965072"/>
    <s v="n.a."/>
    <s v="n.a."/>
    <x v="2718"/>
    <n v="8218"/>
  </r>
  <r>
    <x v="57"/>
    <x v="43"/>
    <x v="3094"/>
    <x v="33"/>
    <n v="1010469"/>
    <s v="n.a."/>
    <s v="n.a."/>
    <x v="2719"/>
    <n v="-5790"/>
  </r>
  <r>
    <x v="57"/>
    <x v="44"/>
    <x v="3095"/>
    <x v="33"/>
    <n v="1020152"/>
    <s v="n.a."/>
    <s v="n.a."/>
    <x v="2720"/>
    <n v="-859"/>
  </r>
  <r>
    <x v="57"/>
    <x v="45"/>
    <x v="3096"/>
    <x v="33"/>
    <n v="1024423"/>
    <s v="n.a."/>
    <s v="n.a."/>
    <x v="2721"/>
    <n v="5176"/>
  </r>
  <r>
    <x v="57"/>
    <x v="46"/>
    <x v="3097"/>
    <x v="33"/>
    <n v="1036125"/>
    <s v="n.a."/>
    <s v="n.a."/>
    <x v="2722"/>
    <n v="-7908"/>
  </r>
  <r>
    <x v="57"/>
    <x v="47"/>
    <x v="3098"/>
    <x v="33"/>
    <n v="1040769"/>
    <s v="n.a."/>
    <s v="n.a."/>
    <x v="2723"/>
    <n v="9403"/>
  </r>
  <r>
    <x v="57"/>
    <x v="48"/>
    <x v="3099"/>
    <x v="33"/>
    <n v="1062693"/>
    <s v="n.a."/>
    <s v="n.a."/>
    <x v="2724"/>
    <n v="321"/>
  </r>
  <r>
    <x v="57"/>
    <x v="49"/>
    <x v="3100"/>
    <x v="33"/>
    <n v="1045154"/>
    <s v="n.a."/>
    <s v="n.a."/>
    <x v="1994"/>
    <n v="-638"/>
  </r>
  <r>
    <x v="57"/>
    <x v="50"/>
    <x v="3101"/>
    <x v="33"/>
    <n v="1043989"/>
    <s v="n.a."/>
    <s v="n.a."/>
    <x v="2725"/>
    <n v="-11641"/>
  </r>
  <r>
    <x v="57"/>
    <x v="51"/>
    <x v="3102"/>
    <x v="33"/>
    <n v="1053679"/>
    <s v="n.a."/>
    <s v="n.a."/>
    <x v="2726"/>
    <n v="11327"/>
  </r>
  <r>
    <x v="57"/>
    <x v="52"/>
    <x v="3103"/>
    <x v="33"/>
    <n v="1058503"/>
    <s v="n.a."/>
    <s v="n.a."/>
    <x v="2727"/>
    <n v="-11984"/>
  </r>
  <r>
    <x v="57"/>
    <x v="53"/>
    <x v="3104"/>
    <x v="33"/>
    <n v="1063114"/>
    <s v="n.a."/>
    <s v="n.a."/>
    <x v="2728"/>
    <n v="-17318"/>
  </r>
  <r>
    <x v="57"/>
    <x v="54"/>
    <x v="3105"/>
    <x v="33"/>
    <n v="1063437"/>
    <s v="n.a."/>
    <s v="n.a."/>
    <x v="2729"/>
    <n v="-23087"/>
  </r>
  <r>
    <x v="57"/>
    <x v="55"/>
    <x v="3106"/>
    <x v="33"/>
    <n v="1044636"/>
    <s v="n.a."/>
    <s v="n.a."/>
    <x v="2730"/>
    <n v="-20312"/>
  </r>
  <r>
    <x v="57"/>
    <x v="56"/>
    <x v="3107"/>
    <x v="33"/>
    <n v="1028184"/>
    <s v="n.a."/>
    <s v="n.a."/>
    <x v="2731"/>
    <n v="18702"/>
  </r>
  <r>
    <x v="57"/>
    <x v="57"/>
    <x v="3108"/>
    <x v="33"/>
    <n v="1037840"/>
    <s v="n.a."/>
    <s v="n.a."/>
    <x v="2732"/>
    <n v="17693"/>
  </r>
  <r>
    <x v="57"/>
    <x v="58"/>
    <x v="3109"/>
    <x v="33"/>
    <n v="1032634"/>
    <s v="n.a."/>
    <s v="n.a."/>
    <x v="2733"/>
    <n v="7710"/>
  </r>
  <r>
    <x v="57"/>
    <x v="59"/>
    <x v="3110"/>
    <x v="33"/>
    <n v="1031023"/>
    <s v="n.a."/>
    <s v="n.a."/>
    <x v="2734"/>
    <n v="6979"/>
  </r>
  <r>
    <x v="57"/>
    <x v="60"/>
    <x v="3111"/>
    <x v="33"/>
    <n v="1029060"/>
    <s v="n.a."/>
    <s v="n.a."/>
    <x v="2735"/>
    <n v="5034"/>
  </r>
  <r>
    <x v="57"/>
    <x v="61"/>
    <x v="3112"/>
    <x v="33"/>
    <n v="1041822"/>
    <s v="n.a."/>
    <s v="n.a."/>
    <x v="2736"/>
    <n v="2406"/>
  </r>
  <r>
    <x v="57"/>
    <x v="62"/>
    <x v="3113"/>
    <x v="33"/>
    <n v="1050447"/>
    <s v="n.a."/>
    <s v="n.a."/>
    <x v="2335"/>
    <n v="-9956"/>
  </r>
  <r>
    <x v="57"/>
    <x v="63"/>
    <x v="3114"/>
    <x v="33"/>
    <n v="1045933"/>
    <s v="n.a."/>
    <s v="n.a."/>
    <x v="2737"/>
    <n v="-6543"/>
  </r>
  <r>
    <x v="57"/>
    <x v="64"/>
    <x v="3115"/>
    <x v="33"/>
    <n v="1040416"/>
    <s v="n.a."/>
    <s v="n.a."/>
    <x v="2738"/>
    <n v="-4830"/>
  </r>
  <r>
    <x v="57"/>
    <x v="65"/>
    <x v="3116"/>
    <x v="33"/>
    <n v="1044888"/>
    <s v="n.a."/>
    <s v="n.a."/>
    <x v="2739"/>
    <n v="-5646"/>
  </r>
  <r>
    <x v="57"/>
    <x v="66"/>
    <x v="3117"/>
    <x v="33"/>
    <n v="1028311"/>
    <s v="n.a."/>
    <s v="n.a."/>
    <x v="2740"/>
    <n v="11768"/>
  </r>
  <r>
    <x v="57"/>
    <x v="67"/>
    <x v="3118"/>
    <x v="33"/>
    <n v="1048890"/>
    <s v="n.a."/>
    <s v="n.a."/>
    <x v="2741"/>
    <n v="29314"/>
  </r>
  <r>
    <x v="57"/>
    <x v="68"/>
    <x v="3119"/>
    <x v="33"/>
    <n v="1088850"/>
    <s v="n.a."/>
    <s v="n.a."/>
    <x v="2742"/>
    <n v="-2069"/>
  </r>
  <r>
    <x v="57"/>
    <x v="69"/>
    <x v="3120"/>
    <x v="33"/>
    <n v="1073121"/>
    <s v="n.a."/>
    <s v="n.a."/>
    <x v="2743"/>
    <n v="3064"/>
  </r>
  <r>
    <x v="58"/>
    <x v="0"/>
    <x v="3121"/>
    <x v="1302"/>
    <n v="207110"/>
    <n v="5991"/>
    <n v="62"/>
    <x v="2744"/>
    <n v="3562"/>
  </r>
  <r>
    <x v="58"/>
    <x v="1"/>
    <x v="3122"/>
    <x v="165"/>
    <n v="197575"/>
    <n v="-8597"/>
    <n v="1115"/>
    <x v="2745"/>
    <n v="-3231"/>
  </r>
  <r>
    <x v="58"/>
    <x v="2"/>
    <x v="3123"/>
    <x v="1303"/>
    <n v="208244"/>
    <n v="11294"/>
    <n v="945"/>
    <x v="2746"/>
    <n v="-3016"/>
  </r>
  <r>
    <x v="58"/>
    <x v="3"/>
    <x v="3124"/>
    <x v="1304"/>
    <n v="201066"/>
    <n v="12963"/>
    <n v="-1480"/>
    <x v="2747"/>
    <n v="-4844"/>
  </r>
  <r>
    <x v="58"/>
    <x v="4"/>
    <x v="3125"/>
    <x v="1305"/>
    <n v="190685"/>
    <n v="-7959"/>
    <n v="930"/>
    <x v="2748"/>
    <n v="-7228"/>
  </r>
  <r>
    <x v="58"/>
    <x v="5"/>
    <x v="3126"/>
    <x v="1306"/>
    <n v="193671"/>
    <n v="5631"/>
    <n v="-3030"/>
    <x v="2749"/>
    <n v="4930"/>
  </r>
  <r>
    <x v="58"/>
    <x v="6"/>
    <x v="3127"/>
    <x v="1307"/>
    <n v="193164"/>
    <n v="8527"/>
    <n v="66"/>
    <x v="2750"/>
    <n v="-6004"/>
  </r>
  <r>
    <x v="58"/>
    <x v="7"/>
    <x v="3128"/>
    <x v="1308"/>
    <n v="202976"/>
    <n v="-9872"/>
    <n v="-1592"/>
    <x v="2751"/>
    <n v="1518"/>
  </r>
  <r>
    <x v="58"/>
    <x v="8"/>
    <x v="3129"/>
    <x v="1309"/>
    <n v="215363"/>
    <n v="2880"/>
    <n v="3593"/>
    <x v="2752"/>
    <n v="12045"/>
  </r>
  <r>
    <x v="58"/>
    <x v="9"/>
    <x v="3130"/>
    <x v="1310"/>
    <n v="209603"/>
    <n v="4561"/>
    <n v="908"/>
    <x v="2753"/>
    <n v="4823"/>
  </r>
  <r>
    <x v="58"/>
    <x v="10"/>
    <x v="3131"/>
    <x v="1311"/>
    <n v="213388"/>
    <n v="2978"/>
    <n v="-8231"/>
    <x v="2754"/>
    <n v="-4200"/>
  </r>
  <r>
    <x v="58"/>
    <x v="11"/>
    <x v="3132"/>
    <x v="1312"/>
    <n v="220010"/>
    <n v="925"/>
    <n v="1005"/>
    <x v="2755"/>
    <n v="3114"/>
  </r>
  <r>
    <x v="58"/>
    <x v="12"/>
    <x v="3133"/>
    <x v="1313"/>
    <n v="219102"/>
    <n v="22265"/>
    <n v="-3117"/>
    <x v="2756"/>
    <n v="-1174"/>
  </r>
  <r>
    <x v="58"/>
    <x v="13"/>
    <x v="3134"/>
    <x v="1314"/>
    <n v="199892"/>
    <n v="-4721"/>
    <n v="-1785"/>
    <x v="2757"/>
    <n v="7173"/>
  </r>
  <r>
    <x v="58"/>
    <x v="14"/>
    <x v="3135"/>
    <x v="1315"/>
    <n v="207001"/>
    <n v="-704"/>
    <n v="1781"/>
    <x v="2758"/>
    <n v="3970"/>
  </r>
  <r>
    <x v="58"/>
    <x v="15"/>
    <x v="3136"/>
    <x v="1316"/>
    <n v="205958"/>
    <n v="10847"/>
    <n v="2121"/>
    <x v="2759"/>
    <n v="136"/>
  </r>
  <r>
    <x v="58"/>
    <x v="16"/>
    <x v="3137"/>
    <x v="1317"/>
    <n v="194040"/>
    <n v="2046"/>
    <n v="1557"/>
    <x v="2760"/>
    <n v="-2220"/>
  </r>
  <r>
    <x v="58"/>
    <x v="17"/>
    <x v="3138"/>
    <x v="1195"/>
    <n v="189400"/>
    <n v="-1672"/>
    <n v="-578"/>
    <x v="2761"/>
    <n v="-582"/>
  </r>
  <r>
    <x v="58"/>
    <x v="18"/>
    <x v="3139"/>
    <x v="1318"/>
    <n v="191197"/>
    <n v="18709"/>
    <n v="-3179"/>
    <x v="2762"/>
    <n v="3150"/>
  </r>
  <r>
    <x v="58"/>
    <x v="19"/>
    <x v="3140"/>
    <x v="1319"/>
    <n v="175981"/>
    <n v="-11218"/>
    <n v="-255"/>
    <x v="2763"/>
    <n v="3116"/>
  </r>
  <r>
    <x v="58"/>
    <x v="20"/>
    <x v="3141"/>
    <x v="1320"/>
    <n v="187591"/>
    <n v="2159"/>
    <n v="-2494"/>
    <x v="2764"/>
    <n v="5603"/>
  </r>
  <r>
    <x v="58"/>
    <x v="21"/>
    <x v="3142"/>
    <x v="1321"/>
    <n v="209261"/>
    <n v="-5218"/>
    <n v="-2470"/>
    <x v="2765"/>
    <n v="2429"/>
  </r>
  <r>
    <x v="58"/>
    <x v="22"/>
    <x v="3143"/>
    <x v="1322"/>
    <n v="216989"/>
    <n v="15136"/>
    <n v="5345"/>
    <x v="2766"/>
    <n v="980"/>
  </r>
  <r>
    <x v="58"/>
    <x v="23"/>
    <x v="3144"/>
    <x v="1323"/>
    <n v="191074"/>
    <n v="6900"/>
    <n v="7978"/>
    <x v="2767"/>
    <n v="-1665"/>
  </r>
  <r>
    <x v="58"/>
    <x v="24"/>
    <x v="3145"/>
    <x v="1324"/>
    <n v="177340"/>
    <n v="5266"/>
    <n v="-2719"/>
    <x v="2768"/>
    <n v="-4362"/>
  </r>
  <r>
    <x v="58"/>
    <x v="25"/>
    <x v="3146"/>
    <x v="592"/>
    <n v="170880"/>
    <n v="424"/>
    <n v="-8025"/>
    <x v="2769"/>
    <n v="969"/>
  </r>
  <r>
    <x v="58"/>
    <x v="26"/>
    <x v="3147"/>
    <x v="1325"/>
    <n v="177495"/>
    <n v="4065"/>
    <n v="190"/>
    <x v="2770"/>
    <n v="-9444"/>
  </r>
  <r>
    <x v="58"/>
    <x v="27"/>
    <x v="3148"/>
    <x v="1326"/>
    <n v="171295"/>
    <n v="2247"/>
    <n v="-380"/>
    <x v="2771"/>
    <n v="4816"/>
  </r>
  <r>
    <x v="58"/>
    <x v="28"/>
    <x v="3149"/>
    <x v="1327"/>
    <n v="169164"/>
    <n v="-12237"/>
    <n v="-691"/>
    <x v="2772"/>
    <n v="-3917"/>
  </r>
  <r>
    <x v="58"/>
    <x v="29"/>
    <x v="3150"/>
    <x v="858"/>
    <n v="182402"/>
    <n v="7260"/>
    <n v="-2457"/>
    <x v="2773"/>
    <n v="-7557"/>
  </r>
  <r>
    <x v="58"/>
    <x v="30"/>
    <x v="3151"/>
    <x v="1328"/>
    <n v="180948"/>
    <n v="4764"/>
    <n v="-1712"/>
    <x v="2774"/>
    <n v="-2585"/>
  </r>
  <r>
    <x v="58"/>
    <x v="31"/>
    <x v="3152"/>
    <x v="1329"/>
    <n v="179325"/>
    <n v="-313"/>
    <n v="3703"/>
    <x v="2775"/>
    <n v="5481"/>
  </r>
  <r>
    <x v="58"/>
    <x v="32"/>
    <x v="3153"/>
    <x v="1330"/>
    <n v="174164"/>
    <n v="-5434"/>
    <n v="-4649"/>
    <x v="2776"/>
    <n v="53"/>
  </r>
  <r>
    <x v="58"/>
    <x v="33"/>
    <x v="3154"/>
    <x v="33"/>
    <n v="182697"/>
    <s v="n.a."/>
    <s v="n.a."/>
    <x v="2777"/>
    <n v="-1174"/>
  </r>
  <r>
    <x v="58"/>
    <x v="34"/>
    <x v="3155"/>
    <x v="33"/>
    <n v="175078"/>
    <s v="n.a."/>
    <s v="n.a."/>
    <x v="2778"/>
    <n v="6346"/>
  </r>
  <r>
    <x v="58"/>
    <x v="35"/>
    <x v="3156"/>
    <x v="33"/>
    <n v="168055"/>
    <s v="n.a."/>
    <s v="n.a."/>
    <x v="2779"/>
    <n v="6174"/>
  </r>
  <r>
    <x v="58"/>
    <x v="36"/>
    <x v="3157"/>
    <x v="33"/>
    <n v="158102"/>
    <s v="n.a."/>
    <s v="n.a."/>
    <x v="2780"/>
    <n v="5081"/>
  </r>
  <r>
    <x v="58"/>
    <x v="37"/>
    <x v="3158"/>
    <x v="33"/>
    <n v="156840"/>
    <s v="n.a."/>
    <s v="n.a."/>
    <x v="2781"/>
    <n v="-833"/>
  </r>
  <r>
    <x v="58"/>
    <x v="38"/>
    <x v="3159"/>
    <x v="33"/>
    <n v="167119"/>
    <s v="n.a."/>
    <s v="n.a."/>
    <x v="2782"/>
    <n v="-2840"/>
  </r>
  <r>
    <x v="58"/>
    <x v="39"/>
    <x v="3160"/>
    <x v="33"/>
    <n v="167254"/>
    <s v="n.a."/>
    <s v="n.a."/>
    <x v="2783"/>
    <n v="2815"/>
  </r>
  <r>
    <x v="58"/>
    <x v="40"/>
    <x v="3161"/>
    <x v="33"/>
    <n v="164590"/>
    <s v="n.a."/>
    <s v="n.a."/>
    <x v="2784"/>
    <n v="-827"/>
  </r>
  <r>
    <x v="58"/>
    <x v="41"/>
    <x v="3162"/>
    <x v="33"/>
    <n v="162057"/>
    <s v="n.a."/>
    <s v="n.a."/>
    <x v="2785"/>
    <n v="-1274"/>
  </r>
  <r>
    <x v="58"/>
    <x v="42"/>
    <x v="3163"/>
    <x v="33"/>
    <n v="170143"/>
    <s v="n.a."/>
    <s v="n.a."/>
    <x v="2786"/>
    <n v="-2550"/>
  </r>
  <r>
    <x v="58"/>
    <x v="43"/>
    <x v="3164"/>
    <x v="33"/>
    <n v="180376"/>
    <s v="n.a."/>
    <s v="n.a."/>
    <x v="2787"/>
    <n v="2867"/>
  </r>
  <r>
    <x v="58"/>
    <x v="44"/>
    <x v="3165"/>
    <x v="33"/>
    <n v="180897"/>
    <s v="n.a."/>
    <s v="n.a."/>
    <x v="2788"/>
    <n v="4739"/>
  </r>
  <r>
    <x v="58"/>
    <x v="45"/>
    <x v="3166"/>
    <x v="33"/>
    <n v="205854"/>
    <s v="n.a."/>
    <s v="n.a."/>
    <x v="2789"/>
    <n v="-1004"/>
  </r>
  <r>
    <x v="58"/>
    <x v="46"/>
    <x v="3167"/>
    <x v="33"/>
    <n v="204469"/>
    <s v="n.a."/>
    <s v="n.a."/>
    <x v="2790"/>
    <n v="1162"/>
  </r>
  <r>
    <x v="58"/>
    <x v="47"/>
    <x v="3168"/>
    <x v="33"/>
    <n v="214767"/>
    <s v="n.a."/>
    <s v="n.a."/>
    <x v="2791"/>
    <n v="424"/>
  </r>
  <r>
    <x v="58"/>
    <x v="48"/>
    <x v="3169"/>
    <x v="33"/>
    <n v="214189"/>
    <s v="n.a."/>
    <s v="n.a."/>
    <x v="373"/>
    <n v="-214"/>
  </r>
  <r>
    <x v="58"/>
    <x v="49"/>
    <x v="3170"/>
    <x v="33"/>
    <n v="210125"/>
    <s v="n.a."/>
    <s v="n.a."/>
    <x v="2792"/>
    <n v="-1659"/>
  </r>
  <r>
    <x v="58"/>
    <x v="50"/>
    <x v="3171"/>
    <x v="33"/>
    <n v="198482"/>
    <s v="n.a."/>
    <s v="n.a."/>
    <x v="2793"/>
    <n v="-1004"/>
  </r>
  <r>
    <x v="58"/>
    <x v="51"/>
    <x v="3172"/>
    <x v="33"/>
    <n v="205092"/>
    <s v="n.a."/>
    <s v="n.a."/>
    <x v="2794"/>
    <n v="589"/>
  </r>
  <r>
    <x v="58"/>
    <x v="52"/>
    <x v="3173"/>
    <x v="33"/>
    <n v="197732"/>
    <s v="n.a."/>
    <s v="n.a."/>
    <x v="2795"/>
    <n v="847"/>
  </r>
  <r>
    <x v="58"/>
    <x v="53"/>
    <x v="3174"/>
    <x v="33"/>
    <n v="203513"/>
    <s v="n.a."/>
    <s v="n.a."/>
    <x v="2796"/>
    <n v="-1545"/>
  </r>
  <r>
    <x v="58"/>
    <x v="54"/>
    <x v="3175"/>
    <x v="33"/>
    <n v="193738"/>
    <s v="n.a."/>
    <s v="n.a."/>
    <x v="2797"/>
    <n v="-9709"/>
  </r>
  <r>
    <x v="58"/>
    <x v="55"/>
    <x v="3176"/>
    <x v="33"/>
    <n v="195094"/>
    <s v="n.a."/>
    <s v="n.a."/>
    <x v="2798"/>
    <n v="1517"/>
  </r>
  <r>
    <x v="58"/>
    <x v="56"/>
    <x v="3177"/>
    <x v="33"/>
    <n v="194638"/>
    <s v="n.a."/>
    <s v="n.a."/>
    <x v="2799"/>
    <n v="-1063"/>
  </r>
  <r>
    <x v="58"/>
    <x v="57"/>
    <x v="3178"/>
    <x v="33"/>
    <n v="192486"/>
    <s v="n.a."/>
    <s v="n.a."/>
    <x v="2800"/>
    <n v="744"/>
  </r>
  <r>
    <x v="58"/>
    <x v="58"/>
    <x v="3179"/>
    <x v="33"/>
    <n v="193401"/>
    <s v="n.a."/>
    <s v="n.a."/>
    <x v="2801"/>
    <n v="1817"/>
  </r>
  <r>
    <x v="58"/>
    <x v="59"/>
    <x v="3180"/>
    <x v="33"/>
    <n v="194921"/>
    <s v="n.a."/>
    <s v="n.a."/>
    <x v="2802"/>
    <n v="-1776"/>
  </r>
  <r>
    <x v="58"/>
    <x v="60"/>
    <x v="3181"/>
    <x v="33"/>
    <n v="195990"/>
    <s v="n.a."/>
    <s v="n.a."/>
    <x v="2803"/>
    <n v="8185"/>
  </r>
  <r>
    <x v="58"/>
    <x v="61"/>
    <x v="3182"/>
    <x v="33"/>
    <n v="219201"/>
    <s v="n.a."/>
    <s v="n.a."/>
    <x v="2804"/>
    <n v="1096"/>
  </r>
  <r>
    <x v="58"/>
    <x v="62"/>
    <x v="3183"/>
    <x v="33"/>
    <n v="225381"/>
    <s v="n.a."/>
    <s v="n.a."/>
    <x v="2805"/>
    <n v="-2490"/>
  </r>
  <r>
    <x v="58"/>
    <x v="63"/>
    <x v="3184"/>
    <x v="33"/>
    <n v="238866"/>
    <s v="n.a."/>
    <s v="n.a."/>
    <x v="2806"/>
    <n v="-2576"/>
  </r>
  <r>
    <x v="58"/>
    <x v="64"/>
    <x v="3185"/>
    <x v="33"/>
    <n v="235778"/>
    <s v="n.a."/>
    <s v="n.a."/>
    <x v="2807"/>
    <n v="1755"/>
  </r>
  <r>
    <x v="58"/>
    <x v="65"/>
    <x v="3186"/>
    <x v="33"/>
    <n v="244358"/>
    <s v="n.a."/>
    <s v="n.a."/>
    <x v="2808"/>
    <n v="10099"/>
  </r>
  <r>
    <x v="58"/>
    <x v="66"/>
    <x v="3187"/>
    <x v="33"/>
    <n v="244798"/>
    <s v="n.a."/>
    <s v="n.a."/>
    <x v="2809"/>
    <n v="-49"/>
  </r>
  <r>
    <x v="58"/>
    <x v="67"/>
    <x v="3188"/>
    <x v="33"/>
    <n v="241416"/>
    <s v="n.a."/>
    <s v="n.a."/>
    <x v="2810"/>
    <n v="-5121"/>
  </r>
  <r>
    <x v="58"/>
    <x v="68"/>
    <x v="3189"/>
    <x v="33"/>
    <n v="248668"/>
    <s v="n.a."/>
    <s v="n.a."/>
    <x v="2811"/>
    <n v="4635"/>
  </r>
  <r>
    <x v="58"/>
    <x v="69"/>
    <x v="3190"/>
    <x v="33"/>
    <n v="237854"/>
    <s v="n.a."/>
    <s v="n.a."/>
    <x v="2812"/>
    <n v="-917"/>
  </r>
  <r>
    <x v="59"/>
    <x v="0"/>
    <x v="3191"/>
    <x v="1331"/>
    <n v="175254"/>
    <n v="-13636"/>
    <n v="521"/>
    <x v="2813"/>
    <n v="1145"/>
  </r>
  <r>
    <x v="59"/>
    <x v="1"/>
    <x v="3192"/>
    <x v="1332"/>
    <n v="188325"/>
    <n v="-13486"/>
    <n v="191"/>
    <x v="2814"/>
    <n v="-3419"/>
  </r>
  <r>
    <x v="59"/>
    <x v="2"/>
    <x v="3193"/>
    <x v="1333"/>
    <n v="201612"/>
    <n v="-4234"/>
    <n v="2110"/>
    <x v="2815"/>
    <n v="1818"/>
  </r>
  <r>
    <x v="59"/>
    <x v="3"/>
    <x v="3194"/>
    <x v="1334"/>
    <n v="203745"/>
    <n v="-6427"/>
    <n v="-977"/>
    <x v="2816"/>
    <n v="-273"/>
  </r>
  <r>
    <x v="59"/>
    <x v="4"/>
    <x v="3195"/>
    <x v="1335"/>
    <n v="211145"/>
    <n v="-8683"/>
    <n v="1646"/>
    <x v="2817"/>
    <n v="-926"/>
  </r>
  <r>
    <x v="59"/>
    <x v="5"/>
    <x v="3196"/>
    <x v="1336"/>
    <n v="218184"/>
    <n v="1712"/>
    <n v="-1684"/>
    <x v="2818"/>
    <n v="2769"/>
  </r>
  <r>
    <x v="59"/>
    <x v="6"/>
    <x v="3197"/>
    <x v="1337"/>
    <n v="218134"/>
    <n v="-5459"/>
    <n v="1842"/>
    <x v="2819"/>
    <n v="-3717"/>
  </r>
  <r>
    <x v="59"/>
    <x v="7"/>
    <x v="3198"/>
    <x v="1338"/>
    <n v="221762"/>
    <n v="9663"/>
    <n v="664"/>
    <x v="2820"/>
    <n v="1523"/>
  </r>
  <r>
    <x v="59"/>
    <x v="8"/>
    <x v="3199"/>
    <x v="1339"/>
    <n v="211430"/>
    <n v="-1602"/>
    <n v="2800"/>
    <x v="2821"/>
    <n v="1141"/>
  </r>
  <r>
    <x v="59"/>
    <x v="9"/>
    <x v="3200"/>
    <x v="1340"/>
    <n v="210246"/>
    <n v="-3336"/>
    <n v="747"/>
    <x v="2822"/>
    <n v="9195"/>
  </r>
  <r>
    <x v="59"/>
    <x v="10"/>
    <x v="3201"/>
    <x v="1341"/>
    <n v="212841"/>
    <n v="-10278"/>
    <n v="-2334"/>
    <x v="2823"/>
    <n v="-2330"/>
  </r>
  <r>
    <x v="59"/>
    <x v="11"/>
    <x v="3202"/>
    <x v="1342"/>
    <n v="225446"/>
    <n v="-6524"/>
    <n v="1126"/>
    <x v="2824"/>
    <n v="-1989"/>
  </r>
  <r>
    <x v="59"/>
    <x v="12"/>
    <x v="3203"/>
    <x v="1343"/>
    <n v="230846"/>
    <n v="7293"/>
    <n v="-4944"/>
    <x v="2354"/>
    <n v="-8185"/>
  </r>
  <r>
    <x v="59"/>
    <x v="13"/>
    <x v="3204"/>
    <x v="1344"/>
    <n v="228496"/>
    <n v="-3902"/>
    <n v="1712"/>
    <x v="2825"/>
    <n v="3447"/>
  </r>
  <r>
    <x v="59"/>
    <x v="14"/>
    <x v="3205"/>
    <x v="1345"/>
    <n v="230652"/>
    <n v="625"/>
    <n v="1911"/>
    <x v="2826"/>
    <n v="4596"/>
  </r>
  <r>
    <x v="59"/>
    <x v="15"/>
    <x v="3206"/>
    <x v="1346"/>
    <n v="228126"/>
    <n v="-8484"/>
    <n v="3719"/>
    <x v="2827"/>
    <n v="1649"/>
  </r>
  <r>
    <x v="59"/>
    <x v="16"/>
    <x v="3207"/>
    <x v="1347"/>
    <n v="232873"/>
    <n v="4627"/>
    <n v="1412"/>
    <x v="2828"/>
    <n v="-1902"/>
  </r>
  <r>
    <x v="59"/>
    <x v="17"/>
    <x v="3208"/>
    <x v="1348"/>
    <n v="226810"/>
    <n v="1937"/>
    <n v="2077"/>
    <x v="2829"/>
    <n v="205"/>
  </r>
  <r>
    <x v="59"/>
    <x v="18"/>
    <x v="3209"/>
    <x v="1349"/>
    <n v="222794"/>
    <n v="-1817"/>
    <n v="-3533"/>
    <x v="2830"/>
    <n v="-1692"/>
  </r>
  <r>
    <x v="59"/>
    <x v="19"/>
    <x v="3210"/>
    <x v="1350"/>
    <n v="228192"/>
    <n v="2345"/>
    <n v="685"/>
    <x v="2831"/>
    <n v="2882"/>
  </r>
  <r>
    <x v="59"/>
    <x v="20"/>
    <x v="3211"/>
    <x v="1351"/>
    <n v="225166"/>
    <n v="1607"/>
    <n v="-2637"/>
    <x v="2832"/>
    <n v="-355"/>
  </r>
  <r>
    <x v="59"/>
    <x v="21"/>
    <x v="3212"/>
    <x v="1352"/>
    <n v="226214"/>
    <n v="-851"/>
    <n v="206"/>
    <x v="2833"/>
    <n v="3054"/>
  </r>
  <r>
    <x v="59"/>
    <x v="22"/>
    <x v="3213"/>
    <x v="1353"/>
    <n v="226853"/>
    <n v="4239"/>
    <n v="3902"/>
    <x v="2834"/>
    <n v="617"/>
  </r>
  <r>
    <x v="59"/>
    <x v="23"/>
    <x v="3214"/>
    <x v="1354"/>
    <n v="218662"/>
    <n v="-4030"/>
    <n v="4290"/>
    <x v="2835"/>
    <n v="2584"/>
  </r>
  <r>
    <x v="59"/>
    <x v="24"/>
    <x v="3215"/>
    <x v="1355"/>
    <n v="218387"/>
    <n v="-8201"/>
    <n v="-1247"/>
    <x v="839"/>
    <n v="2410"/>
  </r>
  <r>
    <x v="59"/>
    <x v="25"/>
    <x v="3216"/>
    <x v="1356"/>
    <n v="227838"/>
    <n v="-559"/>
    <n v="-2412"/>
    <x v="2836"/>
    <n v="-430"/>
  </r>
  <r>
    <x v="59"/>
    <x v="26"/>
    <x v="3217"/>
    <x v="1357"/>
    <n v="230820"/>
    <n v="-427"/>
    <n v="-306"/>
    <x v="2837"/>
    <n v="92"/>
  </r>
  <r>
    <x v="59"/>
    <x v="27"/>
    <x v="3218"/>
    <x v="1358"/>
    <n v="231546"/>
    <n v="-1156"/>
    <n v="-139"/>
    <x v="2310"/>
    <n v="-940"/>
  </r>
  <r>
    <x v="59"/>
    <x v="28"/>
    <x v="3219"/>
    <x v="1359"/>
    <n v="232869"/>
    <n v="-1019"/>
    <n v="-1531"/>
    <x v="2838"/>
    <n v="-370"/>
  </r>
  <r>
    <x v="59"/>
    <x v="29"/>
    <x v="3220"/>
    <x v="449"/>
    <n v="235447"/>
    <n v="2182"/>
    <n v="-1505"/>
    <x v="1651"/>
    <n v="-991"/>
  </r>
  <r>
    <x v="59"/>
    <x v="30"/>
    <x v="3221"/>
    <x v="350"/>
    <n v="234841"/>
    <n v="1077"/>
    <n v="743"/>
    <x v="2839"/>
    <n v="-962"/>
  </r>
  <r>
    <x v="59"/>
    <x v="31"/>
    <x v="3222"/>
    <x v="1360"/>
    <n v="233031"/>
    <n v="1322"/>
    <n v="4183"/>
    <x v="2840"/>
    <n v="1207"/>
  </r>
  <r>
    <x v="59"/>
    <x v="32"/>
    <x v="3223"/>
    <x v="1361"/>
    <n v="227527"/>
    <n v="1867"/>
    <n v="-3129"/>
    <x v="2841"/>
    <n v="409"/>
  </r>
  <r>
    <x v="59"/>
    <x v="33"/>
    <x v="3224"/>
    <x v="33"/>
    <n v="228811"/>
    <s v="n.a."/>
    <s v="n.a."/>
    <x v="2842"/>
    <n v="659"/>
  </r>
  <r>
    <x v="59"/>
    <x v="34"/>
    <x v="3225"/>
    <x v="33"/>
    <n v="221497"/>
    <s v="n.a."/>
    <s v="n.a."/>
    <x v="2843"/>
    <n v="-404"/>
  </r>
  <r>
    <x v="59"/>
    <x v="35"/>
    <x v="3226"/>
    <x v="33"/>
    <n v="216039"/>
    <s v="n.a."/>
    <s v="n.a."/>
    <x v="2844"/>
    <n v="21"/>
  </r>
  <r>
    <x v="59"/>
    <x v="36"/>
    <x v="3227"/>
    <x v="33"/>
    <n v="210053"/>
    <s v="n.a."/>
    <s v="n.a."/>
    <x v="2845"/>
    <n v="-531"/>
  </r>
  <r>
    <x v="59"/>
    <x v="37"/>
    <x v="3228"/>
    <x v="33"/>
    <n v="209110"/>
    <s v="n.a."/>
    <s v="n.a."/>
    <x v="2846"/>
    <n v="273"/>
  </r>
  <r>
    <x v="59"/>
    <x v="38"/>
    <x v="3229"/>
    <x v="33"/>
    <n v="218025"/>
    <s v="n.a."/>
    <s v="n.a."/>
    <x v="2847"/>
    <n v="315"/>
  </r>
  <r>
    <x v="59"/>
    <x v="39"/>
    <x v="3230"/>
    <x v="33"/>
    <n v="209153"/>
    <s v="n.a."/>
    <s v="n.a."/>
    <x v="689"/>
    <n v="-63"/>
  </r>
  <r>
    <x v="59"/>
    <x v="40"/>
    <x v="3231"/>
    <x v="33"/>
    <n v="205794"/>
    <s v="n.a."/>
    <s v="n.a."/>
    <x v="2848"/>
    <n v="43"/>
  </r>
  <r>
    <x v="59"/>
    <x v="41"/>
    <x v="3232"/>
    <x v="33"/>
    <n v="200824"/>
    <s v="n.a."/>
    <s v="n.a."/>
    <x v="207"/>
    <n v="-57"/>
  </r>
  <r>
    <x v="59"/>
    <x v="42"/>
    <x v="3233"/>
    <x v="33"/>
    <n v="196070"/>
    <s v="n.a."/>
    <s v="n.a."/>
    <x v="2849"/>
    <n v="612"/>
  </r>
  <r>
    <x v="59"/>
    <x v="43"/>
    <x v="3234"/>
    <x v="33"/>
    <n v="197476"/>
    <s v="n.a."/>
    <s v="n.a."/>
    <x v="2850"/>
    <n v="544"/>
  </r>
  <r>
    <x v="59"/>
    <x v="44"/>
    <x v="3235"/>
    <x v="33"/>
    <n v="197941"/>
    <s v="n.a."/>
    <s v="n.a."/>
    <x v="2012"/>
    <n v="-390"/>
  </r>
  <r>
    <x v="59"/>
    <x v="45"/>
    <x v="3236"/>
    <x v="33"/>
    <n v="196441"/>
    <s v="n.a."/>
    <s v="n.a."/>
    <x v="2851"/>
    <n v="723"/>
  </r>
  <r>
    <x v="59"/>
    <x v="46"/>
    <x v="3237"/>
    <x v="33"/>
    <n v="197409"/>
    <s v="n.a."/>
    <s v="n.a."/>
    <x v="2852"/>
    <n v="98"/>
  </r>
  <r>
    <x v="59"/>
    <x v="47"/>
    <x v="3238"/>
    <x v="33"/>
    <n v="203828"/>
    <s v="n.a."/>
    <s v="n.a."/>
    <x v="2853"/>
    <n v="-580"/>
  </r>
  <r>
    <x v="59"/>
    <x v="48"/>
    <x v="3239"/>
    <x v="33"/>
    <n v="208773"/>
    <s v="n.a."/>
    <s v="n.a."/>
    <x v="2854"/>
    <n v="-1052"/>
  </r>
  <r>
    <x v="59"/>
    <x v="49"/>
    <x v="3240"/>
    <x v="33"/>
    <n v="215414"/>
    <s v="n.a."/>
    <s v="n.a."/>
    <x v="2855"/>
    <n v="523"/>
  </r>
  <r>
    <x v="59"/>
    <x v="50"/>
    <x v="3241"/>
    <x v="33"/>
    <n v="214529"/>
    <s v="n.a."/>
    <s v="n.a."/>
    <x v="2856"/>
    <n v="-2219"/>
  </r>
  <r>
    <x v="59"/>
    <x v="51"/>
    <x v="3242"/>
    <x v="33"/>
    <n v="214522"/>
    <s v="n.a."/>
    <s v="n.a."/>
    <x v="1547"/>
    <n v="-5741"/>
  </r>
  <r>
    <x v="59"/>
    <x v="52"/>
    <x v="3243"/>
    <x v="33"/>
    <n v="209734"/>
    <s v="n.a."/>
    <s v="n.a."/>
    <x v="2857"/>
    <n v="-1439"/>
  </r>
  <r>
    <x v="59"/>
    <x v="53"/>
    <x v="3244"/>
    <x v="33"/>
    <n v="203871"/>
    <s v="n.a."/>
    <s v="n.a."/>
    <x v="2858"/>
    <n v="-2590"/>
  </r>
  <r>
    <x v="59"/>
    <x v="54"/>
    <x v="3245"/>
    <x v="33"/>
    <n v="194178"/>
    <s v="n.a."/>
    <s v="n.a."/>
    <x v="2859"/>
    <n v="-6041"/>
  </r>
  <r>
    <x v="59"/>
    <x v="55"/>
    <x v="3246"/>
    <x v="33"/>
    <n v="179428"/>
    <s v="n.a."/>
    <s v="n.a."/>
    <x v="2860"/>
    <n v="-7364"/>
  </r>
  <r>
    <x v="59"/>
    <x v="56"/>
    <x v="3247"/>
    <x v="33"/>
    <n v="176486"/>
    <s v="n.a."/>
    <s v="n.a."/>
    <x v="2861"/>
    <n v="-2823"/>
  </r>
  <r>
    <x v="59"/>
    <x v="57"/>
    <x v="3248"/>
    <x v="33"/>
    <n v="180881"/>
    <s v="n.a."/>
    <s v="n.a."/>
    <x v="2862"/>
    <n v="-1978"/>
  </r>
  <r>
    <x v="59"/>
    <x v="58"/>
    <x v="3249"/>
    <x v="33"/>
    <n v="183488"/>
    <s v="n.a."/>
    <s v="n.a."/>
    <x v="2863"/>
    <n v="-7524"/>
  </r>
  <r>
    <x v="59"/>
    <x v="59"/>
    <x v="3250"/>
    <x v="33"/>
    <n v="179980"/>
    <s v="n.a."/>
    <s v="n.a."/>
    <x v="2864"/>
    <n v="-7201"/>
  </r>
  <r>
    <x v="59"/>
    <x v="60"/>
    <x v="3251"/>
    <x v="33"/>
    <n v="174992"/>
    <s v="n.a."/>
    <s v="n.a."/>
    <x v="2865"/>
    <n v="-483"/>
  </r>
  <r>
    <x v="59"/>
    <x v="61"/>
    <x v="3252"/>
    <x v="33"/>
    <n v="165587"/>
    <s v="n.a."/>
    <s v="n.a."/>
    <x v="2866"/>
    <n v="8653"/>
  </r>
  <r>
    <x v="59"/>
    <x v="62"/>
    <x v="3253"/>
    <x v="33"/>
    <n v="157258"/>
    <s v="n.a."/>
    <s v="n.a."/>
    <x v="2867"/>
    <n v="774"/>
  </r>
  <r>
    <x v="59"/>
    <x v="63"/>
    <x v="3254"/>
    <x v="33"/>
    <n v="156092"/>
    <s v="n.a."/>
    <s v="n.a."/>
    <x v="2868"/>
    <n v="7142"/>
  </r>
  <r>
    <x v="59"/>
    <x v="64"/>
    <x v="3255"/>
    <x v="33"/>
    <n v="151404"/>
    <s v="n.a."/>
    <s v="n.a."/>
    <x v="2869"/>
    <n v="13534"/>
  </r>
  <r>
    <x v="59"/>
    <x v="65"/>
    <x v="3256"/>
    <x v="33"/>
    <n v="152121"/>
    <s v="n.a."/>
    <s v="n.a."/>
    <x v="2870"/>
    <n v="9446"/>
  </r>
  <r>
    <x v="59"/>
    <x v="66"/>
    <x v="3257"/>
    <x v="33"/>
    <n v="149035"/>
    <s v="n.a."/>
    <s v="n.a."/>
    <x v="2871"/>
    <n v="3155"/>
  </r>
  <r>
    <x v="59"/>
    <x v="67"/>
    <x v="3258"/>
    <x v="33"/>
    <n v="151333"/>
    <s v="n.a."/>
    <s v="n.a."/>
    <x v="2872"/>
    <n v="-13139"/>
  </r>
  <r>
    <x v="59"/>
    <x v="68"/>
    <x v="3259"/>
    <x v="33"/>
    <n v="159161"/>
    <s v="n.a."/>
    <s v="n.a."/>
    <x v="2873"/>
    <n v="6519"/>
  </r>
  <r>
    <x v="59"/>
    <x v="69"/>
    <x v="3260"/>
    <x v="33"/>
    <n v="152531"/>
    <s v="n.a."/>
    <s v="n.a."/>
    <x v="2874"/>
    <n v="8167"/>
  </r>
  <r>
    <x v="60"/>
    <x v="0"/>
    <x v="3261"/>
    <x v="214"/>
    <n v="22913"/>
    <n v="-304"/>
    <n v="114"/>
    <x v="2875"/>
    <n v="361"/>
  </r>
  <r>
    <x v="60"/>
    <x v="1"/>
    <x v="3262"/>
    <x v="830"/>
    <n v="24089"/>
    <n v="-1110"/>
    <n v="5"/>
    <x v="2876"/>
    <n v="-344"/>
  </r>
  <r>
    <x v="60"/>
    <x v="2"/>
    <x v="3263"/>
    <x v="1362"/>
    <n v="24432"/>
    <n v="94"/>
    <n v="230"/>
    <x v="2877"/>
    <n v="1419"/>
  </r>
  <r>
    <x v="60"/>
    <x v="3"/>
    <x v="3264"/>
    <x v="1363"/>
    <n v="24335"/>
    <n v="-2019"/>
    <n v="-199"/>
    <x v="2878"/>
    <n v="21"/>
  </r>
  <r>
    <x v="60"/>
    <x v="4"/>
    <x v="3265"/>
    <x v="849"/>
    <n v="26806"/>
    <n v="-787"/>
    <n v="52"/>
    <x v="2879"/>
    <n v="729"/>
  </r>
  <r>
    <x v="60"/>
    <x v="5"/>
    <x v="3266"/>
    <x v="1364"/>
    <n v="25323"/>
    <n v="146"/>
    <n v="-146"/>
    <x v="2880"/>
    <n v="-100"/>
  </r>
  <r>
    <x v="60"/>
    <x v="6"/>
    <x v="3267"/>
    <x v="1365"/>
    <n v="24735"/>
    <n v="2328"/>
    <n v="79"/>
    <x v="2881"/>
    <n v="-166"/>
  </r>
  <r>
    <x v="60"/>
    <x v="7"/>
    <x v="3268"/>
    <x v="1366"/>
    <n v="23243"/>
    <n v="413"/>
    <n v="76"/>
    <x v="2882"/>
    <n v="-691"/>
  </r>
  <r>
    <x v="60"/>
    <x v="8"/>
    <x v="3269"/>
    <x v="1367"/>
    <n v="22789"/>
    <n v="-723"/>
    <n v="107"/>
    <x v="2883"/>
    <n v="-187"/>
  </r>
  <r>
    <x v="60"/>
    <x v="9"/>
    <x v="3270"/>
    <x v="1368"/>
    <n v="24252"/>
    <n v="236"/>
    <n v="16"/>
    <x v="2884"/>
    <n v="577"/>
  </r>
  <r>
    <x v="60"/>
    <x v="10"/>
    <x v="3271"/>
    <x v="1369"/>
    <n v="27608"/>
    <n v="-1422"/>
    <n v="30"/>
    <x v="2885"/>
    <n v="-725"/>
  </r>
  <r>
    <x v="60"/>
    <x v="11"/>
    <x v="3272"/>
    <x v="1370"/>
    <n v="28438"/>
    <n v="211"/>
    <n v="30"/>
    <x v="2886"/>
    <n v="953"/>
  </r>
  <r>
    <x v="60"/>
    <x v="12"/>
    <x v="3273"/>
    <x v="1371"/>
    <n v="29331"/>
    <n v="1923"/>
    <n v="-435"/>
    <x v="1681"/>
    <n v="-174"/>
  </r>
  <r>
    <x v="60"/>
    <x v="13"/>
    <x v="3274"/>
    <x v="1372"/>
    <n v="27519"/>
    <n v="8079"/>
    <n v="46"/>
    <x v="2887"/>
    <n v="229"/>
  </r>
  <r>
    <x v="60"/>
    <x v="14"/>
    <x v="3275"/>
    <x v="1373"/>
    <n v="16758"/>
    <n v="622"/>
    <n v="82"/>
    <x v="2888"/>
    <n v="406"/>
  </r>
  <r>
    <x v="60"/>
    <x v="15"/>
    <x v="3276"/>
    <x v="1374"/>
    <n v="16814"/>
    <n v="-283"/>
    <n v="148"/>
    <x v="2889"/>
    <n v="1257"/>
  </r>
  <r>
    <x v="60"/>
    <x v="16"/>
    <x v="3277"/>
    <x v="1375"/>
    <n v="18363"/>
    <n v="-56"/>
    <n v="188"/>
    <x v="2890"/>
    <n v="-101"/>
  </r>
  <r>
    <x v="60"/>
    <x v="17"/>
    <x v="3278"/>
    <x v="1376"/>
    <n v="16033"/>
    <n v="-552"/>
    <n v="87"/>
    <x v="2891"/>
    <n v="8"/>
  </r>
  <r>
    <x v="60"/>
    <x v="18"/>
    <x v="3279"/>
    <x v="1377"/>
    <n v="17257"/>
    <n v="-125"/>
    <n v="-212"/>
    <x v="2892"/>
    <n v="146"/>
  </r>
  <r>
    <x v="60"/>
    <x v="19"/>
    <x v="3280"/>
    <x v="1378"/>
    <n v="19468"/>
    <n v="2827"/>
    <n v="21"/>
    <x v="2893"/>
    <n v="222"/>
  </r>
  <r>
    <x v="60"/>
    <x v="20"/>
    <x v="3281"/>
    <x v="1379"/>
    <n v="15287"/>
    <n v="2977"/>
    <n v="-97"/>
    <x v="2894"/>
    <n v="-248"/>
  </r>
  <r>
    <x v="60"/>
    <x v="21"/>
    <x v="3282"/>
    <x v="1380"/>
    <n v="14220"/>
    <n v="3995"/>
    <n v="94"/>
    <x v="2895"/>
    <n v="-162"/>
  </r>
  <r>
    <x v="60"/>
    <x v="22"/>
    <x v="3283"/>
    <x v="1381"/>
    <n v="10588"/>
    <n v="1532"/>
    <n v="40"/>
    <x v="2896"/>
    <n v="-752"/>
  </r>
  <r>
    <x v="60"/>
    <x v="23"/>
    <x v="3284"/>
    <x v="1382"/>
    <n v="9997"/>
    <n v="153"/>
    <n v="106"/>
    <x v="2897"/>
    <n v="-1914"/>
  </r>
  <r>
    <x v="60"/>
    <x v="24"/>
    <x v="3285"/>
    <x v="1383"/>
    <n v="8840"/>
    <n v="-256"/>
    <n v="-163"/>
    <x v="2898"/>
    <n v="-2961"/>
  </r>
  <r>
    <x v="60"/>
    <x v="25"/>
    <x v="3286"/>
    <x v="292"/>
    <n v="9024"/>
    <n v="34"/>
    <n v="38"/>
    <x v="2899"/>
    <n v="2955"/>
  </r>
  <r>
    <x v="60"/>
    <x v="26"/>
    <x v="3287"/>
    <x v="1384"/>
    <n v="9124"/>
    <n v="-212"/>
    <n v="4"/>
    <x v="2900"/>
    <n v="2659"/>
  </r>
  <r>
    <x v="60"/>
    <x v="27"/>
    <x v="3288"/>
    <x v="1385"/>
    <n v="9354"/>
    <n v="-408"/>
    <n v="236"/>
    <x v="2901"/>
    <n v="1248"/>
  </r>
  <r>
    <x v="60"/>
    <x v="28"/>
    <x v="3289"/>
    <x v="1386"/>
    <n v="9759"/>
    <n v="68"/>
    <n v="-95"/>
    <x v="1623"/>
    <n v="-410"/>
  </r>
  <r>
    <x v="60"/>
    <x v="29"/>
    <x v="3290"/>
    <x v="1387"/>
    <n v="9727"/>
    <n v="-240"/>
    <n v="160"/>
    <x v="2902"/>
    <n v="651"/>
  </r>
  <r>
    <x v="60"/>
    <x v="30"/>
    <x v="3291"/>
    <x v="895"/>
    <n v="10627"/>
    <n v="5"/>
    <n v="1043"/>
    <x v="2903"/>
    <n v="-103"/>
  </r>
  <r>
    <x v="60"/>
    <x v="31"/>
    <x v="3292"/>
    <x v="1388"/>
    <n v="10351"/>
    <n v="-702"/>
    <n v="-437"/>
    <x v="2904"/>
    <n v="-400"/>
  </r>
  <r>
    <x v="60"/>
    <x v="32"/>
    <x v="3293"/>
    <x v="1389"/>
    <n v="10725"/>
    <n v="-644"/>
    <n v="397"/>
    <x v="2905"/>
    <n v="220"/>
  </r>
  <r>
    <x v="60"/>
    <x v="33"/>
    <x v="3294"/>
    <x v="33"/>
    <n v="11491"/>
    <s v="n.a."/>
    <s v="n.a."/>
    <x v="2906"/>
    <n v="204"/>
  </r>
  <r>
    <x v="60"/>
    <x v="34"/>
    <x v="3295"/>
    <x v="33"/>
    <n v="12722"/>
    <s v="n.a."/>
    <s v="n.a."/>
    <x v="2907"/>
    <n v="-476"/>
  </r>
  <r>
    <x v="60"/>
    <x v="35"/>
    <x v="3296"/>
    <x v="33"/>
    <n v="12661"/>
    <s v="n.a."/>
    <s v="n.a."/>
    <x v="2908"/>
    <n v="-122"/>
  </r>
  <r>
    <x v="60"/>
    <x v="36"/>
    <x v="3297"/>
    <x v="33"/>
    <n v="13277"/>
    <s v="n.a."/>
    <s v="n.a."/>
    <x v="2012"/>
    <n v="-816"/>
  </r>
  <r>
    <x v="60"/>
    <x v="37"/>
    <x v="3298"/>
    <x v="33"/>
    <n v="15103"/>
    <s v="n.a."/>
    <s v="n.a."/>
    <x v="2909"/>
    <n v="-419"/>
  </r>
  <r>
    <x v="60"/>
    <x v="38"/>
    <x v="3299"/>
    <x v="33"/>
    <n v="16838"/>
    <s v="n.a."/>
    <s v="n.a."/>
    <x v="2910"/>
    <n v="-108"/>
  </r>
  <r>
    <x v="60"/>
    <x v="39"/>
    <x v="3300"/>
    <x v="33"/>
    <n v="16630"/>
    <s v="n.a."/>
    <s v="n.a."/>
    <x v="841"/>
    <n v="-323"/>
  </r>
  <r>
    <x v="60"/>
    <x v="40"/>
    <x v="3301"/>
    <x v="33"/>
    <n v="16296"/>
    <s v="n.a."/>
    <s v="n.a."/>
    <x v="2911"/>
    <n v="-575"/>
  </r>
  <r>
    <x v="60"/>
    <x v="41"/>
    <x v="3302"/>
    <x v="33"/>
    <n v="15348"/>
    <s v="n.a."/>
    <s v="n.a."/>
    <x v="2912"/>
    <n v="-574"/>
  </r>
  <r>
    <x v="60"/>
    <x v="42"/>
    <x v="3303"/>
    <x v="33"/>
    <n v="15296"/>
    <s v="n.a."/>
    <s v="n.a."/>
    <x v="2913"/>
    <n v="-710"/>
  </r>
  <r>
    <x v="60"/>
    <x v="43"/>
    <x v="3304"/>
    <x v="33"/>
    <n v="15493"/>
    <s v="n.a."/>
    <s v="n.a."/>
    <x v="2064"/>
    <n v="-191"/>
  </r>
  <r>
    <x v="60"/>
    <x v="44"/>
    <x v="3305"/>
    <x v="33"/>
    <n v="18055"/>
    <s v="n.a."/>
    <s v="n.a."/>
    <x v="2914"/>
    <n v="-80"/>
  </r>
  <r>
    <x v="60"/>
    <x v="45"/>
    <x v="3306"/>
    <x v="33"/>
    <n v="18883"/>
    <s v="n.a."/>
    <s v="n.a."/>
    <x v="2915"/>
    <n v="86"/>
  </r>
  <r>
    <x v="60"/>
    <x v="46"/>
    <x v="3307"/>
    <x v="33"/>
    <n v="18157"/>
    <s v="n.a."/>
    <s v="n.a."/>
    <x v="2916"/>
    <n v="187"/>
  </r>
  <r>
    <x v="60"/>
    <x v="47"/>
    <x v="3308"/>
    <x v="33"/>
    <n v="19198"/>
    <s v="n.a."/>
    <s v="n.a."/>
    <x v="2917"/>
    <n v="-381"/>
  </r>
  <r>
    <x v="60"/>
    <x v="48"/>
    <x v="3309"/>
    <x v="33"/>
    <n v="19072"/>
    <s v="n.a."/>
    <s v="n.a."/>
    <x v="2918"/>
    <n v="570"/>
  </r>
  <r>
    <x v="60"/>
    <x v="49"/>
    <x v="3310"/>
    <x v="33"/>
    <n v="19573"/>
    <s v="n.a."/>
    <s v="n.a."/>
    <x v="2919"/>
    <n v="-72"/>
  </r>
  <r>
    <x v="60"/>
    <x v="50"/>
    <x v="3311"/>
    <x v="33"/>
    <n v="17339"/>
    <s v="n.a."/>
    <s v="n.a."/>
    <x v="2920"/>
    <n v="87"/>
  </r>
  <r>
    <x v="60"/>
    <x v="51"/>
    <x v="3312"/>
    <x v="33"/>
    <n v="17504"/>
    <s v="n.a."/>
    <s v="n.a."/>
    <x v="2921"/>
    <n v="869"/>
  </r>
  <r>
    <x v="60"/>
    <x v="52"/>
    <x v="3313"/>
    <x v="33"/>
    <n v="19507"/>
    <s v="n.a."/>
    <s v="n.a."/>
    <x v="2922"/>
    <n v="254"/>
  </r>
  <r>
    <x v="60"/>
    <x v="53"/>
    <x v="3314"/>
    <x v="33"/>
    <n v="18933"/>
    <s v="n.a."/>
    <s v="n.a."/>
    <x v="2923"/>
    <n v="160"/>
  </r>
  <r>
    <x v="60"/>
    <x v="54"/>
    <x v="3315"/>
    <x v="33"/>
    <n v="19309"/>
    <s v="n.a."/>
    <s v="n.a."/>
    <x v="2924"/>
    <n v="56"/>
  </r>
  <r>
    <x v="60"/>
    <x v="55"/>
    <x v="3316"/>
    <x v="33"/>
    <n v="19498"/>
    <s v="n.a."/>
    <s v="n.a."/>
    <x v="2925"/>
    <n v="1080"/>
  </r>
  <r>
    <x v="60"/>
    <x v="56"/>
    <x v="3317"/>
    <x v="33"/>
    <n v="19890"/>
    <s v="n.a."/>
    <s v="n.a."/>
    <x v="204"/>
    <n v="-94"/>
  </r>
  <r>
    <x v="60"/>
    <x v="57"/>
    <x v="3318"/>
    <x v="33"/>
    <n v="18909"/>
    <s v="n.a."/>
    <s v="n.a."/>
    <x v="2926"/>
    <n v="454"/>
  </r>
  <r>
    <x v="60"/>
    <x v="58"/>
    <x v="3319"/>
    <x v="33"/>
    <n v="18930"/>
    <s v="n.a."/>
    <s v="n.a."/>
    <x v="2927"/>
    <n v="174"/>
  </r>
  <r>
    <x v="60"/>
    <x v="59"/>
    <x v="3320"/>
    <x v="33"/>
    <n v="19587"/>
    <s v="n.a."/>
    <s v="n.a."/>
    <x v="201"/>
    <n v="-649"/>
  </r>
  <r>
    <x v="60"/>
    <x v="60"/>
    <x v="3321"/>
    <x v="33"/>
    <n v="22862"/>
    <s v="n.a."/>
    <s v="n.a."/>
    <x v="2928"/>
    <n v="760"/>
  </r>
  <r>
    <x v="60"/>
    <x v="61"/>
    <x v="3322"/>
    <x v="33"/>
    <n v="23924"/>
    <s v="n.a."/>
    <s v="n.a."/>
    <x v="2929"/>
    <n v="201"/>
  </r>
  <r>
    <x v="60"/>
    <x v="62"/>
    <x v="3323"/>
    <x v="33"/>
    <n v="21850"/>
    <s v="n.a."/>
    <s v="n.a."/>
    <x v="2930"/>
    <n v="91"/>
  </r>
  <r>
    <x v="60"/>
    <x v="63"/>
    <x v="3324"/>
    <x v="33"/>
    <n v="20662"/>
    <s v="n.a."/>
    <s v="n.a."/>
    <x v="2931"/>
    <n v="-37"/>
  </r>
  <r>
    <x v="60"/>
    <x v="64"/>
    <x v="3325"/>
    <x v="33"/>
    <n v="20076"/>
    <s v="n.a."/>
    <s v="n.a."/>
    <x v="2012"/>
    <n v="-507"/>
  </r>
  <r>
    <x v="60"/>
    <x v="65"/>
    <x v="3326"/>
    <x v="33"/>
    <n v="21757"/>
    <s v="n.a."/>
    <s v="n.a."/>
    <x v="2932"/>
    <n v="423"/>
  </r>
  <r>
    <x v="60"/>
    <x v="66"/>
    <x v="3327"/>
    <x v="33"/>
    <n v="21891"/>
    <s v="n.a."/>
    <s v="n.a."/>
    <x v="2933"/>
    <n v="470"/>
  </r>
  <r>
    <x v="60"/>
    <x v="67"/>
    <x v="3328"/>
    <x v="33"/>
    <n v="21837"/>
    <s v="n.a."/>
    <s v="n.a."/>
    <x v="2934"/>
    <n v="-1851"/>
  </r>
  <r>
    <x v="60"/>
    <x v="68"/>
    <x v="3329"/>
    <x v="33"/>
    <n v="25167"/>
    <s v="n.a."/>
    <s v="n.a."/>
    <x v="2935"/>
    <n v="2152"/>
  </r>
  <r>
    <x v="60"/>
    <x v="69"/>
    <x v="3330"/>
    <x v="33"/>
    <n v="26217"/>
    <s v="n.a."/>
    <s v="n.a."/>
    <x v="2936"/>
    <n v="-733"/>
  </r>
  <r>
    <x v="61"/>
    <x v="0"/>
    <x v="3331"/>
    <x v="1390"/>
    <n v="79671"/>
    <n v="804"/>
    <n v="157"/>
    <x v="2937"/>
    <n v="3869"/>
  </r>
  <r>
    <x v="61"/>
    <x v="1"/>
    <x v="3332"/>
    <x v="1350"/>
    <n v="78812"/>
    <n v="4340"/>
    <n v="249"/>
    <x v="2938"/>
    <n v="887"/>
  </r>
  <r>
    <x v="61"/>
    <x v="2"/>
    <x v="3333"/>
    <x v="1391"/>
    <n v="74427"/>
    <n v="-2446"/>
    <n v="590"/>
    <x v="2939"/>
    <n v="324"/>
  </r>
  <r>
    <x v="61"/>
    <x v="3"/>
    <x v="3334"/>
    <x v="1392"/>
    <n v="77168"/>
    <n v="2041"/>
    <n v="-410"/>
    <x v="2940"/>
    <n v="-1099"/>
  </r>
  <r>
    <x v="61"/>
    <x v="4"/>
    <x v="3335"/>
    <x v="835"/>
    <n v="75446"/>
    <n v="-2802"/>
    <n v="563"/>
    <x v="2941"/>
    <n v="3233"/>
  </r>
  <r>
    <x v="61"/>
    <x v="5"/>
    <x v="3336"/>
    <x v="1393"/>
    <n v="77672"/>
    <n v="4214"/>
    <n v="-817"/>
    <x v="2942"/>
    <n v="-323"/>
  </r>
  <r>
    <x v="61"/>
    <x v="6"/>
    <x v="3337"/>
    <x v="1394"/>
    <n v="73938"/>
    <n v="3603"/>
    <n v="184"/>
    <x v="2943"/>
    <n v="1143"/>
  </r>
  <r>
    <x v="61"/>
    <x v="7"/>
    <x v="3338"/>
    <x v="1395"/>
    <n v="70185"/>
    <n v="422"/>
    <n v="-13"/>
    <x v="2944"/>
    <n v="1715"/>
  </r>
  <r>
    <x v="61"/>
    <x v="8"/>
    <x v="3339"/>
    <x v="1396"/>
    <n v="70165"/>
    <n v="-2389"/>
    <n v="990"/>
    <x v="2945"/>
    <n v="3669"/>
  </r>
  <r>
    <x v="61"/>
    <x v="9"/>
    <x v="3340"/>
    <x v="1397"/>
    <n v="71501"/>
    <n v="4793"/>
    <n v="154"/>
    <x v="2946"/>
    <n v="985"/>
  </r>
  <r>
    <x v="61"/>
    <x v="10"/>
    <x v="3341"/>
    <x v="1398"/>
    <n v="66203"/>
    <n v="531"/>
    <n v="-1244"/>
    <x v="2947"/>
    <n v="-4576"/>
  </r>
  <r>
    <x v="61"/>
    <x v="11"/>
    <x v="3342"/>
    <x v="1399"/>
    <n v="66963"/>
    <n v="1033"/>
    <n v="658"/>
    <x v="2948"/>
    <n v="-3380"/>
  </r>
  <r>
    <x v="61"/>
    <x v="12"/>
    <x v="3343"/>
    <x v="1400"/>
    <n v="65494"/>
    <n v="2069"/>
    <n v="-1019"/>
    <x v="2949"/>
    <n v="9332"/>
  </r>
  <r>
    <x v="61"/>
    <x v="13"/>
    <x v="3344"/>
    <x v="1401"/>
    <n v="64463"/>
    <n v="1916"/>
    <n v="558"/>
    <x v="2950"/>
    <n v="2997"/>
  </r>
  <r>
    <x v="61"/>
    <x v="14"/>
    <x v="3345"/>
    <x v="411"/>
    <n v="61952"/>
    <n v="-2957"/>
    <n v="1511"/>
    <x v="2951"/>
    <n v="2908"/>
  </r>
  <r>
    <x v="61"/>
    <x v="15"/>
    <x v="3346"/>
    <x v="1402"/>
    <n v="62548"/>
    <n v="1242"/>
    <n v="737"/>
    <x v="2952"/>
    <n v="-380"/>
  </r>
  <r>
    <x v="61"/>
    <x v="16"/>
    <x v="3347"/>
    <x v="1403"/>
    <n v="60722"/>
    <n v="1346"/>
    <n v="-28"/>
    <x v="2953"/>
    <n v="3831"/>
  </r>
  <r>
    <x v="61"/>
    <x v="17"/>
    <x v="3348"/>
    <x v="511"/>
    <n v="58994"/>
    <n v="1858"/>
    <n v="462"/>
    <x v="2954"/>
    <n v="2642"/>
  </r>
  <r>
    <x v="61"/>
    <x v="18"/>
    <x v="3349"/>
    <x v="1404"/>
    <n v="57249"/>
    <n v="2965"/>
    <n v="-1463"/>
    <x v="2955"/>
    <n v="123"/>
  </r>
  <r>
    <x v="61"/>
    <x v="19"/>
    <x v="3350"/>
    <x v="1405"/>
    <n v="56080"/>
    <n v="1425"/>
    <n v="302"/>
    <x v="2956"/>
    <n v="-229"/>
  </r>
  <r>
    <x v="61"/>
    <x v="20"/>
    <x v="3351"/>
    <x v="1406"/>
    <n v="54675"/>
    <n v="1305"/>
    <n v="-932"/>
    <x v="2957"/>
    <n v="38"/>
  </r>
  <r>
    <x v="61"/>
    <x v="21"/>
    <x v="3352"/>
    <x v="1407"/>
    <n v="54321"/>
    <n v="717"/>
    <n v="245"/>
    <x v="1594"/>
    <n v="-393"/>
  </r>
  <r>
    <x v="61"/>
    <x v="22"/>
    <x v="3353"/>
    <x v="1408"/>
    <n v="53633"/>
    <n v="-1676"/>
    <n v="948"/>
    <x v="2958"/>
    <n v="-33"/>
  </r>
  <r>
    <x v="61"/>
    <x v="23"/>
    <x v="3354"/>
    <x v="1409"/>
    <n v="58082"/>
    <n v="8680"/>
    <n v="940"/>
    <x v="2959"/>
    <n v="65"/>
  </r>
  <r>
    <x v="61"/>
    <x v="24"/>
    <x v="3355"/>
    <x v="1410"/>
    <n v="48815"/>
    <n v="-5435"/>
    <n v="100"/>
    <x v="1690"/>
    <n v="-881"/>
  </r>
  <r>
    <x v="61"/>
    <x v="25"/>
    <x v="3356"/>
    <x v="1411"/>
    <n v="54316"/>
    <n v="1924"/>
    <n v="-534"/>
    <x v="2960"/>
    <n v="142"/>
  </r>
  <r>
    <x v="61"/>
    <x v="26"/>
    <x v="3357"/>
    <x v="1412"/>
    <n v="53011"/>
    <n v="-1503"/>
    <n v="-118"/>
    <x v="2961"/>
    <n v="188"/>
  </r>
  <r>
    <x v="61"/>
    <x v="27"/>
    <x v="3358"/>
    <x v="1413"/>
    <n v="54454"/>
    <n v="1570"/>
    <n v="-62"/>
    <x v="2962"/>
    <n v="57"/>
  </r>
  <r>
    <x v="61"/>
    <x v="28"/>
    <x v="3359"/>
    <x v="1414"/>
    <n v="53025"/>
    <n v="8064"/>
    <n v="-510"/>
    <x v="2963"/>
    <n v="-279"/>
  </r>
  <r>
    <x v="61"/>
    <x v="29"/>
    <x v="3360"/>
    <x v="1415"/>
    <n v="45271"/>
    <n v="979"/>
    <n v="-376"/>
    <x v="2964"/>
    <n v="249"/>
  </r>
  <r>
    <x v="61"/>
    <x v="30"/>
    <x v="3361"/>
    <x v="1416"/>
    <n v="44841"/>
    <n v="-2518"/>
    <n v="138"/>
    <x v="2965"/>
    <n v="-1349"/>
  </r>
  <r>
    <x v="61"/>
    <x v="31"/>
    <x v="3362"/>
    <x v="1417"/>
    <n v="47155"/>
    <n v="4259"/>
    <n v="980"/>
    <x v="2966"/>
    <n v="818"/>
  </r>
  <r>
    <x v="61"/>
    <x v="32"/>
    <x v="3363"/>
    <x v="1418"/>
    <n v="41728"/>
    <n v="-3112"/>
    <n v="-691"/>
    <x v="2967"/>
    <n v="123"/>
  </r>
  <r>
    <x v="61"/>
    <x v="33"/>
    <x v="3364"/>
    <x v="33"/>
    <n v="45412"/>
    <s v="n.a."/>
    <s v="n.a."/>
    <x v="2968"/>
    <n v="103"/>
  </r>
  <r>
    <x v="61"/>
    <x v="34"/>
    <x v="3365"/>
    <x v="33"/>
    <n v="46838"/>
    <s v="n.a."/>
    <s v="n.a."/>
    <x v="2969"/>
    <n v="-593"/>
  </r>
  <r>
    <x v="61"/>
    <x v="35"/>
    <x v="3366"/>
    <x v="33"/>
    <n v="50578"/>
    <s v="n.a."/>
    <s v="n.a."/>
    <x v="2970"/>
    <n v="-111"/>
  </r>
  <r>
    <x v="61"/>
    <x v="36"/>
    <x v="3367"/>
    <x v="33"/>
    <n v="46569"/>
    <s v="n.a."/>
    <s v="n.a."/>
    <x v="2386"/>
    <n v="163"/>
  </r>
  <r>
    <x v="61"/>
    <x v="37"/>
    <x v="3368"/>
    <x v="33"/>
    <n v="46817"/>
    <s v="n.a."/>
    <s v="n.a."/>
    <x v="2971"/>
    <n v="-176"/>
  </r>
  <r>
    <x v="61"/>
    <x v="38"/>
    <x v="3369"/>
    <x v="33"/>
    <n v="46589"/>
    <s v="n.a."/>
    <s v="n.a."/>
    <x v="2972"/>
    <n v="-77"/>
  </r>
  <r>
    <x v="61"/>
    <x v="39"/>
    <x v="3370"/>
    <x v="33"/>
    <n v="48442"/>
    <s v="n.a."/>
    <s v="n.a."/>
    <x v="2973"/>
    <n v="181"/>
  </r>
  <r>
    <x v="61"/>
    <x v="40"/>
    <x v="3371"/>
    <x v="33"/>
    <n v="47113"/>
    <s v="n.a."/>
    <s v="n.a."/>
    <x v="2974"/>
    <n v="188"/>
  </r>
  <r>
    <x v="61"/>
    <x v="41"/>
    <x v="3372"/>
    <x v="33"/>
    <n v="46648"/>
    <s v="n.a."/>
    <s v="n.a."/>
    <x v="2975"/>
    <n v="-1323"/>
  </r>
  <r>
    <x v="61"/>
    <x v="42"/>
    <x v="3373"/>
    <x v="33"/>
    <n v="46404"/>
    <s v="n.a."/>
    <s v="n.a."/>
    <x v="2976"/>
    <n v="-745"/>
  </r>
  <r>
    <x v="61"/>
    <x v="43"/>
    <x v="3374"/>
    <x v="33"/>
    <n v="53185"/>
    <s v="n.a."/>
    <s v="n.a."/>
    <x v="2977"/>
    <n v="-1775"/>
  </r>
  <r>
    <x v="61"/>
    <x v="44"/>
    <x v="3375"/>
    <x v="33"/>
    <n v="57969"/>
    <s v="n.a."/>
    <s v="n.a."/>
    <x v="2978"/>
    <n v="1624"/>
  </r>
  <r>
    <x v="61"/>
    <x v="45"/>
    <x v="3376"/>
    <x v="33"/>
    <n v="57326"/>
    <s v="n.a."/>
    <s v="n.a."/>
    <x v="2979"/>
    <n v="-4772"/>
  </r>
  <r>
    <x v="61"/>
    <x v="46"/>
    <x v="3377"/>
    <x v="33"/>
    <n v="57882"/>
    <s v="n.a."/>
    <s v="n.a."/>
    <x v="2980"/>
    <n v="3591"/>
  </r>
  <r>
    <x v="61"/>
    <x v="47"/>
    <x v="3378"/>
    <x v="33"/>
    <n v="56712"/>
    <s v="n.a."/>
    <s v="n.a."/>
    <x v="446"/>
    <n v="63"/>
  </r>
  <r>
    <x v="61"/>
    <x v="48"/>
    <x v="3379"/>
    <x v="33"/>
    <n v="58210"/>
    <s v="n.a."/>
    <s v="n.a."/>
    <x v="2981"/>
    <n v="256"/>
  </r>
  <r>
    <x v="61"/>
    <x v="49"/>
    <x v="3380"/>
    <x v="33"/>
    <n v="56730"/>
    <s v="n.a."/>
    <s v="n.a."/>
    <x v="2982"/>
    <n v="-751"/>
  </r>
  <r>
    <x v="61"/>
    <x v="50"/>
    <x v="3381"/>
    <x v="33"/>
    <n v="55863"/>
    <s v="n.a."/>
    <s v="n.a."/>
    <x v="2983"/>
    <n v="-1548"/>
  </r>
  <r>
    <x v="61"/>
    <x v="51"/>
    <x v="3382"/>
    <x v="33"/>
    <n v="55908"/>
    <s v="n.a."/>
    <s v="n.a."/>
    <x v="2984"/>
    <n v="390"/>
  </r>
  <r>
    <x v="61"/>
    <x v="52"/>
    <x v="3383"/>
    <x v="33"/>
    <n v="53371"/>
    <s v="n.a."/>
    <s v="n.a."/>
    <x v="2985"/>
    <n v="2152"/>
  </r>
  <r>
    <x v="61"/>
    <x v="53"/>
    <x v="3384"/>
    <x v="33"/>
    <n v="51261"/>
    <s v="n.a."/>
    <s v="n.a."/>
    <x v="2986"/>
    <n v="-642"/>
  </r>
  <r>
    <x v="61"/>
    <x v="54"/>
    <x v="3385"/>
    <x v="33"/>
    <n v="53678"/>
    <s v="n.a."/>
    <s v="n.a."/>
    <x v="2987"/>
    <n v="-166"/>
  </r>
  <r>
    <x v="61"/>
    <x v="55"/>
    <x v="3386"/>
    <x v="33"/>
    <n v="53156"/>
    <s v="n.a."/>
    <s v="n.a."/>
    <x v="2988"/>
    <n v="712"/>
  </r>
  <r>
    <x v="61"/>
    <x v="56"/>
    <x v="3387"/>
    <x v="33"/>
    <n v="51067"/>
    <s v="n.a."/>
    <s v="n.a."/>
    <x v="2989"/>
    <n v="-332"/>
  </r>
  <r>
    <x v="61"/>
    <x v="57"/>
    <x v="3388"/>
    <x v="33"/>
    <n v="46211"/>
    <s v="n.a."/>
    <s v="n.a."/>
    <x v="2990"/>
    <n v="330"/>
  </r>
  <r>
    <x v="61"/>
    <x v="58"/>
    <x v="3389"/>
    <x v="33"/>
    <n v="41558"/>
    <s v="n.a."/>
    <s v="n.a."/>
    <x v="2991"/>
    <n v="-1203"/>
  </r>
  <r>
    <x v="61"/>
    <x v="59"/>
    <x v="3390"/>
    <x v="33"/>
    <n v="48625"/>
    <s v="n.a."/>
    <s v="n.a."/>
    <x v="2992"/>
    <n v="675"/>
  </r>
  <r>
    <x v="61"/>
    <x v="60"/>
    <x v="3391"/>
    <x v="33"/>
    <n v="45572"/>
    <s v="n.a."/>
    <s v="n.a."/>
    <x v="2993"/>
    <n v="191"/>
  </r>
  <r>
    <x v="61"/>
    <x v="61"/>
    <x v="3392"/>
    <x v="33"/>
    <n v="44033"/>
    <s v="n.a."/>
    <s v="n.a."/>
    <x v="2994"/>
    <n v="-140"/>
  </r>
  <r>
    <x v="61"/>
    <x v="62"/>
    <x v="3393"/>
    <x v="33"/>
    <n v="40083"/>
    <s v="n.a."/>
    <s v="n.a."/>
    <x v="2995"/>
    <n v="218"/>
  </r>
  <r>
    <x v="61"/>
    <x v="63"/>
    <x v="3394"/>
    <x v="33"/>
    <n v="41001"/>
    <s v="n.a."/>
    <s v="n.a."/>
    <x v="2996"/>
    <n v="1121"/>
  </r>
  <r>
    <x v="61"/>
    <x v="64"/>
    <x v="3395"/>
    <x v="33"/>
    <n v="41256"/>
    <s v="n.a."/>
    <s v="n.a."/>
    <x v="2997"/>
    <n v="-971"/>
  </r>
  <r>
    <x v="61"/>
    <x v="65"/>
    <x v="3396"/>
    <x v="33"/>
    <n v="39489"/>
    <s v="n.a."/>
    <s v="n.a."/>
    <x v="2998"/>
    <n v="550"/>
  </r>
  <r>
    <x v="61"/>
    <x v="66"/>
    <x v="3397"/>
    <x v="33"/>
    <n v="36518"/>
    <s v="n.a."/>
    <s v="n.a."/>
    <x v="2999"/>
    <n v="2121"/>
  </r>
  <r>
    <x v="61"/>
    <x v="67"/>
    <x v="3398"/>
    <x v="33"/>
    <n v="36464"/>
    <s v="n.a."/>
    <s v="n.a."/>
    <x v="3000"/>
    <n v="-1077"/>
  </r>
  <r>
    <x v="61"/>
    <x v="68"/>
    <x v="3399"/>
    <x v="33"/>
    <n v="39395"/>
    <s v="n.a."/>
    <s v="n.a."/>
    <x v="3001"/>
    <n v="1587"/>
  </r>
  <r>
    <x v="61"/>
    <x v="69"/>
    <x v="3400"/>
    <x v="33"/>
    <n v="41469"/>
    <s v="n.a."/>
    <s v="n.a."/>
    <x v="3002"/>
    <n v="46"/>
  </r>
  <r>
    <x v="62"/>
    <x v="0"/>
    <x v="3401"/>
    <x v="1419"/>
    <n v="1064907"/>
    <n v="6746"/>
    <n v="560"/>
    <x v="3003"/>
    <n v="1910"/>
  </r>
  <r>
    <x v="62"/>
    <x v="1"/>
    <x v="3402"/>
    <x v="1420"/>
    <n v="1056106"/>
    <n v="5618"/>
    <n v="5065"/>
    <x v="3004"/>
    <n v="1371"/>
  </r>
  <r>
    <x v="62"/>
    <x v="2"/>
    <x v="3403"/>
    <x v="1421"/>
    <n v="1048614"/>
    <n v="15365"/>
    <n v="6805"/>
    <x v="3005"/>
    <n v="2696"/>
  </r>
  <r>
    <x v="62"/>
    <x v="3"/>
    <x v="3404"/>
    <x v="1422"/>
    <n v="1022688"/>
    <n v="4053"/>
    <n v="-5908"/>
    <x v="3006"/>
    <n v="5441"/>
  </r>
  <r>
    <x v="62"/>
    <x v="4"/>
    <x v="3405"/>
    <x v="1423"/>
    <n v="1024309"/>
    <n v="-3605"/>
    <n v="13338"/>
    <x v="3007"/>
    <n v="7815"/>
  </r>
  <r>
    <x v="62"/>
    <x v="5"/>
    <x v="3406"/>
    <x v="1424"/>
    <n v="1019175"/>
    <n v="13116"/>
    <n v="-7994"/>
    <x v="3008"/>
    <n v="-2051"/>
  </r>
  <r>
    <x v="62"/>
    <x v="6"/>
    <x v="3407"/>
    <x v="1425"/>
    <n v="1016551"/>
    <n v="-2927"/>
    <n v="4603"/>
    <x v="3009"/>
    <n v="-1249"/>
  </r>
  <r>
    <x v="62"/>
    <x v="7"/>
    <x v="3408"/>
    <x v="1426"/>
    <n v="1011650"/>
    <n v="3246"/>
    <n v="-1493"/>
    <x v="3010"/>
    <n v="1303"/>
  </r>
  <r>
    <x v="62"/>
    <x v="8"/>
    <x v="3409"/>
    <x v="1427"/>
    <n v="1008024"/>
    <n v="31719"/>
    <n v="19391"/>
    <x v="3011"/>
    <n v="-31"/>
  </r>
  <r>
    <x v="62"/>
    <x v="9"/>
    <x v="3410"/>
    <x v="1428"/>
    <n v="961412"/>
    <n v="4034"/>
    <n v="-1335"/>
    <x v="3012"/>
    <n v="9040"/>
  </r>
  <r>
    <x v="62"/>
    <x v="10"/>
    <x v="3411"/>
    <x v="1429"/>
    <n v="952667"/>
    <n v="-10233"/>
    <n v="-15150"/>
    <x v="3013"/>
    <n v="1771"/>
  </r>
  <r>
    <x v="62"/>
    <x v="11"/>
    <x v="3412"/>
    <x v="1430"/>
    <n v="980050"/>
    <n v="-19727"/>
    <n v="9317"/>
    <x v="3014"/>
    <n v="3759"/>
  </r>
  <r>
    <x v="62"/>
    <x v="12"/>
    <x v="3413"/>
    <x v="1431"/>
    <n v="998239"/>
    <n v="31277"/>
    <n v="-17507"/>
    <x v="3015"/>
    <n v="686"/>
  </r>
  <r>
    <x v="62"/>
    <x v="13"/>
    <x v="3414"/>
    <x v="1432"/>
    <n v="992874"/>
    <n v="-29136"/>
    <n v="3617"/>
    <x v="3016"/>
    <n v="12304"/>
  </r>
  <r>
    <x v="62"/>
    <x v="14"/>
    <x v="3415"/>
    <x v="1433"/>
    <n v="1015666"/>
    <n v="-22321"/>
    <n v="14537"/>
    <x v="3017"/>
    <n v="19151"/>
  </r>
  <r>
    <x v="62"/>
    <x v="15"/>
    <x v="3416"/>
    <x v="1434"/>
    <n v="1022332"/>
    <n v="-10903"/>
    <n v="17215"/>
    <x v="3018"/>
    <n v="-3041"/>
  </r>
  <r>
    <x v="62"/>
    <x v="16"/>
    <x v="3417"/>
    <x v="1435"/>
    <n v="1017208"/>
    <n v="-36608"/>
    <n v="13367"/>
    <x v="3019"/>
    <n v="11969"/>
  </r>
  <r>
    <x v="62"/>
    <x v="17"/>
    <x v="3418"/>
    <x v="1436"/>
    <n v="1043712"/>
    <n v="171"/>
    <n v="7252"/>
    <x v="3020"/>
    <n v="-24041"/>
  </r>
  <r>
    <x v="62"/>
    <x v="18"/>
    <x v="3419"/>
    <x v="1437"/>
    <n v="1039812"/>
    <n v="246"/>
    <n v="-29824"/>
    <x v="3021"/>
    <n v="-12076"/>
  </r>
  <r>
    <x v="62"/>
    <x v="19"/>
    <x v="3420"/>
    <x v="1438"/>
    <n v="1068657"/>
    <n v="13051"/>
    <n v="2334"/>
    <x v="3022"/>
    <n v="1233"/>
  </r>
  <r>
    <x v="62"/>
    <x v="20"/>
    <x v="3421"/>
    <x v="1439"/>
    <n v="1050448"/>
    <n v="18907"/>
    <n v="-17577"/>
    <x v="3023"/>
    <n v="7988"/>
  </r>
  <r>
    <x v="62"/>
    <x v="21"/>
    <x v="3422"/>
    <x v="1440"/>
    <n v="1051432"/>
    <n v="20322"/>
    <n v="8114"/>
    <x v="3024"/>
    <n v="3162"/>
  </r>
  <r>
    <x v="62"/>
    <x v="22"/>
    <x v="3423"/>
    <x v="1441"/>
    <n v="1029295"/>
    <n v="-20070"/>
    <n v="26322"/>
    <x v="3025"/>
    <n v="521"/>
  </r>
  <r>
    <x v="62"/>
    <x v="23"/>
    <x v="3424"/>
    <x v="1442"/>
    <n v="1042037"/>
    <n v="-72"/>
    <n v="31522"/>
    <x v="3026"/>
    <n v="2641"/>
  </r>
  <r>
    <x v="62"/>
    <x v="24"/>
    <x v="3425"/>
    <x v="1443"/>
    <n v="1015409"/>
    <n v="26423"/>
    <n v="-10223"/>
    <x v="3027"/>
    <n v="-4134"/>
  </r>
  <r>
    <x v="62"/>
    <x v="25"/>
    <x v="3426"/>
    <x v="1444"/>
    <n v="999496"/>
    <n v="-13479"/>
    <n v="-18699"/>
    <x v="3028"/>
    <n v="2506"/>
  </r>
  <r>
    <x v="62"/>
    <x v="26"/>
    <x v="3427"/>
    <x v="1445"/>
    <n v="1031066"/>
    <n v="796"/>
    <n v="-4803"/>
    <x v="3029"/>
    <n v="8780"/>
  </r>
  <r>
    <x v="62"/>
    <x v="27"/>
    <x v="3428"/>
    <x v="1446"/>
    <n v="1036094"/>
    <n v="3633"/>
    <n v="-5099"/>
    <x v="3030"/>
    <n v="7374"/>
  </r>
  <r>
    <x v="62"/>
    <x v="28"/>
    <x v="3429"/>
    <x v="1447"/>
    <n v="1035798"/>
    <n v="1633"/>
    <n v="-9360"/>
    <x v="3031"/>
    <n v="12043"/>
  </r>
  <r>
    <x v="62"/>
    <x v="29"/>
    <x v="3430"/>
    <x v="1448"/>
    <n v="1039875"/>
    <n v="-7992"/>
    <n v="-13860"/>
    <x v="3032"/>
    <n v="-7252"/>
  </r>
  <r>
    <x v="62"/>
    <x v="30"/>
    <x v="3431"/>
    <x v="1449"/>
    <n v="1062312"/>
    <n v="35588"/>
    <n v="4354"/>
    <x v="3033"/>
    <n v="-1167"/>
  </r>
  <r>
    <x v="62"/>
    <x v="31"/>
    <x v="3432"/>
    <x v="1450"/>
    <n v="1021979"/>
    <n v="-16470"/>
    <n v="21569"/>
    <x v="3034"/>
    <n v="-2190"/>
  </r>
  <r>
    <x v="62"/>
    <x v="32"/>
    <x v="3433"/>
    <x v="1451"/>
    <n v="1013830"/>
    <n v="4458"/>
    <n v="-15677"/>
    <x v="3035"/>
    <n v="-6104"/>
  </r>
  <r>
    <x v="62"/>
    <x v="33"/>
    <x v="3434"/>
    <x v="33"/>
    <n v="1029966"/>
    <s v="n.a."/>
    <s v="n.a."/>
    <x v="3036"/>
    <n v="-7226"/>
  </r>
  <r>
    <x v="62"/>
    <x v="34"/>
    <x v="3435"/>
    <x v="33"/>
    <n v="994871"/>
    <s v="n.a."/>
    <s v="n.a."/>
    <x v="3037"/>
    <n v="17015"/>
  </r>
  <r>
    <x v="62"/>
    <x v="35"/>
    <x v="3436"/>
    <x v="33"/>
    <n v="1018640"/>
    <s v="n.a."/>
    <s v="n.a."/>
    <x v="3038"/>
    <n v="6808"/>
  </r>
  <r>
    <x v="62"/>
    <x v="36"/>
    <x v="3437"/>
    <x v="33"/>
    <n v="1008054"/>
    <s v="n.a."/>
    <s v="n.a."/>
    <x v="3039"/>
    <n v="-22802"/>
  </r>
  <r>
    <x v="62"/>
    <x v="37"/>
    <x v="3438"/>
    <x v="33"/>
    <n v="1037209"/>
    <s v="n.a."/>
    <s v="n.a."/>
    <x v="3040"/>
    <n v="1526"/>
  </r>
  <r>
    <x v="62"/>
    <x v="38"/>
    <x v="3439"/>
    <x v="33"/>
    <n v="1118333"/>
    <s v="n.a."/>
    <s v="n.a."/>
    <x v="3041"/>
    <n v="-696"/>
  </r>
  <r>
    <x v="62"/>
    <x v="39"/>
    <x v="3440"/>
    <x v="33"/>
    <n v="1152325"/>
    <s v="n.a."/>
    <s v="n.a."/>
    <x v="3042"/>
    <n v="6681"/>
  </r>
  <r>
    <x v="62"/>
    <x v="40"/>
    <x v="3441"/>
    <x v="33"/>
    <n v="1161020"/>
    <s v="n.a."/>
    <s v="n.a."/>
    <x v="3043"/>
    <n v="-1552"/>
  </r>
  <r>
    <x v="62"/>
    <x v="41"/>
    <x v="3442"/>
    <x v="33"/>
    <n v="1146663"/>
    <s v="n.a."/>
    <s v="n.a."/>
    <x v="3044"/>
    <n v="-10592"/>
  </r>
  <r>
    <x v="62"/>
    <x v="42"/>
    <x v="3443"/>
    <x v="33"/>
    <n v="1131164"/>
    <s v="n.a."/>
    <s v="n.a."/>
    <x v="3045"/>
    <n v="725"/>
  </r>
  <r>
    <x v="62"/>
    <x v="43"/>
    <x v="3444"/>
    <x v="33"/>
    <n v="1145920"/>
    <s v="n.a."/>
    <s v="n.a."/>
    <x v="3046"/>
    <n v="4828"/>
  </r>
  <r>
    <x v="62"/>
    <x v="44"/>
    <x v="3445"/>
    <x v="33"/>
    <n v="1224788"/>
    <s v="n.a."/>
    <s v="n.a."/>
    <x v="3047"/>
    <n v="-6762"/>
  </r>
  <r>
    <x v="62"/>
    <x v="45"/>
    <x v="3446"/>
    <x v="33"/>
    <n v="1214887"/>
    <s v="n.a."/>
    <s v="n.a."/>
    <x v="3048"/>
    <n v="-1707"/>
  </r>
  <r>
    <x v="62"/>
    <x v="46"/>
    <x v="3447"/>
    <x v="33"/>
    <n v="1214078"/>
    <s v="n.a."/>
    <s v="n.a."/>
    <x v="3049"/>
    <n v="5546"/>
  </r>
  <r>
    <x v="62"/>
    <x v="47"/>
    <x v="3448"/>
    <x v="33"/>
    <n v="1244343"/>
    <s v="n.a."/>
    <s v="n.a."/>
    <x v="3050"/>
    <n v="4764"/>
  </r>
  <r>
    <x v="62"/>
    <x v="48"/>
    <x v="3449"/>
    <x v="33"/>
    <n v="1243981"/>
    <s v="n.a."/>
    <s v="n.a."/>
    <x v="3051"/>
    <n v="10452"/>
  </r>
  <r>
    <x v="62"/>
    <x v="49"/>
    <x v="3450"/>
    <x v="33"/>
    <n v="1233622"/>
    <s v="n.a."/>
    <s v="n.a."/>
    <x v="3052"/>
    <n v="-2407"/>
  </r>
  <r>
    <x v="62"/>
    <x v="50"/>
    <x v="3451"/>
    <x v="33"/>
    <n v="1251375"/>
    <s v="n.a."/>
    <s v="n.a."/>
    <x v="3053"/>
    <n v="3392"/>
  </r>
  <r>
    <x v="62"/>
    <x v="51"/>
    <x v="3452"/>
    <x v="33"/>
    <n v="1245237"/>
    <s v="n.a."/>
    <s v="n.a."/>
    <x v="3054"/>
    <n v="-347"/>
  </r>
  <r>
    <x v="62"/>
    <x v="52"/>
    <x v="3453"/>
    <x v="33"/>
    <n v="1214367"/>
    <s v="n.a."/>
    <s v="n.a."/>
    <x v="3055"/>
    <n v="-405"/>
  </r>
  <r>
    <x v="62"/>
    <x v="53"/>
    <x v="3454"/>
    <x v="33"/>
    <n v="1200461"/>
    <s v="n.a."/>
    <s v="n.a."/>
    <x v="3056"/>
    <n v="76"/>
  </r>
  <r>
    <x v="62"/>
    <x v="54"/>
    <x v="3455"/>
    <x v="33"/>
    <n v="1211116"/>
    <s v="n.a."/>
    <s v="n.a."/>
    <x v="3057"/>
    <n v="-774"/>
  </r>
  <r>
    <x v="62"/>
    <x v="55"/>
    <x v="3456"/>
    <x v="33"/>
    <n v="1174075"/>
    <s v="n.a."/>
    <s v="n.a."/>
    <x v="3058"/>
    <n v="-3903"/>
  </r>
  <r>
    <x v="62"/>
    <x v="56"/>
    <x v="3457"/>
    <x v="33"/>
    <n v="1187707"/>
    <s v="n.a."/>
    <s v="n.a."/>
    <x v="3059"/>
    <n v="3449"/>
  </r>
  <r>
    <x v="62"/>
    <x v="57"/>
    <x v="3458"/>
    <x v="33"/>
    <n v="1210028"/>
    <s v="n.a."/>
    <s v="n.a."/>
    <x v="3060"/>
    <n v="111"/>
  </r>
  <r>
    <x v="62"/>
    <x v="58"/>
    <x v="3459"/>
    <x v="33"/>
    <n v="1184556"/>
    <s v="n.a."/>
    <s v="n.a."/>
    <x v="3061"/>
    <n v="-892"/>
  </r>
  <r>
    <x v="62"/>
    <x v="59"/>
    <x v="3460"/>
    <x v="33"/>
    <n v="1193190"/>
    <s v="n.a."/>
    <s v="n.a."/>
    <x v="3062"/>
    <n v="-238"/>
  </r>
  <r>
    <x v="62"/>
    <x v="60"/>
    <x v="3461"/>
    <x v="33"/>
    <n v="1205240"/>
    <s v="n.a."/>
    <s v="n.a."/>
    <x v="3063"/>
    <n v="465"/>
  </r>
  <r>
    <x v="62"/>
    <x v="61"/>
    <x v="3462"/>
    <x v="33"/>
    <n v="1208762"/>
    <s v="n.a."/>
    <s v="n.a."/>
    <x v="3064"/>
    <n v="-664"/>
  </r>
  <r>
    <x v="62"/>
    <x v="62"/>
    <x v="3463"/>
    <x v="33"/>
    <n v="1210275"/>
    <s v="n.a."/>
    <s v="n.a."/>
    <x v="3065"/>
    <n v="960"/>
  </r>
  <r>
    <x v="62"/>
    <x v="63"/>
    <x v="3464"/>
    <x v="33"/>
    <n v="1225897"/>
    <s v="n.a."/>
    <s v="n.a."/>
    <x v="3066"/>
    <n v="460"/>
  </r>
  <r>
    <x v="62"/>
    <x v="64"/>
    <x v="3465"/>
    <x v="33"/>
    <n v="1194934"/>
    <s v="n.a."/>
    <s v="n.a."/>
    <x v="3067"/>
    <n v="-380"/>
  </r>
  <r>
    <x v="62"/>
    <x v="65"/>
    <x v="3466"/>
    <x v="33"/>
    <n v="1193317"/>
    <s v="n.a."/>
    <s v="n.a."/>
    <x v="3068"/>
    <n v="2922"/>
  </r>
  <r>
    <x v="62"/>
    <x v="66"/>
    <x v="3467"/>
    <x v="33"/>
    <n v="1202355"/>
    <s v="n.a."/>
    <s v="n.a."/>
    <x v="3069"/>
    <n v="3226"/>
  </r>
  <r>
    <x v="62"/>
    <x v="67"/>
    <x v="3468"/>
    <x v="33"/>
    <n v="1211747"/>
    <s v="n.a."/>
    <s v="n.a."/>
    <x v="3070"/>
    <n v="-5305"/>
  </r>
  <r>
    <x v="62"/>
    <x v="68"/>
    <x v="3469"/>
    <x v="33"/>
    <n v="1202367"/>
    <s v="n.a."/>
    <s v="n.a."/>
    <x v="3071"/>
    <n v="1944"/>
  </r>
  <r>
    <x v="62"/>
    <x v="69"/>
    <x v="3470"/>
    <x v="33"/>
    <n v="1147586"/>
    <s v="n.a."/>
    <s v="n.a."/>
    <x v="3072"/>
    <n v="2179"/>
  </r>
  <r>
    <x v="63"/>
    <x v="0"/>
    <x v="3471"/>
    <x v="1452"/>
    <n v="136062"/>
    <n v="-3"/>
    <n v="834"/>
    <x v="3073"/>
    <n v="2057"/>
  </r>
  <r>
    <x v="63"/>
    <x v="1"/>
    <x v="3472"/>
    <x v="1453"/>
    <n v="135889"/>
    <n v="8985"/>
    <n v="234"/>
    <x v="1700"/>
    <n v="-2305"/>
  </r>
  <r>
    <x v="63"/>
    <x v="2"/>
    <x v="3473"/>
    <x v="1454"/>
    <n v="126677"/>
    <n v="1394"/>
    <n v="1816"/>
    <x v="3074"/>
    <n v="951"/>
  </r>
  <r>
    <x v="63"/>
    <x v="3"/>
    <x v="3474"/>
    <x v="1455"/>
    <n v="124181"/>
    <n v="5842"/>
    <n v="-95"/>
    <x v="3075"/>
    <n v="1377"/>
  </r>
  <r>
    <x v="63"/>
    <x v="4"/>
    <x v="3475"/>
    <x v="1456"/>
    <n v="119739"/>
    <n v="-1177"/>
    <n v="1781"/>
    <x v="2069"/>
    <n v="2401"/>
  </r>
  <r>
    <x v="63"/>
    <x v="5"/>
    <x v="3476"/>
    <x v="1457"/>
    <n v="119609"/>
    <n v="4451"/>
    <n v="1111"/>
    <x v="3076"/>
    <n v="97"/>
  </r>
  <r>
    <x v="63"/>
    <x v="6"/>
    <x v="3477"/>
    <x v="1458"/>
    <n v="117207"/>
    <n v="-1266"/>
    <n v="561"/>
    <x v="3077"/>
    <n v="-3608"/>
  </r>
  <r>
    <x v="63"/>
    <x v="7"/>
    <x v="3478"/>
    <x v="1459"/>
    <n v="117758"/>
    <n v="1798"/>
    <n v="424"/>
    <x v="3078"/>
    <n v="-778"/>
  </r>
  <r>
    <x v="63"/>
    <x v="8"/>
    <x v="3479"/>
    <x v="1460"/>
    <n v="115716"/>
    <n v="-1432"/>
    <n v="2307"/>
    <x v="3079"/>
    <n v="2006"/>
  </r>
  <r>
    <x v="63"/>
    <x v="9"/>
    <x v="3480"/>
    <x v="1461"/>
    <n v="115302"/>
    <n v="-3119"/>
    <n v="-115"/>
    <x v="3080"/>
    <n v="103"/>
  </r>
  <r>
    <x v="63"/>
    <x v="10"/>
    <x v="3481"/>
    <x v="1462"/>
    <n v="118166"/>
    <n v="589"/>
    <n v="-1996"/>
    <x v="3081"/>
    <n v="-945"/>
  </r>
  <r>
    <x v="63"/>
    <x v="11"/>
    <x v="3482"/>
    <x v="764"/>
    <n v="119825"/>
    <n v="687"/>
    <n v="112"/>
    <x v="3082"/>
    <n v="-476"/>
  </r>
  <r>
    <x v="63"/>
    <x v="12"/>
    <x v="3483"/>
    <x v="1463"/>
    <n v="119125"/>
    <n v="-1329"/>
    <n v="2497"/>
    <x v="3083"/>
    <n v="3500"/>
  </r>
  <r>
    <x v="63"/>
    <x v="13"/>
    <x v="3484"/>
    <x v="1464"/>
    <n v="122667"/>
    <n v="5026"/>
    <n v="1113"/>
    <x v="3084"/>
    <n v="47"/>
  </r>
  <r>
    <x v="63"/>
    <x v="14"/>
    <x v="3485"/>
    <x v="1465"/>
    <n v="118662"/>
    <n v="685"/>
    <n v="368"/>
    <x v="2913"/>
    <n v="-1242"/>
  </r>
  <r>
    <x v="63"/>
    <x v="15"/>
    <x v="3486"/>
    <x v="1466"/>
    <n v="117185"/>
    <n v="1818"/>
    <n v="1658"/>
    <x v="3085"/>
    <n v="1827"/>
  </r>
  <r>
    <x v="63"/>
    <x v="16"/>
    <x v="3487"/>
    <x v="1467"/>
    <n v="113137"/>
    <n v="-3160"/>
    <n v="2166"/>
    <x v="3086"/>
    <n v="107"/>
  </r>
  <r>
    <x v="63"/>
    <x v="17"/>
    <x v="3488"/>
    <x v="1468"/>
    <n v="115837"/>
    <n v="869"/>
    <n v="5223"/>
    <x v="1577"/>
    <n v="-1243"/>
  </r>
  <r>
    <x v="63"/>
    <x v="18"/>
    <x v="3489"/>
    <x v="1469"/>
    <n v="113772"/>
    <n v="6628"/>
    <n v="-2656"/>
    <x v="3087"/>
    <n v="64"/>
  </r>
  <r>
    <x v="63"/>
    <x v="19"/>
    <x v="3490"/>
    <x v="1470"/>
    <n v="109848"/>
    <n v="-5995"/>
    <n v="-611"/>
    <x v="3088"/>
    <n v="664"/>
  </r>
  <r>
    <x v="63"/>
    <x v="20"/>
    <x v="3491"/>
    <x v="1471"/>
    <n v="113711"/>
    <n v="3457"/>
    <n v="-1203"/>
    <x v="3089"/>
    <n v="-423"/>
  </r>
  <r>
    <x v="63"/>
    <x v="21"/>
    <x v="3492"/>
    <x v="1472"/>
    <n v="112053"/>
    <n v="4114"/>
    <n v="-1321"/>
    <x v="3090"/>
    <n v="-4381"/>
  </r>
  <r>
    <x v="63"/>
    <x v="22"/>
    <x v="3493"/>
    <x v="1473"/>
    <n v="107917"/>
    <n v="198"/>
    <n v="1854"/>
    <x v="3091"/>
    <n v="155"/>
  </r>
  <r>
    <x v="63"/>
    <x v="23"/>
    <x v="3494"/>
    <x v="1474"/>
    <n v="106942"/>
    <n v="917"/>
    <n v="4632"/>
    <x v="3092"/>
    <n v="1028"/>
  </r>
  <r>
    <x v="63"/>
    <x v="24"/>
    <x v="3495"/>
    <x v="1475"/>
    <n v="104781"/>
    <n v="-306"/>
    <n v="-784"/>
    <x v="3093"/>
    <n v="1400"/>
  </r>
  <r>
    <x v="63"/>
    <x v="25"/>
    <x v="3496"/>
    <x v="1476"/>
    <n v="106233"/>
    <n v="-185"/>
    <n v="-1465"/>
    <x v="3094"/>
    <n v="-2740"/>
  </r>
  <r>
    <x v="63"/>
    <x v="26"/>
    <x v="3497"/>
    <x v="1477"/>
    <n v="108373"/>
    <n v="3888"/>
    <n v="-680"/>
    <x v="3095"/>
    <n v="-1109"/>
  </r>
  <r>
    <x v="63"/>
    <x v="27"/>
    <x v="3498"/>
    <x v="1478"/>
    <n v="105266"/>
    <n v="2527"/>
    <n v="909"/>
    <x v="3096"/>
    <n v="-1319"/>
  </r>
  <r>
    <x v="63"/>
    <x v="28"/>
    <x v="3499"/>
    <x v="1479"/>
    <n v="103225"/>
    <n v="-2608"/>
    <n v="-167"/>
    <x v="3097"/>
    <n v="2988"/>
  </r>
  <r>
    <x v="63"/>
    <x v="29"/>
    <x v="3500"/>
    <x v="1480"/>
    <n v="106572"/>
    <n v="5899"/>
    <n v="-62"/>
    <x v="3098"/>
    <n v="-874"/>
  </r>
  <r>
    <x v="63"/>
    <x v="30"/>
    <x v="3501"/>
    <x v="1481"/>
    <n v="101820"/>
    <n v="337"/>
    <n v="-142"/>
    <x v="3099"/>
    <n v="-3063"/>
  </r>
  <r>
    <x v="63"/>
    <x v="31"/>
    <x v="3502"/>
    <x v="1482"/>
    <n v="101141"/>
    <n v="654"/>
    <n v="2038"/>
    <x v="3100"/>
    <n v="449"/>
  </r>
  <r>
    <x v="63"/>
    <x v="32"/>
    <x v="3503"/>
    <x v="1483"/>
    <n v="98486"/>
    <n v="6280"/>
    <n v="-2318"/>
    <x v="3101"/>
    <n v="1321"/>
  </r>
  <r>
    <x v="63"/>
    <x v="33"/>
    <x v="3504"/>
    <x v="33"/>
    <n v="94748"/>
    <s v="n.a."/>
    <s v="n.a."/>
    <x v="3102"/>
    <n v="841"/>
  </r>
  <r>
    <x v="63"/>
    <x v="34"/>
    <x v="3505"/>
    <x v="33"/>
    <n v="92391"/>
    <s v="n.a."/>
    <s v="n.a."/>
    <x v="3103"/>
    <n v="-2258"/>
  </r>
  <r>
    <x v="63"/>
    <x v="35"/>
    <x v="3506"/>
    <x v="33"/>
    <n v="87931"/>
    <s v="n.a."/>
    <s v="n.a."/>
    <x v="3104"/>
    <n v="247"/>
  </r>
  <r>
    <x v="63"/>
    <x v="36"/>
    <x v="3507"/>
    <x v="33"/>
    <n v="86470"/>
    <s v="n.a."/>
    <s v="n.a."/>
    <x v="3105"/>
    <n v="-2725"/>
  </r>
  <r>
    <x v="63"/>
    <x v="37"/>
    <x v="3508"/>
    <x v="33"/>
    <n v="89972"/>
    <s v="n.a."/>
    <s v="n.a."/>
    <x v="3106"/>
    <n v="-3131"/>
  </r>
  <r>
    <x v="63"/>
    <x v="38"/>
    <x v="3509"/>
    <x v="33"/>
    <n v="99472"/>
    <s v="n.a."/>
    <s v="n.a."/>
    <x v="3107"/>
    <n v="1447"/>
  </r>
  <r>
    <x v="63"/>
    <x v="39"/>
    <x v="3510"/>
    <x v="33"/>
    <n v="95304"/>
    <s v="n.a."/>
    <s v="n.a."/>
    <x v="3108"/>
    <n v="-1624"/>
  </r>
  <r>
    <x v="63"/>
    <x v="40"/>
    <x v="3511"/>
    <x v="33"/>
    <n v="93662"/>
    <s v="n.a."/>
    <s v="n.a."/>
    <x v="3109"/>
    <n v="-2140"/>
  </r>
  <r>
    <x v="63"/>
    <x v="41"/>
    <x v="3512"/>
    <x v="33"/>
    <n v="94885"/>
    <s v="n.a."/>
    <s v="n.a."/>
    <x v="3110"/>
    <n v="-4215"/>
  </r>
  <r>
    <x v="63"/>
    <x v="42"/>
    <x v="3513"/>
    <x v="33"/>
    <n v="92748"/>
    <s v="n.a."/>
    <s v="n.a."/>
    <x v="3111"/>
    <n v="1956"/>
  </r>
  <r>
    <x v="63"/>
    <x v="43"/>
    <x v="3514"/>
    <x v="33"/>
    <n v="96304"/>
    <s v="n.a."/>
    <s v="n.a."/>
    <x v="3112"/>
    <n v="4798"/>
  </r>
  <r>
    <x v="63"/>
    <x v="44"/>
    <x v="3515"/>
    <x v="33"/>
    <n v="104037"/>
    <s v="n.a."/>
    <s v="n.a."/>
    <x v="3113"/>
    <n v="8429"/>
  </r>
  <r>
    <x v="63"/>
    <x v="45"/>
    <x v="3516"/>
    <x v="33"/>
    <n v="114404"/>
    <s v="n.a."/>
    <s v="n.a."/>
    <x v="3114"/>
    <n v="2578"/>
  </r>
  <r>
    <x v="63"/>
    <x v="46"/>
    <x v="3517"/>
    <x v="33"/>
    <n v="123843"/>
    <s v="n.a."/>
    <s v="n.a."/>
    <x v="3115"/>
    <n v="655"/>
  </r>
  <r>
    <x v="63"/>
    <x v="47"/>
    <x v="3518"/>
    <x v="33"/>
    <n v="125999"/>
    <s v="n.a."/>
    <s v="n.a."/>
    <x v="3116"/>
    <n v="-10629"/>
  </r>
  <r>
    <x v="63"/>
    <x v="48"/>
    <x v="3519"/>
    <x v="33"/>
    <n v="108609"/>
    <s v="n.a."/>
    <s v="n.a."/>
    <x v="3117"/>
    <n v="-2600"/>
  </r>
  <r>
    <x v="63"/>
    <x v="49"/>
    <x v="3520"/>
    <x v="33"/>
    <n v="110713"/>
    <s v="n.a."/>
    <s v="n.a."/>
    <x v="3118"/>
    <n v="3946"/>
  </r>
  <r>
    <x v="63"/>
    <x v="50"/>
    <x v="3521"/>
    <x v="33"/>
    <n v="113595"/>
    <s v="n.a."/>
    <s v="n.a."/>
    <x v="3119"/>
    <n v="3105"/>
  </r>
  <r>
    <x v="63"/>
    <x v="51"/>
    <x v="3522"/>
    <x v="33"/>
    <n v="113795"/>
    <s v="n.a."/>
    <s v="n.a."/>
    <x v="3120"/>
    <n v="-1086"/>
  </r>
  <r>
    <x v="63"/>
    <x v="52"/>
    <x v="3523"/>
    <x v="33"/>
    <n v="117493"/>
    <s v="n.a."/>
    <s v="n.a."/>
    <x v="3121"/>
    <n v="420"/>
  </r>
  <r>
    <x v="63"/>
    <x v="53"/>
    <x v="3524"/>
    <x v="33"/>
    <n v="110147"/>
    <s v="n.a."/>
    <s v="n.a."/>
    <x v="3122"/>
    <n v="167"/>
  </r>
  <r>
    <x v="63"/>
    <x v="54"/>
    <x v="3525"/>
    <x v="33"/>
    <n v="107417"/>
    <s v="n.a."/>
    <s v="n.a."/>
    <x v="3123"/>
    <n v="3647"/>
  </r>
  <r>
    <x v="63"/>
    <x v="55"/>
    <x v="3526"/>
    <x v="33"/>
    <n v="113674"/>
    <s v="n.a."/>
    <s v="n.a."/>
    <x v="3124"/>
    <n v="-69"/>
  </r>
  <r>
    <x v="63"/>
    <x v="56"/>
    <x v="3527"/>
    <x v="33"/>
    <n v="116479"/>
    <s v="n.a."/>
    <s v="n.a."/>
    <x v="3125"/>
    <n v="416"/>
  </r>
  <r>
    <x v="63"/>
    <x v="57"/>
    <x v="3528"/>
    <x v="33"/>
    <n v="116402"/>
    <s v="n.a."/>
    <s v="n.a."/>
    <x v="3126"/>
    <n v="6"/>
  </r>
  <r>
    <x v="63"/>
    <x v="58"/>
    <x v="3529"/>
    <x v="33"/>
    <n v="122069"/>
    <s v="n.a."/>
    <s v="n.a."/>
    <x v="3127"/>
    <n v="5492"/>
  </r>
  <r>
    <x v="63"/>
    <x v="59"/>
    <x v="3530"/>
    <x v="33"/>
    <n v="119499"/>
    <s v="n.a."/>
    <s v="n.a."/>
    <x v="3128"/>
    <n v="185"/>
  </r>
  <r>
    <x v="63"/>
    <x v="60"/>
    <x v="3531"/>
    <x v="33"/>
    <n v="115890"/>
    <s v="n.a."/>
    <s v="n.a."/>
    <x v="684"/>
    <n v="-55"/>
  </r>
  <r>
    <x v="63"/>
    <x v="61"/>
    <x v="3532"/>
    <x v="33"/>
    <n v="119954"/>
    <s v="n.a."/>
    <s v="n.a."/>
    <x v="3129"/>
    <n v="-1598"/>
  </r>
  <r>
    <x v="63"/>
    <x v="62"/>
    <x v="3533"/>
    <x v="33"/>
    <n v="117927"/>
    <s v="n.a."/>
    <s v="n.a."/>
    <x v="3130"/>
    <n v="650"/>
  </r>
  <r>
    <x v="63"/>
    <x v="63"/>
    <x v="3534"/>
    <x v="33"/>
    <n v="118972"/>
    <s v="n.a."/>
    <s v="n.a."/>
    <x v="3131"/>
    <n v="-289"/>
  </r>
  <r>
    <x v="63"/>
    <x v="64"/>
    <x v="3535"/>
    <x v="33"/>
    <n v="118218"/>
    <s v="n.a."/>
    <s v="n.a."/>
    <x v="3132"/>
    <n v="565"/>
  </r>
  <r>
    <x v="63"/>
    <x v="65"/>
    <x v="3536"/>
    <x v="33"/>
    <n v="113388"/>
    <s v="n.a."/>
    <s v="n.a."/>
    <x v="3133"/>
    <n v="-109"/>
  </r>
  <r>
    <x v="63"/>
    <x v="66"/>
    <x v="3537"/>
    <x v="33"/>
    <n v="115961"/>
    <s v="n.a."/>
    <s v="n.a."/>
    <x v="3134"/>
    <n v="855"/>
  </r>
  <r>
    <x v="63"/>
    <x v="67"/>
    <x v="3538"/>
    <x v="33"/>
    <n v="107688"/>
    <s v="n.a."/>
    <s v="n.a."/>
    <x v="3135"/>
    <n v="-1557"/>
  </r>
  <r>
    <x v="63"/>
    <x v="68"/>
    <x v="3539"/>
    <x v="33"/>
    <n v="111439"/>
    <s v="n.a."/>
    <s v="n.a."/>
    <x v="3136"/>
    <n v="148"/>
  </r>
  <r>
    <x v="63"/>
    <x v="69"/>
    <x v="3540"/>
    <x v="33"/>
    <n v="116572"/>
    <s v="n.a."/>
    <s v="n.a."/>
    <x v="3137"/>
    <n v="546"/>
  </r>
  <r>
    <x v="64"/>
    <x v="0"/>
    <x v="3541"/>
    <x v="1484"/>
    <n v="59275"/>
    <n v="742"/>
    <n v="-267"/>
    <x v="3138"/>
    <n v="91"/>
  </r>
  <r>
    <x v="64"/>
    <x v="1"/>
    <x v="3542"/>
    <x v="1485"/>
    <n v="58124"/>
    <n v="77"/>
    <n v="1724"/>
    <x v="3139"/>
    <n v="-189"/>
  </r>
  <r>
    <x v="64"/>
    <x v="2"/>
    <x v="3543"/>
    <x v="1486"/>
    <n v="57751"/>
    <n v="240"/>
    <n v="682"/>
    <x v="3140"/>
    <n v="469"/>
  </r>
  <r>
    <x v="64"/>
    <x v="3"/>
    <x v="3544"/>
    <x v="1487"/>
    <n v="57101"/>
    <n v="839"/>
    <n v="581"/>
    <x v="1775"/>
    <n v="-70"/>
  </r>
  <r>
    <x v="64"/>
    <x v="4"/>
    <x v="3545"/>
    <x v="1488"/>
    <n v="56954"/>
    <n v="957"/>
    <n v="1645"/>
    <x v="3141"/>
    <n v="-437"/>
  </r>
  <r>
    <x v="64"/>
    <x v="5"/>
    <x v="3546"/>
    <x v="1489"/>
    <n v="55489"/>
    <n v="3793"/>
    <n v="646"/>
    <x v="1631"/>
    <n v="293"/>
  </r>
  <r>
    <x v="64"/>
    <x v="6"/>
    <x v="3547"/>
    <x v="1490"/>
    <n v="52981"/>
    <n v="2527"/>
    <n v="-1097"/>
    <x v="3142"/>
    <n v="-383"/>
  </r>
  <r>
    <x v="64"/>
    <x v="7"/>
    <x v="3548"/>
    <x v="1491"/>
    <n v="51080"/>
    <n v="1561"/>
    <n v="940"/>
    <x v="3143"/>
    <n v="105"/>
  </r>
  <r>
    <x v="64"/>
    <x v="8"/>
    <x v="3549"/>
    <x v="1492"/>
    <n v="48530"/>
    <n v="-1111"/>
    <n v="3508"/>
    <x v="3144"/>
    <n v="-313"/>
  </r>
  <r>
    <x v="64"/>
    <x v="9"/>
    <x v="3550"/>
    <x v="1493"/>
    <n v="47404"/>
    <n v="-1182"/>
    <n v="-1248"/>
    <x v="3145"/>
    <n v="446"/>
  </r>
  <r>
    <x v="64"/>
    <x v="10"/>
    <x v="3551"/>
    <x v="1494"/>
    <n v="48958"/>
    <n v="1002"/>
    <n v="-3400"/>
    <x v="3146"/>
    <n v="-18"/>
  </r>
  <r>
    <x v="64"/>
    <x v="11"/>
    <x v="3552"/>
    <x v="1495"/>
    <n v="49801"/>
    <n v="-345"/>
    <n v="-361"/>
    <x v="3147"/>
    <n v="66"/>
  </r>
  <r>
    <x v="64"/>
    <x v="12"/>
    <x v="3553"/>
    <x v="1496"/>
    <n v="50090"/>
    <n v="4049"/>
    <n v="-846"/>
    <x v="7"/>
    <n v="424"/>
  </r>
  <r>
    <x v="64"/>
    <x v="13"/>
    <x v="3554"/>
    <x v="1497"/>
    <n v="47380"/>
    <n v="149"/>
    <n v="1005"/>
    <x v="1811"/>
    <n v="-58"/>
  </r>
  <r>
    <x v="64"/>
    <x v="14"/>
    <x v="3555"/>
    <x v="1498"/>
    <n v="46434"/>
    <n v="-864"/>
    <n v="1358"/>
    <x v="1615"/>
    <n v="-373"/>
  </r>
  <r>
    <x v="64"/>
    <x v="15"/>
    <x v="3556"/>
    <x v="1499"/>
    <n v="46217"/>
    <n v="601"/>
    <n v="646"/>
    <x v="25"/>
    <n v="18"/>
  </r>
  <r>
    <x v="64"/>
    <x v="16"/>
    <x v="3557"/>
    <x v="1500"/>
    <n v="45125"/>
    <n v="-777"/>
    <n v="1938"/>
    <x v="60"/>
    <n v="42"/>
  </r>
  <r>
    <x v="64"/>
    <x v="17"/>
    <x v="3558"/>
    <x v="897"/>
    <n v="44921"/>
    <n v="-54"/>
    <n v="626"/>
    <x v="3148"/>
    <n v="68"/>
  </r>
  <r>
    <x v="64"/>
    <x v="18"/>
    <x v="3559"/>
    <x v="1501"/>
    <n v="43705"/>
    <n v="111"/>
    <n v="-1092"/>
    <x v="3149"/>
    <n v="-256"/>
  </r>
  <r>
    <x v="64"/>
    <x v="19"/>
    <x v="3560"/>
    <x v="1502"/>
    <n v="44837"/>
    <n v="432"/>
    <n v="-1614"/>
    <x v="3150"/>
    <n v="-894"/>
  </r>
  <r>
    <x v="64"/>
    <x v="20"/>
    <x v="3561"/>
    <x v="860"/>
    <n v="44354"/>
    <n v="166"/>
    <n v="-443"/>
    <x v="3151"/>
    <n v="173"/>
  </r>
  <r>
    <x v="64"/>
    <x v="21"/>
    <x v="3562"/>
    <x v="1503"/>
    <n v="43785"/>
    <n v="-782"/>
    <n v="2031"/>
    <x v="3152"/>
    <n v="-761"/>
  </r>
  <r>
    <x v="64"/>
    <x v="22"/>
    <x v="3563"/>
    <x v="1504"/>
    <n v="43402"/>
    <n v="3133"/>
    <n v="1300"/>
    <x v="3153"/>
    <n v="-384"/>
  </r>
  <r>
    <x v="64"/>
    <x v="23"/>
    <x v="3564"/>
    <x v="1505"/>
    <n v="39729"/>
    <n v="1451"/>
    <n v="2079"/>
    <x v="3154"/>
    <n v="1335"/>
  </r>
  <r>
    <x v="64"/>
    <x v="24"/>
    <x v="3565"/>
    <x v="1506"/>
    <n v="37619"/>
    <n v="-1136"/>
    <n v="-519"/>
    <x v="2025"/>
    <n v="549"/>
  </r>
  <r>
    <x v="64"/>
    <x v="25"/>
    <x v="3566"/>
    <x v="1507"/>
    <n v="39334"/>
    <n v="-30"/>
    <n v="-2899"/>
    <x v="3155"/>
    <n v="-377"/>
  </r>
  <r>
    <x v="64"/>
    <x v="26"/>
    <x v="3567"/>
    <x v="1508"/>
    <n v="40117"/>
    <n v="79"/>
    <n v="434"/>
    <x v="3145"/>
    <n v="-384"/>
  </r>
  <r>
    <x v="64"/>
    <x v="27"/>
    <x v="3568"/>
    <x v="1509"/>
    <n v="40270"/>
    <n v="72"/>
    <n v="-137"/>
    <x v="3156"/>
    <n v="-951"/>
  </r>
  <r>
    <x v="64"/>
    <x v="28"/>
    <x v="3569"/>
    <x v="1510"/>
    <n v="40493"/>
    <n v="-397"/>
    <n v="1054"/>
    <x v="3157"/>
    <n v="97"/>
  </r>
  <r>
    <x v="64"/>
    <x v="29"/>
    <x v="3570"/>
    <x v="530"/>
    <n v="38373"/>
    <n v="249"/>
    <n v="1115"/>
    <x v="3158"/>
    <n v="-110"/>
  </r>
  <r>
    <x v="64"/>
    <x v="30"/>
    <x v="3571"/>
    <x v="1511"/>
    <n v="38222"/>
    <n v="1063"/>
    <n v="2245"/>
    <x v="3159"/>
    <n v="-236"/>
  </r>
  <r>
    <x v="64"/>
    <x v="31"/>
    <x v="3572"/>
    <x v="1006"/>
    <n v="35884"/>
    <n v="251"/>
    <n v="721"/>
    <x v="3160"/>
    <n v="-1133"/>
  </r>
  <r>
    <x v="64"/>
    <x v="32"/>
    <x v="3573"/>
    <x v="1512"/>
    <n v="34595"/>
    <n v="-923"/>
    <n v="-1627"/>
    <x v="3161"/>
    <n v="-2583"/>
  </r>
  <r>
    <x v="64"/>
    <x v="33"/>
    <x v="3574"/>
    <x v="33"/>
    <n v="36154"/>
    <s v="n.a."/>
    <s v="n.a."/>
    <x v="3162"/>
    <n v="-3260"/>
  </r>
  <r>
    <x v="64"/>
    <x v="34"/>
    <x v="3575"/>
    <x v="33"/>
    <n v="38135"/>
    <s v="n.a."/>
    <s v="n.a."/>
    <x v="3163"/>
    <n v="-753"/>
  </r>
  <r>
    <x v="64"/>
    <x v="35"/>
    <x v="3576"/>
    <x v="33"/>
    <n v="39697"/>
    <s v="n.a."/>
    <s v="n.a."/>
    <x v="3164"/>
    <n v="-500"/>
  </r>
  <r>
    <x v="64"/>
    <x v="36"/>
    <x v="3577"/>
    <x v="33"/>
    <n v="38641"/>
    <s v="n.a."/>
    <s v="n.a."/>
    <x v="3165"/>
    <n v="-505"/>
  </r>
  <r>
    <x v="64"/>
    <x v="37"/>
    <x v="3578"/>
    <x v="33"/>
    <n v="38094"/>
    <s v="n.a."/>
    <s v="n.a."/>
    <x v="3166"/>
    <n v="308"/>
  </r>
  <r>
    <x v="64"/>
    <x v="38"/>
    <x v="3579"/>
    <x v="33"/>
    <n v="39284"/>
    <s v="n.a."/>
    <s v="n.a."/>
    <x v="3167"/>
    <n v="690"/>
  </r>
  <r>
    <x v="64"/>
    <x v="39"/>
    <x v="3580"/>
    <x v="33"/>
    <n v="38330"/>
    <s v="n.a."/>
    <s v="n.a."/>
    <x v="3168"/>
    <n v="748"/>
  </r>
  <r>
    <x v="64"/>
    <x v="40"/>
    <x v="3581"/>
    <x v="33"/>
    <n v="35563"/>
    <s v="n.a."/>
    <s v="n.a."/>
    <x v="3169"/>
    <n v="-155"/>
  </r>
  <r>
    <x v="64"/>
    <x v="41"/>
    <x v="3582"/>
    <x v="33"/>
    <n v="35771"/>
    <s v="n.a."/>
    <s v="n.a."/>
    <x v="3170"/>
    <n v="338"/>
  </r>
  <r>
    <x v="64"/>
    <x v="42"/>
    <x v="3583"/>
    <x v="33"/>
    <n v="35917"/>
    <s v="n.a."/>
    <s v="n.a."/>
    <x v="3171"/>
    <n v="-240"/>
  </r>
  <r>
    <x v="64"/>
    <x v="43"/>
    <x v="3584"/>
    <x v="33"/>
    <n v="36358"/>
    <s v="n.a."/>
    <s v="n.a."/>
    <x v="3172"/>
    <n v="-2936"/>
  </r>
  <r>
    <x v="64"/>
    <x v="44"/>
    <x v="3585"/>
    <x v="33"/>
    <n v="37178"/>
    <s v="n.a."/>
    <s v="n.a."/>
    <x v="3173"/>
    <n v="-40"/>
  </r>
  <r>
    <x v="64"/>
    <x v="45"/>
    <x v="3586"/>
    <x v="33"/>
    <n v="37145"/>
    <s v="n.a."/>
    <s v="n.a."/>
    <x v="3174"/>
    <n v="-530"/>
  </r>
  <r>
    <x v="64"/>
    <x v="46"/>
    <x v="3587"/>
    <x v="33"/>
    <n v="32421"/>
    <s v="n.a."/>
    <s v="n.a."/>
    <x v="3175"/>
    <n v="1594"/>
  </r>
  <r>
    <x v="64"/>
    <x v="47"/>
    <x v="3588"/>
    <x v="33"/>
    <n v="33908"/>
    <s v="n.a."/>
    <s v="n.a."/>
    <x v="3176"/>
    <n v="285"/>
  </r>
  <r>
    <x v="64"/>
    <x v="48"/>
    <x v="3589"/>
    <x v="33"/>
    <n v="33886"/>
    <s v="n.a."/>
    <s v="n.a."/>
    <x v="1197"/>
    <n v="53"/>
  </r>
  <r>
    <x v="64"/>
    <x v="49"/>
    <x v="3590"/>
    <x v="33"/>
    <n v="34271"/>
    <s v="n.a."/>
    <s v="n.a."/>
    <x v="3177"/>
    <n v="198"/>
  </r>
  <r>
    <x v="64"/>
    <x v="50"/>
    <x v="3591"/>
    <x v="33"/>
    <n v="34993"/>
    <s v="n.a."/>
    <s v="n.a."/>
    <x v="3178"/>
    <n v="-8"/>
  </r>
  <r>
    <x v="64"/>
    <x v="51"/>
    <x v="3592"/>
    <x v="33"/>
    <n v="34648"/>
    <s v="n.a."/>
    <s v="n.a."/>
    <x v="3179"/>
    <n v="-362"/>
  </r>
  <r>
    <x v="64"/>
    <x v="52"/>
    <x v="3593"/>
    <x v="33"/>
    <n v="34983"/>
    <s v="n.a."/>
    <s v="n.a."/>
    <x v="3180"/>
    <n v="406"/>
  </r>
  <r>
    <x v="64"/>
    <x v="53"/>
    <x v="3594"/>
    <x v="33"/>
    <n v="34152"/>
    <s v="n.a."/>
    <s v="n.a."/>
    <x v="3181"/>
    <n v="-145"/>
  </r>
  <r>
    <x v="64"/>
    <x v="54"/>
    <x v="3595"/>
    <x v="33"/>
    <n v="33841"/>
    <s v="n.a."/>
    <s v="n.a."/>
    <x v="3182"/>
    <n v="-323"/>
  </r>
  <r>
    <x v="64"/>
    <x v="55"/>
    <x v="3596"/>
    <x v="33"/>
    <n v="33435"/>
    <s v="n.a."/>
    <s v="n.a."/>
    <x v="3183"/>
    <n v="179"/>
  </r>
  <r>
    <x v="64"/>
    <x v="56"/>
    <x v="3597"/>
    <x v="33"/>
    <n v="32709"/>
    <s v="n.a."/>
    <s v="n.a."/>
    <x v="3184"/>
    <n v="-105"/>
  </r>
  <r>
    <x v="64"/>
    <x v="57"/>
    <x v="3598"/>
    <x v="33"/>
    <n v="33133"/>
    <s v="n.a."/>
    <s v="n.a."/>
    <x v="3185"/>
    <n v="-1588"/>
  </r>
  <r>
    <x v="64"/>
    <x v="58"/>
    <x v="3599"/>
    <x v="33"/>
    <n v="32809"/>
    <s v="n.a."/>
    <s v="n.a."/>
    <x v="3186"/>
    <n v="268"/>
  </r>
  <r>
    <x v="64"/>
    <x v="59"/>
    <x v="3600"/>
    <x v="33"/>
    <n v="32559"/>
    <s v="n.a."/>
    <s v="n.a."/>
    <x v="3187"/>
    <n v="-487"/>
  </r>
  <r>
    <x v="64"/>
    <x v="60"/>
    <x v="3601"/>
    <x v="33"/>
    <n v="33127"/>
    <s v="n.a."/>
    <s v="n.a."/>
    <x v="3188"/>
    <n v="901"/>
  </r>
  <r>
    <x v="64"/>
    <x v="61"/>
    <x v="3602"/>
    <x v="33"/>
    <n v="33455"/>
    <s v="n.a."/>
    <s v="n.a."/>
    <x v="3189"/>
    <n v="332"/>
  </r>
  <r>
    <x v="64"/>
    <x v="62"/>
    <x v="3603"/>
    <x v="33"/>
    <n v="33620"/>
    <s v="n.a."/>
    <s v="n.a."/>
    <x v="1195"/>
    <n v="-560"/>
  </r>
  <r>
    <x v="64"/>
    <x v="63"/>
    <x v="3604"/>
    <x v="33"/>
    <n v="34540"/>
    <s v="n.a."/>
    <s v="n.a."/>
    <x v="3190"/>
    <n v="3708"/>
  </r>
  <r>
    <x v="64"/>
    <x v="64"/>
    <x v="3605"/>
    <x v="33"/>
    <n v="35107"/>
    <s v="n.a."/>
    <s v="n.a."/>
    <x v="3191"/>
    <n v="493"/>
  </r>
  <r>
    <x v="64"/>
    <x v="65"/>
    <x v="3606"/>
    <x v="33"/>
    <n v="34514"/>
    <s v="n.a."/>
    <s v="n.a."/>
    <x v="3192"/>
    <n v="950"/>
  </r>
  <r>
    <x v="64"/>
    <x v="66"/>
    <x v="3607"/>
    <x v="33"/>
    <n v="36336"/>
    <s v="n.a."/>
    <s v="n.a."/>
    <x v="3193"/>
    <n v="5307"/>
  </r>
  <r>
    <x v="64"/>
    <x v="67"/>
    <x v="3608"/>
    <x v="33"/>
    <n v="37232"/>
    <s v="n.a."/>
    <s v="n.a."/>
    <x v="3194"/>
    <n v="-2955"/>
  </r>
  <r>
    <x v="64"/>
    <x v="68"/>
    <x v="2881"/>
    <x v="33"/>
    <n v="37807"/>
    <s v="n.a."/>
    <s v="n.a."/>
    <x v="3195"/>
    <n v="-3"/>
  </r>
  <r>
    <x v="64"/>
    <x v="69"/>
    <x v="3609"/>
    <x v="33"/>
    <n v="36115"/>
    <s v="n.a."/>
    <s v="n.a."/>
    <x v="3196"/>
    <n v="-601"/>
  </r>
  <r>
    <x v="65"/>
    <x v="0"/>
    <x v="481"/>
    <x v="33"/>
    <n v="25"/>
    <n v="1"/>
    <n v="0"/>
    <x v="461"/>
    <s v="n.a."/>
  </r>
  <r>
    <x v="65"/>
    <x v="1"/>
    <x v="481"/>
    <x v="33"/>
    <n v="31"/>
    <n v="1"/>
    <n v="-1"/>
    <x v="461"/>
    <s v="n.a."/>
  </r>
  <r>
    <x v="65"/>
    <x v="2"/>
    <x v="481"/>
    <x v="33"/>
    <n v="36"/>
    <n v="6"/>
    <n v="0"/>
    <x v="461"/>
    <s v="n.a."/>
  </r>
  <r>
    <x v="65"/>
    <x v="3"/>
    <x v="481"/>
    <x v="33"/>
    <n v="30"/>
    <n v="9"/>
    <n v="-1"/>
    <x v="461"/>
    <s v="n.a."/>
  </r>
  <r>
    <x v="65"/>
    <x v="4"/>
    <x v="481"/>
    <x v="33"/>
    <n v="25"/>
    <n v="0"/>
    <n v="-1"/>
    <x v="461"/>
    <s v="n.a."/>
  </r>
  <r>
    <x v="65"/>
    <x v="5"/>
    <x v="481"/>
    <x v="33"/>
    <n v="26"/>
    <n v="4"/>
    <n v="-3"/>
    <x v="461"/>
    <s v="n.a."/>
  </r>
  <r>
    <x v="65"/>
    <x v="6"/>
    <x v="481"/>
    <x v="33"/>
    <n v="23"/>
    <n v="2"/>
    <n v="-2"/>
    <x v="461"/>
    <s v="n.a."/>
  </r>
  <r>
    <x v="65"/>
    <x v="7"/>
    <x v="481"/>
    <x v="33"/>
    <n v="23"/>
    <n v="3"/>
    <n v="0"/>
    <x v="461"/>
    <s v="n.a."/>
  </r>
  <r>
    <x v="65"/>
    <x v="8"/>
    <x v="481"/>
    <x v="33"/>
    <n v="21"/>
    <n v="3"/>
    <n v="0"/>
    <x v="461"/>
    <s v="n.a."/>
  </r>
  <r>
    <x v="65"/>
    <x v="9"/>
    <x v="481"/>
    <x v="33"/>
    <n v="18"/>
    <n v="-1"/>
    <n v="0"/>
    <x v="461"/>
    <s v="n.a."/>
  </r>
  <r>
    <x v="65"/>
    <x v="10"/>
    <x v="481"/>
    <x v="33"/>
    <n v="24"/>
    <n v="-2"/>
    <n v="0"/>
    <x v="461"/>
    <s v="n.a."/>
  </r>
  <r>
    <x v="65"/>
    <x v="11"/>
    <x v="481"/>
    <x v="33"/>
    <n v="28"/>
    <n v="-1"/>
    <n v="1"/>
    <x v="461"/>
    <s v="n.a."/>
  </r>
  <r>
    <x v="65"/>
    <x v="12"/>
    <x v="481"/>
    <x v="33"/>
    <n v="28"/>
    <n v="3"/>
    <n v="0"/>
    <x v="461"/>
    <s v="n.a."/>
  </r>
  <r>
    <x v="65"/>
    <x v="13"/>
    <x v="481"/>
    <x v="33"/>
    <n v="25"/>
    <n v="0"/>
    <n v="-1"/>
    <x v="461"/>
    <s v="n.a."/>
  </r>
  <r>
    <x v="65"/>
    <x v="14"/>
    <x v="481"/>
    <x v="33"/>
    <n v="23"/>
    <n v="1"/>
    <n v="0"/>
    <x v="461"/>
    <s v="n.a."/>
  </r>
  <r>
    <x v="65"/>
    <x v="15"/>
    <x v="481"/>
    <x v="33"/>
    <n v="24"/>
    <n v="1"/>
    <n v="0"/>
    <x v="461"/>
    <s v="n.a."/>
  </r>
  <r>
    <x v="65"/>
    <x v="16"/>
    <x v="481"/>
    <x v="33"/>
    <n v="23"/>
    <n v="2"/>
    <n v="0"/>
    <x v="461"/>
    <s v="n.a."/>
  </r>
  <r>
    <x v="65"/>
    <x v="17"/>
    <x v="481"/>
    <x v="33"/>
    <n v="21"/>
    <n v="5"/>
    <n v="0"/>
    <x v="461"/>
    <s v="n.a."/>
  </r>
  <r>
    <x v="65"/>
    <x v="18"/>
    <x v="481"/>
    <x v="33"/>
    <n v="20"/>
    <n v="0"/>
    <n v="0"/>
    <x v="461"/>
    <s v="n.a."/>
  </r>
  <r>
    <x v="65"/>
    <x v="19"/>
    <x v="481"/>
    <x v="33"/>
    <n v="17"/>
    <n v="-1"/>
    <n v="0"/>
    <x v="461"/>
    <s v="n.a."/>
  </r>
  <r>
    <x v="65"/>
    <x v="20"/>
    <x v="481"/>
    <x v="33"/>
    <n v="17"/>
    <n v="5"/>
    <n v="0"/>
    <x v="461"/>
    <s v="n.a."/>
  </r>
  <r>
    <x v="65"/>
    <x v="21"/>
    <x v="481"/>
    <x v="33"/>
    <n v="12"/>
    <n v="2"/>
    <n v="0"/>
    <x v="461"/>
    <s v="n.a."/>
  </r>
  <r>
    <x v="65"/>
    <x v="22"/>
    <x v="481"/>
    <x v="33"/>
    <n v="15"/>
    <n v="-2"/>
    <n v="2"/>
    <x v="461"/>
    <s v="n.a."/>
  </r>
  <r>
    <x v="65"/>
    <x v="23"/>
    <x v="481"/>
    <x v="33"/>
    <n v="9"/>
    <n v="0"/>
    <n v="0"/>
    <x v="461"/>
    <s v="n.a."/>
  </r>
  <r>
    <x v="65"/>
    <x v="24"/>
    <x v="481"/>
    <x v="33"/>
    <n v="10"/>
    <n v="0"/>
    <n v="0"/>
    <x v="461"/>
    <s v="n.a."/>
  </r>
  <r>
    <x v="65"/>
    <x v="25"/>
    <x v="481"/>
    <x v="33"/>
    <n v="10"/>
    <n v="-7"/>
    <n v="0"/>
    <x v="461"/>
    <s v="n.a."/>
  </r>
  <r>
    <x v="65"/>
    <x v="26"/>
    <x v="481"/>
    <x v="33"/>
    <n v="16"/>
    <n v="1"/>
    <n v="0"/>
    <x v="461"/>
    <s v="n.a."/>
  </r>
  <r>
    <x v="65"/>
    <x v="27"/>
    <x v="481"/>
    <x v="33"/>
    <n v="15"/>
    <n v="-1"/>
    <n v="0"/>
    <x v="461"/>
    <s v="n.a."/>
  </r>
  <r>
    <x v="65"/>
    <x v="28"/>
    <x v="481"/>
    <x v="33"/>
    <n v="16"/>
    <n v="0"/>
    <n v="0"/>
    <x v="461"/>
    <s v="n.a."/>
  </r>
  <r>
    <x v="65"/>
    <x v="29"/>
    <x v="481"/>
    <x v="33"/>
    <n v="16"/>
    <n v="1"/>
    <n v="0"/>
    <x v="461"/>
    <s v="n.a."/>
  </r>
  <r>
    <x v="65"/>
    <x v="30"/>
    <x v="481"/>
    <x v="33"/>
    <n v="15"/>
    <n v="0"/>
    <n v="0"/>
    <x v="461"/>
    <s v="n.a."/>
  </r>
  <r>
    <x v="65"/>
    <x v="31"/>
    <x v="481"/>
    <x v="33"/>
    <n v="14"/>
    <n v="0"/>
    <n v="0"/>
    <x v="461"/>
    <s v="n.a."/>
  </r>
  <r>
    <x v="65"/>
    <x v="32"/>
    <x v="481"/>
    <x v="33"/>
    <n v="13"/>
    <n v="5"/>
    <n v="0"/>
    <x v="461"/>
    <s v="n.a."/>
  </r>
  <r>
    <x v="65"/>
    <x v="33"/>
    <x v="481"/>
    <x v="33"/>
    <n v="8"/>
    <s v="n.a."/>
    <s v="n.a."/>
    <x v="461"/>
    <s v="n.a."/>
  </r>
  <r>
    <x v="65"/>
    <x v="34"/>
    <x v="481"/>
    <x v="33"/>
    <n v="7"/>
    <s v="n.a."/>
    <s v="n.a."/>
    <x v="461"/>
    <s v="n.a."/>
  </r>
  <r>
    <x v="65"/>
    <x v="35"/>
    <x v="481"/>
    <x v="33"/>
    <n v="8"/>
    <s v="n.a."/>
    <s v="n.a."/>
    <x v="461"/>
    <s v="n.a."/>
  </r>
  <r>
    <x v="65"/>
    <x v="36"/>
    <x v="481"/>
    <x v="33"/>
    <n v="9"/>
    <s v="n.a."/>
    <s v="n.a."/>
    <x v="461"/>
    <s v="n.a."/>
  </r>
  <r>
    <x v="65"/>
    <x v="37"/>
    <x v="481"/>
    <x v="33"/>
    <n v="9"/>
    <s v="n.a."/>
    <s v="n.a."/>
    <x v="461"/>
    <s v="n.a."/>
  </r>
  <r>
    <x v="65"/>
    <x v="38"/>
    <x v="481"/>
    <x v="33"/>
    <n v="9"/>
    <s v="n.a."/>
    <s v="n.a."/>
    <x v="461"/>
    <s v="n.a."/>
  </r>
  <r>
    <x v="65"/>
    <x v="39"/>
    <x v="481"/>
    <x v="33"/>
    <n v="8"/>
    <s v="n.a."/>
    <s v="n.a."/>
    <x v="461"/>
    <s v="n.a."/>
  </r>
  <r>
    <x v="65"/>
    <x v="40"/>
    <x v="481"/>
    <x v="33"/>
    <n v="8"/>
    <s v="n.a."/>
    <s v="n.a."/>
    <x v="461"/>
    <s v="n.a."/>
  </r>
  <r>
    <x v="65"/>
    <x v="41"/>
    <x v="481"/>
    <x v="33"/>
    <n v="0"/>
    <s v="n.a."/>
    <s v="n.a."/>
    <x v="461"/>
    <s v="n.a."/>
  </r>
  <r>
    <x v="65"/>
    <x v="42"/>
    <x v="481"/>
    <x v="33"/>
    <n v="0"/>
    <s v="n.a."/>
    <s v="n.a."/>
    <x v="461"/>
    <s v="n.a."/>
  </r>
  <r>
    <x v="65"/>
    <x v="43"/>
    <x v="481"/>
    <x v="33"/>
    <n v="0"/>
    <s v="n.a."/>
    <s v="n.a."/>
    <x v="461"/>
    <s v="n.a."/>
  </r>
  <r>
    <x v="65"/>
    <x v="44"/>
    <x v="481"/>
    <x v="33"/>
    <n v="0"/>
    <s v="n.a."/>
    <s v="n.a."/>
    <x v="461"/>
    <s v="n.a."/>
  </r>
  <r>
    <x v="65"/>
    <x v="45"/>
    <x v="481"/>
    <x v="33"/>
    <n v="0"/>
    <s v="n.a."/>
    <s v="n.a."/>
    <x v="461"/>
    <s v="n.a."/>
  </r>
  <r>
    <x v="65"/>
    <x v="46"/>
    <x v="481"/>
    <x v="33"/>
    <n v="0"/>
    <s v="n.a."/>
    <s v="n.a."/>
    <x v="461"/>
    <s v="n.a."/>
  </r>
  <r>
    <x v="65"/>
    <x v="47"/>
    <x v="481"/>
    <x v="33"/>
    <n v="1"/>
    <s v="n.a."/>
    <s v="n.a."/>
    <x v="461"/>
    <s v="n.a."/>
  </r>
  <r>
    <x v="65"/>
    <x v="48"/>
    <x v="481"/>
    <x v="33"/>
    <n v="1"/>
    <s v="n.a."/>
    <s v="n.a."/>
    <x v="461"/>
    <s v="n.a."/>
  </r>
  <r>
    <x v="65"/>
    <x v="49"/>
    <x v="481"/>
    <x v="33"/>
    <n v="1"/>
    <s v="n.a."/>
    <s v="n.a."/>
    <x v="461"/>
    <s v="n.a."/>
  </r>
  <r>
    <x v="65"/>
    <x v="50"/>
    <x v="481"/>
    <x v="33"/>
    <n v="1"/>
    <s v="n.a."/>
    <s v="n.a."/>
    <x v="461"/>
    <s v="n.a."/>
  </r>
  <r>
    <x v="65"/>
    <x v="51"/>
    <x v="481"/>
    <x v="33"/>
    <n v="1"/>
    <s v="n.a."/>
    <s v="n.a."/>
    <x v="461"/>
    <s v="n.a."/>
  </r>
  <r>
    <x v="65"/>
    <x v="52"/>
    <x v="481"/>
    <x v="33"/>
    <n v="1"/>
    <s v="n.a."/>
    <s v="n.a."/>
    <x v="461"/>
    <s v="n.a."/>
  </r>
  <r>
    <x v="65"/>
    <x v="53"/>
    <x v="481"/>
    <x v="33"/>
    <n v="1"/>
    <s v="n.a."/>
    <s v="n.a."/>
    <x v="461"/>
    <s v="n.a."/>
  </r>
  <r>
    <x v="65"/>
    <x v="54"/>
    <x v="481"/>
    <x v="33"/>
    <n v="1"/>
    <s v="n.a."/>
    <s v="n.a."/>
    <x v="461"/>
    <s v="n.a."/>
  </r>
  <r>
    <x v="65"/>
    <x v="55"/>
    <x v="481"/>
    <x v="33"/>
    <n v="1"/>
    <s v="n.a."/>
    <s v="n.a."/>
    <x v="461"/>
    <s v="n.a."/>
  </r>
  <r>
    <x v="65"/>
    <x v="56"/>
    <x v="481"/>
    <x v="33"/>
    <n v="1"/>
    <s v="n.a."/>
    <s v="n.a."/>
    <x v="461"/>
    <s v="n.a."/>
  </r>
  <r>
    <x v="65"/>
    <x v="57"/>
    <x v="481"/>
    <x v="33"/>
    <n v="1"/>
    <s v="n.a."/>
    <s v="n.a."/>
    <x v="461"/>
    <s v="n.a."/>
  </r>
  <r>
    <x v="65"/>
    <x v="58"/>
    <x v="481"/>
    <x v="33"/>
    <n v="1"/>
    <s v="n.a."/>
    <s v="n.a."/>
    <x v="461"/>
    <s v="n.a."/>
  </r>
  <r>
    <x v="65"/>
    <x v="59"/>
    <x v="481"/>
    <x v="33"/>
    <n v="2"/>
    <s v="n.a."/>
    <s v="n.a."/>
    <x v="461"/>
    <s v="n.a."/>
  </r>
  <r>
    <x v="65"/>
    <x v="60"/>
    <x v="481"/>
    <x v="33"/>
    <n v="2"/>
    <s v="n.a."/>
    <s v="n.a."/>
    <x v="461"/>
    <s v="n.a."/>
  </r>
  <r>
    <x v="65"/>
    <x v="61"/>
    <x v="481"/>
    <x v="33"/>
    <n v="2"/>
    <s v="n.a."/>
    <s v="n.a."/>
    <x v="461"/>
    <s v="n.a."/>
  </r>
  <r>
    <x v="65"/>
    <x v="62"/>
    <x v="481"/>
    <x v="33"/>
    <n v="2"/>
    <s v="n.a."/>
    <s v="n.a."/>
    <x v="461"/>
    <s v="n.a."/>
  </r>
  <r>
    <x v="65"/>
    <x v="63"/>
    <x v="481"/>
    <x v="33"/>
    <n v="2"/>
    <s v="n.a."/>
    <s v="n.a."/>
    <x v="461"/>
    <s v="n.a."/>
  </r>
  <r>
    <x v="65"/>
    <x v="64"/>
    <x v="481"/>
    <x v="33"/>
    <n v="2"/>
    <s v="n.a."/>
    <s v="n.a."/>
    <x v="461"/>
    <s v="n.a."/>
  </r>
  <r>
    <x v="65"/>
    <x v="65"/>
    <x v="481"/>
    <x v="33"/>
    <n v="3"/>
    <s v="n.a."/>
    <s v="n.a."/>
    <x v="461"/>
    <s v="n.a."/>
  </r>
  <r>
    <x v="65"/>
    <x v="66"/>
    <x v="481"/>
    <x v="33"/>
    <n v="3"/>
    <s v="n.a."/>
    <s v="n.a."/>
    <x v="461"/>
    <s v="n.a."/>
  </r>
  <r>
    <x v="65"/>
    <x v="67"/>
    <x v="481"/>
    <x v="33"/>
    <n v="3"/>
    <s v="n.a."/>
    <s v="n.a."/>
    <x v="461"/>
    <s v="n.a."/>
  </r>
  <r>
    <x v="65"/>
    <x v="68"/>
    <x v="481"/>
    <x v="33"/>
    <n v="2"/>
    <s v="n.a."/>
    <s v="n.a."/>
    <x v="461"/>
    <s v="n.a."/>
  </r>
  <r>
    <x v="65"/>
    <x v="69"/>
    <x v="481"/>
    <x v="33"/>
    <n v="3"/>
    <s v="n.a."/>
    <s v="n.a."/>
    <x v="461"/>
    <s v="n.a."/>
  </r>
  <r>
    <x v="66"/>
    <x v="0"/>
    <x v="3610"/>
    <x v="1513"/>
    <n v="19148"/>
    <n v="587"/>
    <n v="43"/>
    <x v="2041"/>
    <n v="259"/>
  </r>
  <r>
    <x v="66"/>
    <x v="1"/>
    <x v="3611"/>
    <x v="1514"/>
    <n v="18517"/>
    <n v="1054"/>
    <n v="65"/>
    <x v="3197"/>
    <n v="-2"/>
  </r>
  <r>
    <x v="66"/>
    <x v="2"/>
    <x v="3612"/>
    <x v="1176"/>
    <n v="17409"/>
    <n v="833"/>
    <n v="149"/>
    <x v="1835"/>
    <n v="-25"/>
  </r>
  <r>
    <x v="66"/>
    <x v="3"/>
    <x v="3613"/>
    <x v="1515"/>
    <n v="16429"/>
    <n v="1323"/>
    <n v="-147"/>
    <x v="188"/>
    <n v="5"/>
  </r>
  <r>
    <x v="66"/>
    <x v="4"/>
    <x v="3614"/>
    <x v="1036"/>
    <n v="15253"/>
    <n v="-1"/>
    <n v="152"/>
    <x v="1844"/>
    <n v="13"/>
  </r>
  <r>
    <x v="66"/>
    <x v="5"/>
    <x v="3615"/>
    <x v="1516"/>
    <n v="15107"/>
    <n v="1146"/>
    <n v="-176"/>
    <x v="1886"/>
    <n v="-20"/>
  </r>
  <r>
    <x v="66"/>
    <x v="6"/>
    <x v="3616"/>
    <x v="1517"/>
    <n v="14151"/>
    <n v="1268"/>
    <n v="66"/>
    <x v="2279"/>
    <n v="-21"/>
  </r>
  <r>
    <x v="66"/>
    <x v="7"/>
    <x v="3617"/>
    <x v="394"/>
    <n v="12816"/>
    <n v="-74"/>
    <n v="9"/>
    <x v="1889"/>
    <n v="5"/>
  </r>
  <r>
    <x v="66"/>
    <x v="8"/>
    <x v="3618"/>
    <x v="1518"/>
    <n v="12878"/>
    <n v="-242"/>
    <n v="252"/>
    <x v="320"/>
    <n v="-22"/>
  </r>
  <r>
    <x v="66"/>
    <x v="9"/>
    <x v="3619"/>
    <x v="1519"/>
    <n v="12868"/>
    <n v="483"/>
    <n v="35"/>
    <x v="3198"/>
    <n v="-13"/>
  </r>
  <r>
    <x v="66"/>
    <x v="10"/>
    <x v="3620"/>
    <x v="1520"/>
    <n v="12360"/>
    <n v="-1542"/>
    <n v="-263"/>
    <x v="763"/>
    <n v="15"/>
  </r>
  <r>
    <x v="66"/>
    <x v="11"/>
    <x v="3621"/>
    <x v="1521"/>
    <n v="14176"/>
    <n v="-616"/>
    <n v="97"/>
    <x v="1805"/>
    <n v="-6"/>
  </r>
  <r>
    <x v="66"/>
    <x v="12"/>
    <x v="3622"/>
    <x v="1522"/>
    <n v="14696"/>
    <n v="797"/>
    <n v="-411"/>
    <x v="2145"/>
    <n v="42"/>
  </r>
  <r>
    <x v="66"/>
    <x v="13"/>
    <x v="3623"/>
    <x v="1523"/>
    <n v="14334"/>
    <n v="371"/>
    <n v="127"/>
    <x v="2279"/>
    <n v="-9"/>
  </r>
  <r>
    <x v="66"/>
    <x v="14"/>
    <x v="3624"/>
    <x v="1524"/>
    <n v="13836"/>
    <n v="148"/>
    <n v="156"/>
    <x v="1845"/>
    <n v="12"/>
  </r>
  <r>
    <x v="66"/>
    <x v="15"/>
    <x v="3625"/>
    <x v="1525"/>
    <n v="13532"/>
    <n v="151"/>
    <n v="261"/>
    <x v="3199"/>
    <n v="-18"/>
  </r>
  <r>
    <x v="66"/>
    <x v="16"/>
    <x v="3626"/>
    <x v="1526"/>
    <n v="13118"/>
    <n v="-24"/>
    <n v="131"/>
    <x v="759"/>
    <n v="-11"/>
  </r>
  <r>
    <x v="66"/>
    <x v="17"/>
    <x v="3627"/>
    <x v="1527"/>
    <n v="13014"/>
    <n v="305"/>
    <n v="150"/>
    <x v="2285"/>
    <n v="2"/>
  </r>
  <r>
    <x v="66"/>
    <x v="18"/>
    <x v="3628"/>
    <x v="1528"/>
    <n v="12557"/>
    <n v="288"/>
    <n v="-339"/>
    <x v="3200"/>
    <n v="-8"/>
  </r>
  <r>
    <x v="66"/>
    <x v="19"/>
    <x v="3629"/>
    <x v="1529"/>
    <n v="12603"/>
    <n v="-389"/>
    <n v="57"/>
    <x v="177"/>
    <n v="7"/>
  </r>
  <r>
    <x v="66"/>
    <x v="20"/>
    <x v="3630"/>
    <x v="1530"/>
    <n v="12926"/>
    <n v="654"/>
    <n v="-224"/>
    <x v="319"/>
    <n v="19"/>
  </r>
  <r>
    <x v="66"/>
    <x v="21"/>
    <x v="3631"/>
    <x v="859"/>
    <n v="12500"/>
    <n v="47"/>
    <n v="-31"/>
    <x v="196"/>
    <n v="-8"/>
  </r>
  <r>
    <x v="66"/>
    <x v="22"/>
    <x v="3632"/>
    <x v="323"/>
    <n v="12484"/>
    <n v="-672"/>
    <n v="369"/>
    <x v="3201"/>
    <n v="-94"/>
  </r>
  <r>
    <x v="66"/>
    <x v="23"/>
    <x v="3633"/>
    <x v="1531"/>
    <n v="12791"/>
    <n v="106"/>
    <n v="377"/>
    <x v="287"/>
    <n v="8"/>
  </r>
  <r>
    <x v="66"/>
    <x v="24"/>
    <x v="3634"/>
    <x v="1532"/>
    <n v="12309"/>
    <n v="139"/>
    <n v="-176"/>
    <x v="2051"/>
    <n v="132"/>
  </r>
  <r>
    <x v="66"/>
    <x v="25"/>
    <x v="3635"/>
    <x v="15"/>
    <n v="12349"/>
    <n v="-82"/>
    <n v="-242"/>
    <x v="2142"/>
    <n v="7"/>
  </r>
  <r>
    <x v="66"/>
    <x v="26"/>
    <x v="3636"/>
    <x v="599"/>
    <n v="12671"/>
    <n v="667"/>
    <n v="-73"/>
    <x v="762"/>
    <n v="-135"/>
  </r>
  <r>
    <x v="66"/>
    <x v="27"/>
    <x v="3637"/>
    <x v="959"/>
    <n v="12077"/>
    <n v="217"/>
    <n v="-64"/>
    <x v="3202"/>
    <n v="-26"/>
  </r>
  <r>
    <x v="66"/>
    <x v="28"/>
    <x v="3638"/>
    <x v="1533"/>
    <n v="11918"/>
    <n v="154"/>
    <n v="-133"/>
    <x v="3203"/>
    <n v="141"/>
  </r>
  <r>
    <x v="66"/>
    <x v="29"/>
    <x v="3639"/>
    <x v="1534"/>
    <n v="11897"/>
    <n v="585"/>
    <n v="-128"/>
    <x v="2143"/>
    <n v="-9"/>
  </r>
  <r>
    <x v="66"/>
    <x v="30"/>
    <x v="3640"/>
    <x v="1535"/>
    <n v="11441"/>
    <n v="-158"/>
    <n v="57"/>
    <x v="184"/>
    <n v="-298"/>
  </r>
  <r>
    <x v="66"/>
    <x v="31"/>
    <x v="3641"/>
    <x v="1536"/>
    <n v="11544"/>
    <n v="210"/>
    <n v="301"/>
    <x v="47"/>
    <n v="211"/>
  </r>
  <r>
    <x v="66"/>
    <x v="32"/>
    <x v="3642"/>
    <x v="1537"/>
    <n v="11037"/>
    <n v="2664"/>
    <n v="-227"/>
    <x v="3204"/>
    <n v="-2"/>
  </r>
  <r>
    <x v="66"/>
    <x v="33"/>
    <x v="3643"/>
    <x v="33"/>
    <n v="8600"/>
    <s v="n.a."/>
    <s v="n.a."/>
    <x v="3205"/>
    <n v="82"/>
  </r>
  <r>
    <x v="66"/>
    <x v="34"/>
    <x v="3644"/>
    <x v="33"/>
    <n v="7661"/>
    <s v="n.a."/>
    <s v="n.a."/>
    <x v="3199"/>
    <n v="-86"/>
  </r>
  <r>
    <x v="66"/>
    <x v="35"/>
    <x v="3645"/>
    <x v="33"/>
    <n v="7345"/>
    <s v="n.a."/>
    <s v="n.a."/>
    <x v="176"/>
    <n v="-9"/>
  </r>
  <r>
    <x v="66"/>
    <x v="36"/>
    <x v="3646"/>
    <x v="33"/>
    <n v="7209"/>
    <s v="n.a."/>
    <s v="n.a."/>
    <x v="1793"/>
    <n v="-18"/>
  </r>
  <r>
    <x v="66"/>
    <x v="37"/>
    <x v="3647"/>
    <x v="33"/>
    <n v="7431"/>
    <s v="n.a."/>
    <s v="n.a."/>
    <x v="170"/>
    <n v="14"/>
  </r>
  <r>
    <x v="66"/>
    <x v="38"/>
    <x v="3648"/>
    <x v="33"/>
    <n v="8013"/>
    <s v="n.a."/>
    <s v="n.a."/>
    <x v="3202"/>
    <n v="23"/>
  </r>
  <r>
    <x v="66"/>
    <x v="39"/>
    <x v="3649"/>
    <x v="33"/>
    <n v="7991"/>
    <s v="n.a."/>
    <s v="n.a."/>
    <x v="193"/>
    <n v="0"/>
  </r>
  <r>
    <x v="66"/>
    <x v="40"/>
    <x v="3650"/>
    <x v="33"/>
    <n v="7985"/>
    <s v="n.a."/>
    <s v="n.a."/>
    <x v="193"/>
    <n v="-1"/>
  </r>
  <r>
    <x v="66"/>
    <x v="41"/>
    <x v="3651"/>
    <x v="33"/>
    <n v="7893"/>
    <s v="n.a."/>
    <s v="n.a."/>
    <x v="3206"/>
    <n v="30"/>
  </r>
  <r>
    <x v="66"/>
    <x v="42"/>
    <x v="3652"/>
    <x v="33"/>
    <n v="7837"/>
    <s v="n.a."/>
    <s v="n.a."/>
    <x v="2287"/>
    <n v="-9"/>
  </r>
  <r>
    <x v="66"/>
    <x v="43"/>
    <x v="3653"/>
    <x v="33"/>
    <n v="8133"/>
    <s v="n.a."/>
    <s v="n.a."/>
    <x v="3207"/>
    <n v="0"/>
  </r>
  <r>
    <x v="66"/>
    <x v="44"/>
    <x v="3654"/>
    <x v="33"/>
    <n v="8949"/>
    <s v="n.a."/>
    <s v="n.a."/>
    <x v="3207"/>
    <n v="3"/>
  </r>
  <r>
    <x v="66"/>
    <x v="45"/>
    <x v="3655"/>
    <x v="33"/>
    <n v="8997"/>
    <s v="n.a."/>
    <s v="n.a."/>
    <x v="3208"/>
    <n v="33"/>
  </r>
  <r>
    <x v="66"/>
    <x v="46"/>
    <x v="3656"/>
    <x v="33"/>
    <n v="9067"/>
    <s v="n.a."/>
    <s v="n.a."/>
    <x v="782"/>
    <n v="-2"/>
  </r>
  <r>
    <x v="66"/>
    <x v="47"/>
    <x v="3657"/>
    <x v="33"/>
    <n v="9189"/>
    <s v="n.a."/>
    <s v="n.a."/>
    <x v="3209"/>
    <n v="102"/>
  </r>
  <r>
    <x v="66"/>
    <x v="48"/>
    <x v="3658"/>
    <x v="33"/>
    <n v="9375"/>
    <s v="n.a."/>
    <s v="n.a."/>
    <x v="3210"/>
    <n v="0"/>
  </r>
  <r>
    <x v="66"/>
    <x v="49"/>
    <x v="3659"/>
    <x v="33"/>
    <n v="9417"/>
    <s v="n.a."/>
    <s v="n.a."/>
    <x v="3210"/>
    <n v="-152"/>
  </r>
  <r>
    <x v="66"/>
    <x v="50"/>
    <x v="3660"/>
    <x v="33"/>
    <n v="9704"/>
    <s v="n.a."/>
    <s v="n.a."/>
    <x v="3211"/>
    <n v="0"/>
  </r>
  <r>
    <x v="66"/>
    <x v="51"/>
    <x v="3661"/>
    <x v="33"/>
    <n v="10282"/>
    <s v="n.a."/>
    <s v="n.a."/>
    <x v="3211"/>
    <n v="70"/>
  </r>
  <r>
    <x v="66"/>
    <x v="52"/>
    <x v="2383"/>
    <x v="33"/>
    <n v="10668"/>
    <s v="n.a."/>
    <s v="n.a."/>
    <x v="3212"/>
    <n v="-14"/>
  </r>
  <r>
    <x v="66"/>
    <x v="53"/>
    <x v="3662"/>
    <x v="33"/>
    <n v="11704"/>
    <s v="n.a."/>
    <s v="n.a."/>
    <x v="2284"/>
    <n v="96"/>
  </r>
  <r>
    <x v="66"/>
    <x v="54"/>
    <x v="3663"/>
    <x v="33"/>
    <n v="11813"/>
    <s v="n.a."/>
    <s v="n.a."/>
    <x v="3210"/>
    <n v="-92"/>
  </r>
  <r>
    <x v="66"/>
    <x v="55"/>
    <x v="3664"/>
    <x v="33"/>
    <n v="12073"/>
    <s v="n.a."/>
    <s v="n.a."/>
    <x v="1845"/>
    <n v="0"/>
  </r>
  <r>
    <x v="66"/>
    <x v="56"/>
    <x v="3665"/>
    <x v="33"/>
    <n v="12066"/>
    <s v="n.a."/>
    <s v="n.a."/>
    <x v="1845"/>
    <n v="-2"/>
  </r>
  <r>
    <x v="66"/>
    <x v="57"/>
    <x v="3666"/>
    <x v="33"/>
    <n v="12263"/>
    <s v="n.a."/>
    <s v="n.a."/>
    <x v="1846"/>
    <n v="14"/>
  </r>
  <r>
    <x v="66"/>
    <x v="58"/>
    <x v="3667"/>
    <x v="33"/>
    <n v="12787"/>
    <s v="n.a."/>
    <s v="n.a."/>
    <x v="3199"/>
    <n v="13"/>
  </r>
  <r>
    <x v="66"/>
    <x v="59"/>
    <x v="3668"/>
    <x v="33"/>
    <n v="12976"/>
    <s v="n.a."/>
    <s v="n.a."/>
    <x v="780"/>
    <n v="-2"/>
  </r>
  <r>
    <x v="66"/>
    <x v="60"/>
    <x v="3669"/>
    <x v="33"/>
    <n v="12826"/>
    <s v="n.a."/>
    <s v="n.a."/>
    <x v="2144"/>
    <n v="-24"/>
  </r>
  <r>
    <x v="66"/>
    <x v="61"/>
    <x v="3670"/>
    <x v="33"/>
    <n v="12585"/>
    <s v="n.a."/>
    <s v="n.a."/>
    <x v="195"/>
    <n v="2"/>
  </r>
  <r>
    <x v="66"/>
    <x v="62"/>
    <x v="235"/>
    <x v="33"/>
    <n v="12577"/>
    <s v="n.a."/>
    <s v="n.a."/>
    <x v="1799"/>
    <n v="0"/>
  </r>
  <r>
    <x v="66"/>
    <x v="63"/>
    <x v="3671"/>
    <x v="33"/>
    <n v="12817"/>
    <s v="n.a."/>
    <s v="n.a."/>
    <x v="1799"/>
    <n v="0"/>
  </r>
  <r>
    <x v="66"/>
    <x v="64"/>
    <x v="3667"/>
    <x v="33"/>
    <n v="12776"/>
    <s v="n.a."/>
    <s v="n.a."/>
    <x v="1799"/>
    <n v="0"/>
  </r>
  <r>
    <x v="66"/>
    <x v="65"/>
    <x v="3672"/>
    <x v="33"/>
    <n v="12805"/>
    <s v="n.a."/>
    <s v="n.a."/>
    <x v="1799"/>
    <n v="0"/>
  </r>
  <r>
    <x v="66"/>
    <x v="66"/>
    <x v="3673"/>
    <x v="33"/>
    <n v="12738"/>
    <s v="n.a."/>
    <s v="n.a."/>
    <x v="1799"/>
    <n v="-43"/>
  </r>
  <r>
    <x v="66"/>
    <x v="67"/>
    <x v="3674"/>
    <x v="33"/>
    <n v="13035"/>
    <s v="n.a."/>
    <s v="n.a."/>
    <x v="763"/>
    <n v="-6"/>
  </r>
  <r>
    <x v="66"/>
    <x v="68"/>
    <x v="3675"/>
    <x v="33"/>
    <n v="13980"/>
    <s v="n.a."/>
    <s v="n.a."/>
    <x v="3213"/>
    <n v="-20"/>
  </r>
  <r>
    <x v="66"/>
    <x v="69"/>
    <x v="3676"/>
    <x v="33"/>
    <n v="13886"/>
    <s v="n.a."/>
    <s v="n.a."/>
    <x v="3204"/>
    <n v="93"/>
  </r>
  <r>
    <x v="67"/>
    <x v="0"/>
    <x v="3677"/>
    <x v="1538"/>
    <n v="60375"/>
    <n v="1656"/>
    <n v="-54"/>
    <x v="3214"/>
    <n v="-73"/>
  </r>
  <r>
    <x v="67"/>
    <x v="1"/>
    <x v="3678"/>
    <x v="831"/>
    <n v="58509"/>
    <n v="204"/>
    <n v="181"/>
    <x v="3215"/>
    <n v="23"/>
  </r>
  <r>
    <x v="67"/>
    <x v="2"/>
    <x v="3679"/>
    <x v="1539"/>
    <n v="58115"/>
    <n v="2377"/>
    <n v="404"/>
    <x v="3216"/>
    <n v="459"/>
  </r>
  <r>
    <x v="67"/>
    <x v="3"/>
    <x v="3680"/>
    <x v="1540"/>
    <n v="55308"/>
    <n v="1506"/>
    <n v="-384"/>
    <x v="3217"/>
    <n v="-672"/>
  </r>
  <r>
    <x v="67"/>
    <x v="4"/>
    <x v="3681"/>
    <x v="126"/>
    <n v="54754"/>
    <n v="-1081"/>
    <n v="260"/>
    <x v="3218"/>
    <n v="630"/>
  </r>
  <r>
    <x v="67"/>
    <x v="5"/>
    <x v="3682"/>
    <x v="1541"/>
    <n v="56046"/>
    <n v="261"/>
    <n v="-495"/>
    <x v="3219"/>
    <n v="-572"/>
  </r>
  <r>
    <x v="67"/>
    <x v="6"/>
    <x v="3683"/>
    <x v="1542"/>
    <n v="56284"/>
    <n v="-55"/>
    <n v="492"/>
    <x v="3220"/>
    <n v="152"/>
  </r>
  <r>
    <x v="67"/>
    <x v="7"/>
    <x v="3684"/>
    <x v="1543"/>
    <n v="57182"/>
    <n v="729"/>
    <n v="590"/>
    <x v="3221"/>
    <n v="126"/>
  </r>
  <r>
    <x v="67"/>
    <x v="8"/>
    <x v="3685"/>
    <x v="845"/>
    <n v="56097"/>
    <n v="1314"/>
    <n v="588"/>
    <x v="3222"/>
    <n v="-403"/>
  </r>
  <r>
    <x v="67"/>
    <x v="9"/>
    <x v="3686"/>
    <x v="1544"/>
    <n v="54860"/>
    <n v="-5074"/>
    <n v="248"/>
    <x v="1220"/>
    <n v="-264"/>
  </r>
  <r>
    <x v="67"/>
    <x v="10"/>
    <x v="3687"/>
    <x v="1545"/>
    <n v="60226"/>
    <n v="-1824"/>
    <n v="-358"/>
    <x v="3223"/>
    <n v="990"/>
  </r>
  <r>
    <x v="67"/>
    <x v="11"/>
    <x v="3688"/>
    <x v="1546"/>
    <n v="62791"/>
    <n v="744"/>
    <n v="275"/>
    <x v="3224"/>
    <n v="-164"/>
  </r>
  <r>
    <x v="67"/>
    <x v="12"/>
    <x v="3689"/>
    <x v="1547"/>
    <n v="62204"/>
    <n v="334"/>
    <n v="-776"/>
    <x v="3225"/>
    <n v="-87"/>
  </r>
  <r>
    <x v="67"/>
    <x v="13"/>
    <x v="3690"/>
    <x v="1548"/>
    <n v="62784"/>
    <n v="1672"/>
    <n v="425"/>
    <x v="3226"/>
    <n v="-100"/>
  </r>
  <r>
    <x v="67"/>
    <x v="14"/>
    <x v="3691"/>
    <x v="1484"/>
    <n v="61160"/>
    <n v="1189"/>
    <n v="136"/>
    <x v="3227"/>
    <n v="-356"/>
  </r>
  <r>
    <x v="67"/>
    <x v="15"/>
    <x v="3692"/>
    <x v="1549"/>
    <n v="59803"/>
    <n v="1559"/>
    <n v="730"/>
    <x v="3228"/>
    <n v="104"/>
  </r>
  <r>
    <x v="67"/>
    <x v="16"/>
    <x v="3693"/>
    <x v="1550"/>
    <n v="57743"/>
    <n v="1335"/>
    <n v="138"/>
    <x v="3229"/>
    <n v="-4"/>
  </r>
  <r>
    <x v="67"/>
    <x v="17"/>
    <x v="3694"/>
    <x v="140"/>
    <n v="56521"/>
    <n v="1153"/>
    <n v="244"/>
    <x v="2716"/>
    <n v="5"/>
  </r>
  <r>
    <x v="67"/>
    <x v="18"/>
    <x v="3695"/>
    <x v="1551"/>
    <n v="55463"/>
    <n v="-2718"/>
    <n v="-431"/>
    <x v="3230"/>
    <n v="570"/>
  </r>
  <r>
    <x v="67"/>
    <x v="19"/>
    <x v="3696"/>
    <x v="1552"/>
    <n v="58400"/>
    <n v="2322"/>
    <n v="174"/>
    <x v="3231"/>
    <n v="164"/>
  </r>
  <r>
    <x v="67"/>
    <x v="20"/>
    <x v="3697"/>
    <x v="1553"/>
    <n v="56430"/>
    <n v="1158"/>
    <n v="-1545"/>
    <x v="3140"/>
    <n v="-66"/>
  </r>
  <r>
    <x v="67"/>
    <x v="21"/>
    <x v="3698"/>
    <x v="1554"/>
    <n v="55961"/>
    <n v="284"/>
    <n v="-162"/>
    <x v="2293"/>
    <n v="-19"/>
  </r>
  <r>
    <x v="67"/>
    <x v="22"/>
    <x v="3699"/>
    <x v="1555"/>
    <n v="56095"/>
    <n v="209"/>
    <n v="1106"/>
    <x v="2306"/>
    <n v="427"/>
  </r>
  <r>
    <x v="67"/>
    <x v="23"/>
    <x v="3700"/>
    <x v="1556"/>
    <n v="53400"/>
    <n v="4038"/>
    <n v="544"/>
    <x v="777"/>
    <n v="53"/>
  </r>
  <r>
    <x v="67"/>
    <x v="24"/>
    <x v="3701"/>
    <x v="1557"/>
    <n v="49494"/>
    <n v="1861"/>
    <n v="-65"/>
    <x v="1877"/>
    <n v="64"/>
  </r>
  <r>
    <x v="67"/>
    <x v="25"/>
    <x v="3702"/>
    <x v="1558"/>
    <n v="47411"/>
    <n v="496"/>
    <n v="102"/>
    <x v="3232"/>
    <n v="181"/>
  </r>
  <r>
    <x v="67"/>
    <x v="26"/>
    <x v="3703"/>
    <x v="1559"/>
    <n v="47793"/>
    <n v="82"/>
    <n v="153"/>
    <x v="3233"/>
    <n v="-566"/>
  </r>
  <r>
    <x v="67"/>
    <x v="27"/>
    <x v="3704"/>
    <x v="1560"/>
    <n v="48195"/>
    <n v="765"/>
    <n v="313"/>
    <x v="699"/>
    <n v="-723"/>
  </r>
  <r>
    <x v="67"/>
    <x v="28"/>
    <x v="3705"/>
    <x v="1104"/>
    <n v="47571"/>
    <n v="301"/>
    <n v="97"/>
    <x v="3234"/>
    <n v="-233"/>
  </r>
  <r>
    <x v="67"/>
    <x v="29"/>
    <x v="3706"/>
    <x v="1561"/>
    <n v="46911"/>
    <n v="1110"/>
    <n v="-37"/>
    <x v="3235"/>
    <n v="-765"/>
  </r>
  <r>
    <x v="67"/>
    <x v="30"/>
    <x v="3707"/>
    <x v="1562"/>
    <n v="46812"/>
    <n v="158"/>
    <n v="363"/>
    <x v="3236"/>
    <n v="-1225"/>
  </r>
  <r>
    <x v="67"/>
    <x v="31"/>
    <x v="3708"/>
    <x v="896"/>
    <n v="47131"/>
    <n v="-217"/>
    <n v="1117"/>
    <x v="3237"/>
    <n v="29"/>
  </r>
  <r>
    <x v="67"/>
    <x v="32"/>
    <x v="3709"/>
    <x v="1563"/>
    <n v="46624"/>
    <n v="1105"/>
    <n v="-111"/>
    <x v="3238"/>
    <n v="2045"/>
  </r>
  <r>
    <x v="67"/>
    <x v="33"/>
    <x v="3710"/>
    <x v="33"/>
    <n v="46462"/>
    <s v="n.a."/>
    <s v="n.a."/>
    <x v="1739"/>
    <n v="958"/>
  </r>
  <r>
    <x v="67"/>
    <x v="34"/>
    <x v="3711"/>
    <x v="33"/>
    <n v="46895"/>
    <s v="n.a."/>
    <s v="n.a."/>
    <x v="219"/>
    <n v="-45"/>
  </r>
  <r>
    <x v="67"/>
    <x v="35"/>
    <x v="3712"/>
    <x v="33"/>
    <n v="46478"/>
    <s v="n.a."/>
    <s v="n.a."/>
    <x v="261"/>
    <n v="79"/>
  </r>
  <r>
    <x v="67"/>
    <x v="36"/>
    <x v="3713"/>
    <x v="33"/>
    <n v="45687"/>
    <s v="n.a."/>
    <s v="n.a."/>
    <x v="1857"/>
    <n v="-58"/>
  </r>
  <r>
    <x v="67"/>
    <x v="37"/>
    <x v="3714"/>
    <x v="33"/>
    <n v="49890"/>
    <s v="n.a."/>
    <s v="n.a."/>
    <x v="3239"/>
    <n v="639"/>
  </r>
  <r>
    <x v="67"/>
    <x v="38"/>
    <x v="3715"/>
    <x v="33"/>
    <n v="50172"/>
    <s v="n.a."/>
    <s v="n.a."/>
    <x v="3240"/>
    <n v="-68"/>
  </r>
  <r>
    <x v="67"/>
    <x v="39"/>
    <x v="3716"/>
    <x v="33"/>
    <n v="50449"/>
    <s v="n.a."/>
    <s v="n.a."/>
    <x v="1618"/>
    <n v="59"/>
  </r>
  <r>
    <x v="67"/>
    <x v="40"/>
    <x v="3717"/>
    <x v="33"/>
    <n v="48927"/>
    <s v="n.a."/>
    <s v="n.a."/>
    <x v="3241"/>
    <n v="-1725"/>
  </r>
  <r>
    <x v="67"/>
    <x v="41"/>
    <x v="3718"/>
    <x v="33"/>
    <n v="48110"/>
    <s v="n.a."/>
    <s v="n.a."/>
    <x v="3242"/>
    <n v="-303"/>
  </r>
  <r>
    <x v="67"/>
    <x v="42"/>
    <x v="3719"/>
    <x v="33"/>
    <n v="48170"/>
    <s v="n.a."/>
    <s v="n.a."/>
    <x v="3243"/>
    <n v="-1148"/>
  </r>
  <r>
    <x v="67"/>
    <x v="43"/>
    <x v="3720"/>
    <x v="33"/>
    <n v="48581"/>
    <s v="n.a."/>
    <s v="n.a."/>
    <x v="3244"/>
    <n v="390"/>
  </r>
  <r>
    <x v="67"/>
    <x v="44"/>
    <x v="3721"/>
    <x v="33"/>
    <n v="50430"/>
    <s v="n.a."/>
    <s v="n.a."/>
    <x v="3245"/>
    <n v="581"/>
  </r>
  <r>
    <x v="67"/>
    <x v="45"/>
    <x v="3722"/>
    <x v="33"/>
    <n v="49597"/>
    <s v="n.a."/>
    <s v="n.a."/>
    <x v="1028"/>
    <n v="1891"/>
  </r>
  <r>
    <x v="67"/>
    <x v="46"/>
    <x v="3723"/>
    <x v="33"/>
    <n v="47569"/>
    <s v="n.a."/>
    <s v="n.a."/>
    <x v="3246"/>
    <n v="3"/>
  </r>
  <r>
    <x v="67"/>
    <x v="47"/>
    <x v="3724"/>
    <x v="33"/>
    <n v="49310"/>
    <s v="n.a."/>
    <s v="n.a."/>
    <x v="3247"/>
    <n v="44"/>
  </r>
  <r>
    <x v="67"/>
    <x v="48"/>
    <x v="3725"/>
    <x v="33"/>
    <n v="48835"/>
    <s v="n.a."/>
    <s v="n.a."/>
    <x v="1813"/>
    <n v="-289"/>
  </r>
  <r>
    <x v="67"/>
    <x v="49"/>
    <x v="3726"/>
    <x v="33"/>
    <n v="49260"/>
    <s v="n.a."/>
    <s v="n.a."/>
    <x v="3248"/>
    <n v="105"/>
  </r>
  <r>
    <x v="67"/>
    <x v="50"/>
    <x v="3727"/>
    <x v="33"/>
    <n v="48605"/>
    <s v="n.a."/>
    <s v="n.a."/>
    <x v="3249"/>
    <n v="-344"/>
  </r>
  <r>
    <x v="67"/>
    <x v="51"/>
    <x v="3728"/>
    <x v="33"/>
    <n v="49017"/>
    <s v="n.a."/>
    <s v="n.a."/>
    <x v="3250"/>
    <n v="9"/>
  </r>
  <r>
    <x v="67"/>
    <x v="52"/>
    <x v="3729"/>
    <x v="33"/>
    <n v="48927"/>
    <s v="n.a."/>
    <s v="n.a."/>
    <x v="3251"/>
    <n v="-651"/>
  </r>
  <r>
    <x v="67"/>
    <x v="53"/>
    <x v="3730"/>
    <x v="33"/>
    <n v="48050"/>
    <s v="n.a."/>
    <s v="n.a."/>
    <x v="3252"/>
    <n v="-172"/>
  </r>
  <r>
    <x v="67"/>
    <x v="54"/>
    <x v="3731"/>
    <x v="33"/>
    <n v="48346"/>
    <s v="n.a."/>
    <s v="n.a."/>
    <x v="3253"/>
    <n v="-1696"/>
  </r>
  <r>
    <x v="67"/>
    <x v="55"/>
    <x v="3732"/>
    <x v="33"/>
    <n v="46849"/>
    <s v="n.a."/>
    <s v="n.a."/>
    <x v="1180"/>
    <n v="593"/>
  </r>
  <r>
    <x v="67"/>
    <x v="56"/>
    <x v="3733"/>
    <x v="33"/>
    <n v="47329"/>
    <s v="n.a."/>
    <s v="n.a."/>
    <x v="3254"/>
    <n v="1487"/>
  </r>
  <r>
    <x v="67"/>
    <x v="57"/>
    <x v="3734"/>
    <x v="33"/>
    <n v="46024"/>
    <s v="n.a."/>
    <s v="n.a."/>
    <x v="14"/>
    <n v="-571"/>
  </r>
  <r>
    <x v="67"/>
    <x v="58"/>
    <x v="3735"/>
    <x v="33"/>
    <n v="40793"/>
    <s v="n.a."/>
    <s v="n.a."/>
    <x v="3255"/>
    <n v="-5321"/>
  </r>
  <r>
    <x v="67"/>
    <x v="59"/>
    <x v="3736"/>
    <x v="33"/>
    <n v="40787"/>
    <s v="n.a."/>
    <s v="n.a."/>
    <x v="3256"/>
    <n v="1306"/>
  </r>
  <r>
    <x v="67"/>
    <x v="60"/>
    <x v="3737"/>
    <x v="33"/>
    <n v="40785"/>
    <s v="n.a."/>
    <s v="n.a."/>
    <x v="3257"/>
    <n v="950"/>
  </r>
  <r>
    <x v="67"/>
    <x v="61"/>
    <x v="3738"/>
    <x v="33"/>
    <n v="41113"/>
    <s v="n.a."/>
    <s v="n.a."/>
    <x v="3258"/>
    <n v="-927"/>
  </r>
  <r>
    <x v="67"/>
    <x v="62"/>
    <x v="3739"/>
    <x v="33"/>
    <n v="41124"/>
    <s v="n.a."/>
    <s v="n.a."/>
    <x v="3259"/>
    <n v="3565"/>
  </r>
  <r>
    <x v="67"/>
    <x v="63"/>
    <x v="3740"/>
    <x v="33"/>
    <n v="40832"/>
    <s v="n.a."/>
    <s v="n.a."/>
    <x v="3260"/>
    <n v="5"/>
  </r>
  <r>
    <x v="67"/>
    <x v="64"/>
    <x v="3741"/>
    <x v="33"/>
    <n v="41237"/>
    <s v="n.a."/>
    <s v="n.a."/>
    <x v="3261"/>
    <n v="1530"/>
  </r>
  <r>
    <x v="67"/>
    <x v="65"/>
    <x v="3742"/>
    <x v="33"/>
    <n v="41254"/>
    <s v="n.a."/>
    <s v="n.a."/>
    <x v="3262"/>
    <n v="592"/>
  </r>
  <r>
    <x v="67"/>
    <x v="66"/>
    <x v="3743"/>
    <x v="33"/>
    <n v="41894"/>
    <s v="n.a."/>
    <s v="n.a."/>
    <x v="1752"/>
    <n v="-493"/>
  </r>
  <r>
    <x v="67"/>
    <x v="67"/>
    <x v="3744"/>
    <x v="33"/>
    <n v="41819"/>
    <s v="n.a."/>
    <s v="n.a."/>
    <x v="3263"/>
    <n v="541"/>
  </r>
  <r>
    <x v="67"/>
    <x v="68"/>
    <x v="3745"/>
    <x v="33"/>
    <n v="40983"/>
    <s v="n.a."/>
    <s v="n.a."/>
    <x v="1620"/>
    <n v="37"/>
  </r>
  <r>
    <x v="67"/>
    <x v="69"/>
    <x v="3746"/>
    <x v="33"/>
    <n v="39703"/>
    <s v="n.a."/>
    <s v="n.a."/>
    <x v="1861"/>
    <n v="-932"/>
  </r>
  <r>
    <x v="68"/>
    <x v="0"/>
    <x v="3747"/>
    <x v="1564"/>
    <n v="106341"/>
    <n v="205"/>
    <n v="5999"/>
    <x v="3264"/>
    <n v="-109"/>
  </r>
  <r>
    <x v="68"/>
    <x v="1"/>
    <x v="3748"/>
    <x v="209"/>
    <n v="106110"/>
    <n v="595"/>
    <n v="481"/>
    <x v="3265"/>
    <n v="411"/>
  </r>
  <r>
    <x v="68"/>
    <x v="2"/>
    <x v="3749"/>
    <x v="1565"/>
    <n v="105329"/>
    <n v="109"/>
    <n v="1582"/>
    <x v="3266"/>
    <n v="355"/>
  </r>
  <r>
    <x v="68"/>
    <x v="3"/>
    <x v="3750"/>
    <x v="1566"/>
    <n v="104338"/>
    <n v="1220"/>
    <n v="-98"/>
    <x v="3267"/>
    <n v="304"/>
  </r>
  <r>
    <x v="68"/>
    <x v="4"/>
    <x v="3751"/>
    <x v="1567"/>
    <n v="103472"/>
    <n v="874"/>
    <n v="-1298"/>
    <x v="3268"/>
    <n v="1323"/>
  </r>
  <r>
    <x v="68"/>
    <x v="5"/>
    <x v="3752"/>
    <x v="1568"/>
    <n v="101955"/>
    <n v="-3329"/>
    <n v="883"/>
    <x v="3269"/>
    <n v="-1978"/>
  </r>
  <r>
    <x v="68"/>
    <x v="6"/>
    <x v="3753"/>
    <x v="1569"/>
    <n v="106060"/>
    <n v="1614"/>
    <n v="1177"/>
    <x v="3270"/>
    <n v="15"/>
  </r>
  <r>
    <x v="68"/>
    <x v="7"/>
    <x v="3754"/>
    <x v="1570"/>
    <n v="103889"/>
    <n v="-1333"/>
    <n v="-250"/>
    <x v="3271"/>
    <n v="5967"/>
  </r>
  <r>
    <x v="68"/>
    <x v="8"/>
    <x v="3755"/>
    <x v="1571"/>
    <n v="104671"/>
    <n v="-2152"/>
    <n v="2757"/>
    <x v="3272"/>
    <n v="136"/>
  </r>
  <r>
    <x v="68"/>
    <x v="9"/>
    <x v="3756"/>
    <x v="1572"/>
    <n v="105288"/>
    <n v="-6425"/>
    <n v="970"/>
    <x v="3273"/>
    <n v="-4546"/>
  </r>
  <r>
    <x v="68"/>
    <x v="10"/>
    <x v="3757"/>
    <x v="1165"/>
    <n v="111341"/>
    <n v="-90"/>
    <n v="297"/>
    <x v="3274"/>
    <n v="2944"/>
  </r>
  <r>
    <x v="68"/>
    <x v="11"/>
    <x v="3758"/>
    <x v="1573"/>
    <n v="112333"/>
    <n v="11"/>
    <n v="3649"/>
    <x v="3275"/>
    <n v="-4102"/>
  </r>
  <r>
    <x v="68"/>
    <x v="12"/>
    <x v="3759"/>
    <x v="1574"/>
    <n v="111887"/>
    <n v="203"/>
    <n v="-503"/>
    <x v="3276"/>
    <n v="-3158"/>
  </r>
  <r>
    <x v="68"/>
    <x v="13"/>
    <x v="3760"/>
    <x v="1575"/>
    <n v="113404"/>
    <n v="191"/>
    <n v="-696"/>
    <x v="3277"/>
    <n v="199"/>
  </r>
  <r>
    <x v="68"/>
    <x v="14"/>
    <x v="3761"/>
    <x v="1576"/>
    <n v="112500"/>
    <n v="234"/>
    <n v="2182"/>
    <x v="3278"/>
    <n v="-1168"/>
  </r>
  <r>
    <x v="68"/>
    <x v="15"/>
    <x v="3762"/>
    <x v="1577"/>
    <n v="111243"/>
    <n v="448"/>
    <n v="537"/>
    <x v="3279"/>
    <n v="476"/>
  </r>
  <r>
    <x v="68"/>
    <x v="16"/>
    <x v="3763"/>
    <x v="1578"/>
    <n v="109220"/>
    <n v="1148"/>
    <n v="-418"/>
    <x v="3280"/>
    <n v="1924"/>
  </r>
  <r>
    <x v="68"/>
    <x v="17"/>
    <x v="3764"/>
    <x v="1080"/>
    <n v="107280"/>
    <n v="184"/>
    <n v="324"/>
    <x v="3281"/>
    <n v="-1"/>
  </r>
  <r>
    <x v="68"/>
    <x v="18"/>
    <x v="3765"/>
    <x v="1579"/>
    <n v="106379"/>
    <n v="395"/>
    <n v="-1442"/>
    <x v="3282"/>
    <n v="462"/>
  </r>
  <r>
    <x v="68"/>
    <x v="19"/>
    <x v="3766"/>
    <x v="1580"/>
    <n v="107293"/>
    <n v="848"/>
    <n v="4839"/>
    <x v="3283"/>
    <n v="3835"/>
  </r>
  <r>
    <x v="68"/>
    <x v="20"/>
    <x v="3767"/>
    <x v="1581"/>
    <n v="106385"/>
    <n v="-1899"/>
    <n v="2578"/>
    <x v="3284"/>
    <n v="361"/>
  </r>
  <r>
    <x v="68"/>
    <x v="21"/>
    <x v="3768"/>
    <x v="1582"/>
    <n v="109131"/>
    <n v="1260"/>
    <n v="2411"/>
    <x v="3285"/>
    <n v="216"/>
  </r>
  <r>
    <x v="68"/>
    <x v="22"/>
    <x v="3769"/>
    <x v="1583"/>
    <n v="107822"/>
    <n v="474"/>
    <n v="-473"/>
    <x v="3286"/>
    <n v="1314"/>
  </r>
  <r>
    <x v="68"/>
    <x v="23"/>
    <x v="3770"/>
    <x v="1584"/>
    <n v="105189"/>
    <n v="951"/>
    <n v="1734"/>
    <x v="3287"/>
    <n v="7622"/>
  </r>
  <r>
    <x v="68"/>
    <x v="24"/>
    <x v="3771"/>
    <x v="1585"/>
    <n v="102287"/>
    <n v="259"/>
    <n v="-421"/>
    <x v="378"/>
    <n v="236"/>
  </r>
  <r>
    <x v="68"/>
    <x v="25"/>
    <x v="3772"/>
    <x v="1586"/>
    <n v="102124"/>
    <n v="3420"/>
    <n v="-1891"/>
    <x v="3288"/>
    <n v="3471"/>
  </r>
  <r>
    <x v="68"/>
    <x v="26"/>
    <x v="3773"/>
    <x v="1587"/>
    <n v="100453"/>
    <n v="-231"/>
    <n v="899"/>
    <x v="3289"/>
    <n v="3295"/>
  </r>
  <r>
    <x v="68"/>
    <x v="27"/>
    <x v="3774"/>
    <x v="1588"/>
    <n v="100987"/>
    <n v="184"/>
    <n v="-558"/>
    <x v="3290"/>
    <n v="-2122"/>
  </r>
  <r>
    <x v="68"/>
    <x v="28"/>
    <x v="3775"/>
    <x v="1103"/>
    <n v="100301"/>
    <n v="1611"/>
    <n v="-217"/>
    <x v="3291"/>
    <n v="-1521"/>
  </r>
  <r>
    <x v="68"/>
    <x v="29"/>
    <x v="3776"/>
    <x v="1589"/>
    <n v="99432"/>
    <n v="676"/>
    <n v="-2863"/>
    <x v="3292"/>
    <n v="-1038"/>
  </r>
  <r>
    <x v="68"/>
    <x v="30"/>
    <x v="3777"/>
    <x v="1590"/>
    <n v="100422"/>
    <n v="-3333"/>
    <n v="83"/>
    <x v="3293"/>
    <n v="-75"/>
  </r>
  <r>
    <x v="68"/>
    <x v="31"/>
    <x v="3778"/>
    <x v="1591"/>
    <n v="103203"/>
    <n v="1938"/>
    <n v="-1423"/>
    <x v="3294"/>
    <n v="1158"/>
  </r>
  <r>
    <x v="68"/>
    <x v="32"/>
    <x v="3779"/>
    <x v="1592"/>
    <n v="99886"/>
    <n v="-462"/>
    <n v="930"/>
    <x v="3295"/>
    <n v="2873"/>
  </r>
  <r>
    <x v="68"/>
    <x v="33"/>
    <x v="3780"/>
    <x v="33"/>
    <n v="102050"/>
    <s v="n.a."/>
    <s v="n.a."/>
    <x v="3296"/>
    <n v="-4237"/>
  </r>
  <r>
    <x v="68"/>
    <x v="34"/>
    <x v="3781"/>
    <x v="33"/>
    <n v="106494"/>
    <s v="n.a."/>
    <s v="n.a."/>
    <x v="3297"/>
    <n v="-4789"/>
  </r>
  <r>
    <x v="68"/>
    <x v="35"/>
    <x v="3782"/>
    <x v="33"/>
    <n v="103462"/>
    <s v="n.a."/>
    <s v="n.a."/>
    <x v="3298"/>
    <n v="0"/>
  </r>
  <r>
    <x v="68"/>
    <x v="36"/>
    <x v="3783"/>
    <x v="33"/>
    <n v="102681"/>
    <s v="n.a."/>
    <s v="n.a."/>
    <x v="3298"/>
    <n v="-118"/>
  </r>
  <r>
    <x v="68"/>
    <x v="37"/>
    <x v="3784"/>
    <x v="33"/>
    <n v="102899"/>
    <s v="n.a."/>
    <s v="n.a."/>
    <x v="3299"/>
    <n v="1055"/>
  </r>
  <r>
    <x v="68"/>
    <x v="38"/>
    <x v="3785"/>
    <x v="33"/>
    <n v="105048"/>
    <s v="n.a."/>
    <s v="n.a."/>
    <x v="3300"/>
    <n v="1066"/>
  </r>
  <r>
    <x v="68"/>
    <x v="39"/>
    <x v="3786"/>
    <x v="33"/>
    <n v="105631"/>
    <s v="n.a."/>
    <s v="n.a."/>
    <x v="3301"/>
    <n v="-1143"/>
  </r>
  <r>
    <x v="68"/>
    <x v="40"/>
    <x v="3787"/>
    <x v="33"/>
    <n v="102023"/>
    <s v="n.a."/>
    <s v="n.a."/>
    <x v="3302"/>
    <n v="1801"/>
  </r>
  <r>
    <x v="68"/>
    <x v="41"/>
    <x v="3788"/>
    <x v="33"/>
    <n v="99320"/>
    <s v="n.a."/>
    <s v="n.a."/>
    <x v="3303"/>
    <n v="-22"/>
  </r>
  <r>
    <x v="68"/>
    <x v="42"/>
    <x v="3789"/>
    <x v="33"/>
    <n v="100390"/>
    <s v="n.a."/>
    <s v="n.a."/>
    <x v="3304"/>
    <n v="6"/>
  </r>
  <r>
    <x v="68"/>
    <x v="43"/>
    <x v="3790"/>
    <x v="33"/>
    <n v="100114"/>
    <s v="n.a."/>
    <s v="n.a."/>
    <x v="3305"/>
    <n v="-108"/>
  </r>
  <r>
    <x v="68"/>
    <x v="44"/>
    <x v="3791"/>
    <x v="33"/>
    <n v="101267"/>
    <s v="n.a."/>
    <s v="n.a."/>
    <x v="3306"/>
    <n v="-2967"/>
  </r>
  <r>
    <x v="68"/>
    <x v="45"/>
    <x v="3792"/>
    <x v="33"/>
    <n v="100980"/>
    <s v="n.a."/>
    <s v="n.a."/>
    <x v="3307"/>
    <n v="-42"/>
  </r>
  <r>
    <x v="68"/>
    <x v="46"/>
    <x v="3793"/>
    <x v="33"/>
    <n v="100524"/>
    <s v="n.a."/>
    <s v="n.a."/>
    <x v="3308"/>
    <n v="134"/>
  </r>
  <r>
    <x v="68"/>
    <x v="47"/>
    <x v="3794"/>
    <x v="33"/>
    <n v="98186"/>
    <s v="n.a."/>
    <s v="n.a."/>
    <x v="3309"/>
    <n v="1249"/>
  </r>
  <r>
    <x v="68"/>
    <x v="48"/>
    <x v="3795"/>
    <x v="33"/>
    <n v="99403"/>
    <s v="n.a."/>
    <s v="n.a."/>
    <x v="3310"/>
    <n v="-6268"/>
  </r>
  <r>
    <x v="68"/>
    <x v="49"/>
    <x v="3796"/>
    <x v="33"/>
    <n v="100444"/>
    <s v="n.a."/>
    <s v="n.a."/>
    <x v="3311"/>
    <n v="884"/>
  </r>
  <r>
    <x v="68"/>
    <x v="50"/>
    <x v="3797"/>
    <x v="33"/>
    <n v="101635"/>
    <s v="n.a."/>
    <s v="n.a."/>
    <x v="3312"/>
    <n v="-3399"/>
  </r>
  <r>
    <x v="68"/>
    <x v="51"/>
    <x v="3798"/>
    <x v="33"/>
    <n v="102245"/>
    <s v="n.a."/>
    <s v="n.a."/>
    <x v="3313"/>
    <n v="1918"/>
  </r>
  <r>
    <x v="68"/>
    <x v="52"/>
    <x v="3799"/>
    <x v="33"/>
    <n v="103702"/>
    <s v="n.a."/>
    <s v="n.a."/>
    <x v="3314"/>
    <n v="548"/>
  </r>
  <r>
    <x v="68"/>
    <x v="53"/>
    <x v="3800"/>
    <x v="33"/>
    <n v="103906"/>
    <s v="n.a."/>
    <s v="n.a."/>
    <x v="3315"/>
    <n v="-2419"/>
  </r>
  <r>
    <x v="68"/>
    <x v="54"/>
    <x v="3801"/>
    <x v="33"/>
    <n v="104439"/>
    <s v="n.a."/>
    <s v="n.a."/>
    <x v="3316"/>
    <n v="364"/>
  </r>
  <r>
    <x v="68"/>
    <x v="55"/>
    <x v="3802"/>
    <x v="33"/>
    <n v="105364"/>
    <s v="n.a."/>
    <s v="n.a."/>
    <x v="3317"/>
    <n v="-1469"/>
  </r>
  <r>
    <x v="68"/>
    <x v="56"/>
    <x v="3803"/>
    <x v="33"/>
    <n v="105977"/>
    <s v="n.a."/>
    <s v="n.a."/>
    <x v="3318"/>
    <n v="-958"/>
  </r>
  <r>
    <x v="68"/>
    <x v="57"/>
    <x v="3804"/>
    <x v="33"/>
    <n v="107242"/>
    <s v="n.a."/>
    <s v="n.a."/>
    <x v="3319"/>
    <n v="-1549"/>
  </r>
  <r>
    <x v="68"/>
    <x v="58"/>
    <x v="3805"/>
    <x v="33"/>
    <n v="106953"/>
    <s v="n.a."/>
    <s v="n.a."/>
    <x v="3320"/>
    <n v="-2588"/>
  </r>
  <r>
    <x v="68"/>
    <x v="59"/>
    <x v="3806"/>
    <x v="33"/>
    <n v="105579"/>
    <s v="n.a."/>
    <s v="n.a."/>
    <x v="3321"/>
    <n v="-3529"/>
  </r>
  <r>
    <x v="68"/>
    <x v="60"/>
    <x v="3807"/>
    <x v="33"/>
    <n v="98647"/>
    <s v="n.a."/>
    <s v="n.a."/>
    <x v="3322"/>
    <n v="-913"/>
  </r>
  <r>
    <x v="68"/>
    <x v="61"/>
    <x v="3808"/>
    <x v="33"/>
    <n v="94702"/>
    <s v="n.a."/>
    <s v="n.a."/>
    <x v="3323"/>
    <n v="-631"/>
  </r>
  <r>
    <x v="68"/>
    <x v="62"/>
    <x v="3809"/>
    <x v="33"/>
    <n v="92902"/>
    <s v="n.a."/>
    <s v="n.a."/>
    <x v="3324"/>
    <n v="3385"/>
  </r>
  <r>
    <x v="68"/>
    <x v="63"/>
    <x v="3810"/>
    <x v="33"/>
    <n v="90865"/>
    <s v="n.a."/>
    <s v="n.a."/>
    <x v="3325"/>
    <n v="-1418"/>
  </r>
  <r>
    <x v="68"/>
    <x v="64"/>
    <x v="3811"/>
    <x v="33"/>
    <n v="89808"/>
    <s v="n.a."/>
    <s v="n.a."/>
    <x v="3326"/>
    <n v="1605"/>
  </r>
  <r>
    <x v="68"/>
    <x v="65"/>
    <x v="3812"/>
    <x v="33"/>
    <n v="90010"/>
    <s v="n.a."/>
    <s v="n.a."/>
    <x v="3327"/>
    <n v="351"/>
  </r>
  <r>
    <x v="68"/>
    <x v="66"/>
    <x v="3813"/>
    <x v="33"/>
    <n v="92090"/>
    <s v="n.a."/>
    <s v="n.a."/>
    <x v="3328"/>
    <n v="-4229"/>
  </r>
  <r>
    <x v="68"/>
    <x v="67"/>
    <x v="3814"/>
    <x v="33"/>
    <n v="121712"/>
    <s v="n.a."/>
    <s v="n.a."/>
    <x v="3329"/>
    <n v="-5661"/>
  </r>
  <r>
    <x v="68"/>
    <x v="68"/>
    <x v="3815"/>
    <x v="33"/>
    <n v="141377"/>
    <s v="n.a."/>
    <s v="n.a."/>
    <x v="3330"/>
    <n v="-1309"/>
  </r>
  <r>
    <x v="68"/>
    <x v="69"/>
    <x v="3816"/>
    <x v="33"/>
    <n v="138484"/>
    <s v="n.a."/>
    <s v="n.a."/>
    <x v="3331"/>
    <n v="-121"/>
  </r>
  <r>
    <x v="69"/>
    <x v="0"/>
    <x v="3817"/>
    <x v="1593"/>
    <n v="259496"/>
    <n v="13056"/>
    <n v="5636"/>
    <x v="3332"/>
    <n v="-1449"/>
  </r>
  <r>
    <x v="69"/>
    <x v="1"/>
    <x v="3818"/>
    <x v="1594"/>
    <n v="244215"/>
    <n v="-7148"/>
    <n v="3363"/>
    <x v="3333"/>
    <n v="1074"/>
  </r>
  <r>
    <x v="69"/>
    <x v="2"/>
    <x v="3819"/>
    <x v="1595"/>
    <n v="247359"/>
    <n v="3533"/>
    <n v="2124"/>
    <x v="3334"/>
    <n v="561"/>
  </r>
  <r>
    <x v="69"/>
    <x v="3"/>
    <x v="3820"/>
    <x v="1596"/>
    <n v="239303"/>
    <n v="-902"/>
    <n v="445"/>
    <x v="3335"/>
    <n v="385"/>
  </r>
  <r>
    <x v="69"/>
    <x v="4"/>
    <x v="3821"/>
    <x v="1597"/>
    <n v="240784"/>
    <n v="4662"/>
    <n v="3461"/>
    <x v="3336"/>
    <n v="-2076"/>
  </r>
  <r>
    <x v="69"/>
    <x v="5"/>
    <x v="3822"/>
    <x v="1598"/>
    <n v="233630"/>
    <n v="4213"/>
    <n v="-3940"/>
    <x v="3337"/>
    <n v="660"/>
  </r>
  <r>
    <x v="69"/>
    <x v="6"/>
    <x v="3823"/>
    <x v="1599"/>
    <n v="232649"/>
    <n v="-6405"/>
    <n v="703"/>
    <x v="3338"/>
    <n v="-5037"/>
  </r>
  <r>
    <x v="69"/>
    <x v="7"/>
    <x v="3824"/>
    <x v="1600"/>
    <n v="242654"/>
    <n v="2374"/>
    <n v="849"/>
    <x v="3339"/>
    <n v="-1654"/>
  </r>
  <r>
    <x v="69"/>
    <x v="8"/>
    <x v="3825"/>
    <x v="1601"/>
    <n v="238245"/>
    <n v="5787"/>
    <n v="2282"/>
    <x v="3340"/>
    <n v="2279"/>
  </r>
  <r>
    <x v="69"/>
    <x v="9"/>
    <x v="3826"/>
    <x v="1602"/>
    <n v="228148"/>
    <n v="121"/>
    <n v="2234"/>
    <x v="3341"/>
    <n v="-2087"/>
  </r>
  <r>
    <x v="69"/>
    <x v="10"/>
    <x v="3827"/>
    <x v="1603"/>
    <n v="227444"/>
    <n v="1380"/>
    <n v="-3429"/>
    <x v="3342"/>
    <n v="11"/>
  </r>
  <r>
    <x v="69"/>
    <x v="11"/>
    <x v="3828"/>
    <x v="1604"/>
    <n v="230722"/>
    <n v="8334"/>
    <n v="5150"/>
    <x v="3343"/>
    <n v="-1245"/>
  </r>
  <r>
    <x v="69"/>
    <x v="12"/>
    <x v="3829"/>
    <x v="1605"/>
    <n v="221932"/>
    <n v="3250"/>
    <n v="-4507"/>
    <x v="3344"/>
    <n v="2690"/>
  </r>
  <r>
    <x v="69"/>
    <x v="13"/>
    <x v="3830"/>
    <x v="1606"/>
    <n v="223733"/>
    <n v="6333"/>
    <n v="3047"/>
    <x v="3345"/>
    <n v="2105"/>
  </r>
  <r>
    <x v="69"/>
    <x v="14"/>
    <x v="3831"/>
    <x v="1607"/>
    <n v="216791"/>
    <n v="2090"/>
    <n v="1089"/>
    <x v="3346"/>
    <n v="1253"/>
  </r>
  <r>
    <x v="69"/>
    <x v="15"/>
    <x v="3832"/>
    <x v="1608"/>
    <n v="213062"/>
    <n v="8174"/>
    <n v="-534"/>
    <x v="3347"/>
    <n v="6112"/>
  </r>
  <r>
    <x v="69"/>
    <x v="16"/>
    <x v="3833"/>
    <x v="1609"/>
    <n v="204389"/>
    <n v="2064"/>
    <n v="5254"/>
    <x v="3348"/>
    <n v="779"/>
  </r>
  <r>
    <x v="69"/>
    <x v="17"/>
    <x v="3834"/>
    <x v="1610"/>
    <n v="200020"/>
    <n v="4185"/>
    <n v="2167"/>
    <x v="3349"/>
    <n v="-1028"/>
  </r>
  <r>
    <x v="69"/>
    <x v="18"/>
    <x v="3835"/>
    <x v="1611"/>
    <n v="192440"/>
    <n v="6193"/>
    <n v="82"/>
    <x v="3350"/>
    <n v="881"/>
  </r>
  <r>
    <x v="69"/>
    <x v="19"/>
    <x v="3836"/>
    <x v="1612"/>
    <n v="192408"/>
    <n v="1846"/>
    <n v="2864"/>
    <x v="3351"/>
    <n v="-1122"/>
  </r>
  <r>
    <x v="69"/>
    <x v="20"/>
    <x v="3837"/>
    <x v="1613"/>
    <n v="188232"/>
    <n v="2587"/>
    <n v="-2998"/>
    <x v="3352"/>
    <n v="740"/>
  </r>
  <r>
    <x v="69"/>
    <x v="21"/>
    <x v="3838"/>
    <x v="1614"/>
    <n v="188746"/>
    <n v="2275"/>
    <n v="1708"/>
    <x v="3353"/>
    <n v="-31"/>
  </r>
  <r>
    <x v="69"/>
    <x v="22"/>
    <x v="3839"/>
    <x v="1615"/>
    <n v="185590"/>
    <n v="-2850"/>
    <n v="6013"/>
    <x v="3354"/>
    <n v="1162"/>
  </r>
  <r>
    <x v="69"/>
    <x v="23"/>
    <x v="3840"/>
    <x v="1616"/>
    <n v="186944"/>
    <n v="-2489"/>
    <n v="3971"/>
    <x v="423"/>
    <n v="2114"/>
  </r>
  <r>
    <x v="69"/>
    <x v="24"/>
    <x v="3841"/>
    <x v="1617"/>
    <n v="183403"/>
    <n v="7131"/>
    <n v="-2717"/>
    <x v="3355"/>
    <n v="-762"/>
  </r>
  <r>
    <x v="69"/>
    <x v="25"/>
    <x v="3842"/>
    <x v="1618"/>
    <n v="179475"/>
    <n v="8115"/>
    <n v="309"/>
    <x v="3356"/>
    <n v="-1810"/>
  </r>
  <r>
    <x v="69"/>
    <x v="26"/>
    <x v="3843"/>
    <x v="1619"/>
    <n v="174527"/>
    <n v="-182"/>
    <n v="-2644"/>
    <x v="3357"/>
    <n v="-353"/>
  </r>
  <r>
    <x v="69"/>
    <x v="27"/>
    <x v="3844"/>
    <x v="856"/>
    <n v="176582"/>
    <n v="-1394"/>
    <n v="-641"/>
    <x v="3358"/>
    <n v="1939"/>
  </r>
  <r>
    <x v="69"/>
    <x v="28"/>
    <x v="3845"/>
    <x v="1620"/>
    <n v="179157"/>
    <n v="-10464"/>
    <n v="-2956"/>
    <x v="3359"/>
    <n v="-4930"/>
  </r>
  <r>
    <x v="69"/>
    <x v="29"/>
    <x v="3846"/>
    <x v="1060"/>
    <n v="190134"/>
    <n v="3505"/>
    <n v="-1629"/>
    <x v="3360"/>
    <n v="-351"/>
  </r>
  <r>
    <x v="69"/>
    <x v="30"/>
    <x v="3847"/>
    <x v="1621"/>
    <n v="187689"/>
    <n v="5597"/>
    <n v="1760"/>
    <x v="3361"/>
    <n v="514"/>
  </r>
  <r>
    <x v="69"/>
    <x v="31"/>
    <x v="3848"/>
    <x v="162"/>
    <n v="182042"/>
    <n v="208"/>
    <n v="5503"/>
    <x v="3362"/>
    <n v="-174"/>
  </r>
  <r>
    <x v="69"/>
    <x v="32"/>
    <x v="3849"/>
    <x v="1622"/>
    <n v="176822"/>
    <n v="6731"/>
    <n v="-4914"/>
    <x v="3363"/>
    <n v="211"/>
  </r>
  <r>
    <x v="69"/>
    <x v="33"/>
    <x v="3850"/>
    <x v="33"/>
    <n v="174814"/>
    <s v="n.a."/>
    <s v="n.a."/>
    <x v="3364"/>
    <n v="918"/>
  </r>
  <r>
    <x v="69"/>
    <x v="34"/>
    <x v="3851"/>
    <x v="33"/>
    <n v="170948"/>
    <s v="n.a."/>
    <s v="n.a."/>
    <x v="3365"/>
    <n v="-881"/>
  </r>
  <r>
    <x v="69"/>
    <x v="35"/>
    <x v="3852"/>
    <x v="33"/>
    <n v="173517"/>
    <s v="n.a."/>
    <s v="n.a."/>
    <x v="3366"/>
    <n v="47"/>
  </r>
  <r>
    <x v="69"/>
    <x v="36"/>
    <x v="3853"/>
    <x v="33"/>
    <n v="163019"/>
    <s v="n.a."/>
    <s v="n.a."/>
    <x v="3367"/>
    <n v="2863"/>
  </r>
  <r>
    <x v="69"/>
    <x v="37"/>
    <x v="3854"/>
    <x v="33"/>
    <n v="166484"/>
    <s v="n.a."/>
    <s v="n.a."/>
    <x v="3368"/>
    <n v="-289"/>
  </r>
  <r>
    <x v="69"/>
    <x v="38"/>
    <x v="3855"/>
    <x v="33"/>
    <n v="178152"/>
    <s v="n.a."/>
    <s v="n.a."/>
    <x v="3369"/>
    <n v="-1025"/>
  </r>
  <r>
    <x v="69"/>
    <x v="39"/>
    <x v="3856"/>
    <x v="33"/>
    <n v="176012"/>
    <s v="n.a."/>
    <s v="n.a."/>
    <x v="3370"/>
    <n v="1004"/>
  </r>
  <r>
    <x v="69"/>
    <x v="40"/>
    <x v="3857"/>
    <x v="33"/>
    <n v="170686"/>
    <s v="n.a."/>
    <s v="n.a."/>
    <x v="3371"/>
    <n v="1269"/>
  </r>
  <r>
    <x v="69"/>
    <x v="41"/>
    <x v="3858"/>
    <x v="33"/>
    <n v="168163"/>
    <s v="n.a."/>
    <s v="n.a."/>
    <x v="3372"/>
    <n v="-279"/>
  </r>
  <r>
    <x v="69"/>
    <x v="42"/>
    <x v="3859"/>
    <x v="33"/>
    <n v="172880"/>
    <s v="n.a."/>
    <s v="n.a."/>
    <x v="1190"/>
    <n v="-1234"/>
  </r>
  <r>
    <x v="69"/>
    <x v="43"/>
    <x v="3860"/>
    <x v="33"/>
    <n v="180462"/>
    <s v="n.a."/>
    <s v="n.a."/>
    <x v="3373"/>
    <n v="-571"/>
  </r>
  <r>
    <x v="69"/>
    <x v="44"/>
    <x v="3861"/>
    <x v="33"/>
    <n v="180946"/>
    <s v="n.a."/>
    <s v="n.a."/>
    <x v="3374"/>
    <n v="-881"/>
  </r>
  <r>
    <x v="69"/>
    <x v="45"/>
    <x v="3862"/>
    <x v="33"/>
    <n v="179721"/>
    <s v="n.a."/>
    <s v="n.a."/>
    <x v="3375"/>
    <n v="1600"/>
  </r>
  <r>
    <x v="69"/>
    <x v="46"/>
    <x v="3863"/>
    <x v="33"/>
    <n v="183328"/>
    <s v="n.a."/>
    <s v="n.a."/>
    <x v="3376"/>
    <n v="-921"/>
  </r>
  <r>
    <x v="69"/>
    <x v="47"/>
    <x v="3864"/>
    <x v="33"/>
    <n v="178168"/>
    <s v="n.a."/>
    <s v="n.a."/>
    <x v="3377"/>
    <n v="225"/>
  </r>
  <r>
    <x v="69"/>
    <x v="48"/>
    <x v="3865"/>
    <x v="33"/>
    <n v="177539"/>
    <s v="n.a."/>
    <s v="n.a."/>
    <x v="3378"/>
    <n v="-993"/>
  </r>
  <r>
    <x v="69"/>
    <x v="49"/>
    <x v="3866"/>
    <x v="33"/>
    <n v="177337"/>
    <s v="n.a."/>
    <s v="n.a."/>
    <x v="3379"/>
    <n v="2113"/>
  </r>
  <r>
    <x v="69"/>
    <x v="50"/>
    <x v="3867"/>
    <x v="33"/>
    <n v="181593"/>
    <s v="n.a."/>
    <s v="n.a."/>
    <x v="3380"/>
    <n v="678"/>
  </r>
  <r>
    <x v="69"/>
    <x v="51"/>
    <x v="3868"/>
    <x v="33"/>
    <n v="183460"/>
    <s v="n.a."/>
    <s v="n.a."/>
    <x v="3381"/>
    <n v="-17"/>
  </r>
  <r>
    <x v="69"/>
    <x v="52"/>
    <x v="3869"/>
    <x v="33"/>
    <n v="178764"/>
    <s v="n.a."/>
    <s v="n.a."/>
    <x v="3382"/>
    <n v="490"/>
  </r>
  <r>
    <x v="69"/>
    <x v="53"/>
    <x v="3870"/>
    <x v="33"/>
    <n v="167587"/>
    <s v="n.a."/>
    <s v="n.a."/>
    <x v="3383"/>
    <n v="134"/>
  </r>
  <r>
    <x v="69"/>
    <x v="54"/>
    <x v="3871"/>
    <x v="33"/>
    <n v="162559"/>
    <s v="n.a."/>
    <s v="n.a."/>
    <x v="3384"/>
    <n v="-1055"/>
  </r>
  <r>
    <x v="69"/>
    <x v="55"/>
    <x v="3872"/>
    <x v="33"/>
    <n v="160566"/>
    <s v="n.a."/>
    <s v="n.a."/>
    <x v="3385"/>
    <n v="262"/>
  </r>
  <r>
    <x v="69"/>
    <x v="56"/>
    <x v="3873"/>
    <x v="33"/>
    <n v="151995"/>
    <s v="n.a."/>
    <s v="n.a."/>
    <x v="3386"/>
    <n v="-220"/>
  </r>
  <r>
    <x v="69"/>
    <x v="57"/>
    <x v="3874"/>
    <x v="33"/>
    <n v="154682"/>
    <s v="n.a."/>
    <s v="n.a."/>
    <x v="3387"/>
    <n v="-3380"/>
  </r>
  <r>
    <x v="69"/>
    <x v="58"/>
    <x v="3875"/>
    <x v="33"/>
    <n v="155100"/>
    <s v="n.a."/>
    <s v="n.a."/>
    <x v="3388"/>
    <n v="791"/>
  </r>
  <r>
    <x v="69"/>
    <x v="59"/>
    <x v="3876"/>
    <x v="33"/>
    <n v="151640"/>
    <s v="n.a."/>
    <s v="n.a."/>
    <x v="3389"/>
    <n v="2039"/>
  </r>
  <r>
    <x v="69"/>
    <x v="60"/>
    <x v="3877"/>
    <x v="33"/>
    <n v="151843"/>
    <s v="n.a."/>
    <s v="n.a."/>
    <x v="3390"/>
    <n v="-6083"/>
  </r>
  <r>
    <x v="69"/>
    <x v="61"/>
    <x v="3878"/>
    <x v="33"/>
    <n v="142767"/>
    <s v="n.a."/>
    <s v="n.a."/>
    <x v="3391"/>
    <n v="-6694"/>
  </r>
  <r>
    <x v="69"/>
    <x v="62"/>
    <x v="3879"/>
    <x v="33"/>
    <n v="137354"/>
    <s v="n.a."/>
    <s v="n.a."/>
    <x v="3392"/>
    <n v="1499"/>
  </r>
  <r>
    <x v="69"/>
    <x v="63"/>
    <x v="3880"/>
    <x v="33"/>
    <n v="137217"/>
    <s v="n.a."/>
    <s v="n.a."/>
    <x v="3393"/>
    <n v="10225"/>
  </r>
  <r>
    <x v="69"/>
    <x v="64"/>
    <x v="3881"/>
    <x v="33"/>
    <n v="139329"/>
    <s v="n.a."/>
    <s v="n.a."/>
    <x v="3394"/>
    <n v="670"/>
  </r>
  <r>
    <x v="69"/>
    <x v="65"/>
    <x v="3882"/>
    <x v="33"/>
    <n v="131580"/>
    <s v="n.a."/>
    <s v="n.a."/>
    <x v="3395"/>
    <n v="-1461"/>
  </r>
  <r>
    <x v="69"/>
    <x v="66"/>
    <x v="3883"/>
    <x v="33"/>
    <n v="134116"/>
    <s v="n.a."/>
    <s v="n.a."/>
    <x v="3396"/>
    <n v="3755"/>
  </r>
  <r>
    <x v="69"/>
    <x v="67"/>
    <x v="3884"/>
    <x v="33"/>
    <n v="143228"/>
    <s v="n.a."/>
    <s v="n.a."/>
    <x v="3397"/>
    <n v="-864"/>
  </r>
  <r>
    <x v="69"/>
    <x v="68"/>
    <x v="3885"/>
    <x v="33"/>
    <n v="156296"/>
    <s v="n.a."/>
    <s v="n.a."/>
    <x v="3398"/>
    <n v="1109"/>
  </r>
  <r>
    <x v="69"/>
    <x v="69"/>
    <x v="3886"/>
    <x v="33"/>
    <n v="152746"/>
    <s v="n.a."/>
    <s v="n.a."/>
    <x v="3399"/>
    <n v="-725"/>
  </r>
  <r>
    <x v="70"/>
    <x v="0"/>
    <x v="481"/>
    <x v="33"/>
    <n v="0"/>
    <n v="0"/>
    <n v="0"/>
    <x v="461"/>
    <s v="n.a."/>
  </r>
  <r>
    <x v="70"/>
    <x v="1"/>
    <x v="481"/>
    <x v="33"/>
    <n v="0"/>
    <n v="0"/>
    <n v="0"/>
    <x v="461"/>
    <s v="n.a."/>
  </r>
  <r>
    <x v="70"/>
    <x v="2"/>
    <x v="481"/>
    <x v="33"/>
    <n v="0"/>
    <n v="0"/>
    <n v="0"/>
    <x v="461"/>
    <s v="n.a."/>
  </r>
  <r>
    <x v="70"/>
    <x v="3"/>
    <x v="481"/>
    <x v="33"/>
    <n v="0"/>
    <n v="0"/>
    <n v="0"/>
    <x v="461"/>
    <s v="n.a."/>
  </r>
  <r>
    <x v="70"/>
    <x v="4"/>
    <x v="481"/>
    <x v="33"/>
    <n v="0"/>
    <n v="0"/>
    <n v="0"/>
    <x v="461"/>
    <s v="n.a."/>
  </r>
  <r>
    <x v="70"/>
    <x v="5"/>
    <x v="481"/>
    <x v="33"/>
    <n v="0"/>
    <n v="0"/>
    <n v="0"/>
    <x v="461"/>
    <s v="n.a."/>
  </r>
  <r>
    <x v="70"/>
    <x v="6"/>
    <x v="481"/>
    <x v="33"/>
    <n v="0"/>
    <n v="0"/>
    <n v="0"/>
    <x v="461"/>
    <s v="n.a."/>
  </r>
  <r>
    <x v="70"/>
    <x v="7"/>
    <x v="481"/>
    <x v="33"/>
    <n v="0"/>
    <n v="0"/>
    <n v="0"/>
    <x v="461"/>
    <s v="n.a."/>
  </r>
  <r>
    <x v="70"/>
    <x v="8"/>
    <x v="481"/>
    <x v="33"/>
    <n v="0"/>
    <n v="0"/>
    <n v="0"/>
    <x v="461"/>
    <s v="n.a."/>
  </r>
  <r>
    <x v="70"/>
    <x v="9"/>
    <x v="481"/>
    <x v="33"/>
    <n v="0"/>
    <n v="0"/>
    <n v="0"/>
    <x v="461"/>
    <s v="n.a."/>
  </r>
  <r>
    <x v="70"/>
    <x v="10"/>
    <x v="481"/>
    <x v="33"/>
    <n v="0"/>
    <n v="0"/>
    <n v="0"/>
    <x v="461"/>
    <s v="n.a."/>
  </r>
  <r>
    <x v="70"/>
    <x v="11"/>
    <x v="481"/>
    <x v="33"/>
    <n v="0"/>
    <n v="0"/>
    <n v="0"/>
    <x v="461"/>
    <s v="n.a."/>
  </r>
  <r>
    <x v="70"/>
    <x v="12"/>
    <x v="481"/>
    <x v="33"/>
    <n v="0"/>
    <n v="0"/>
    <n v="0"/>
    <x v="461"/>
    <s v="n.a."/>
  </r>
  <r>
    <x v="70"/>
    <x v="13"/>
    <x v="481"/>
    <x v="33"/>
    <n v="0"/>
    <n v="0"/>
    <n v="0"/>
    <x v="461"/>
    <s v="n.a."/>
  </r>
  <r>
    <x v="70"/>
    <x v="14"/>
    <x v="481"/>
    <x v="33"/>
    <n v="0"/>
    <n v="0"/>
    <n v="0"/>
    <x v="461"/>
    <s v="n.a."/>
  </r>
  <r>
    <x v="70"/>
    <x v="15"/>
    <x v="481"/>
    <x v="33"/>
    <n v="0"/>
    <n v="0"/>
    <n v="0"/>
    <x v="461"/>
    <s v="n.a."/>
  </r>
  <r>
    <x v="70"/>
    <x v="16"/>
    <x v="481"/>
    <x v="33"/>
    <n v="0"/>
    <n v="0"/>
    <n v="0"/>
    <x v="461"/>
    <s v="n.a."/>
  </r>
  <r>
    <x v="70"/>
    <x v="17"/>
    <x v="481"/>
    <x v="33"/>
    <n v="0"/>
    <n v="0"/>
    <n v="0"/>
    <x v="461"/>
    <s v="n.a."/>
  </r>
  <r>
    <x v="70"/>
    <x v="18"/>
    <x v="481"/>
    <x v="33"/>
    <n v="0"/>
    <n v="0"/>
    <n v="0"/>
    <x v="461"/>
    <s v="n.a."/>
  </r>
  <r>
    <x v="70"/>
    <x v="19"/>
    <x v="481"/>
    <x v="33"/>
    <n v="0"/>
    <n v="0"/>
    <n v="0"/>
    <x v="461"/>
    <s v="n.a."/>
  </r>
  <r>
    <x v="70"/>
    <x v="20"/>
    <x v="481"/>
    <x v="33"/>
    <n v="0"/>
    <n v="0"/>
    <n v="0"/>
    <x v="461"/>
    <s v="n.a."/>
  </r>
  <r>
    <x v="70"/>
    <x v="21"/>
    <x v="481"/>
    <x v="33"/>
    <n v="0"/>
    <n v="0"/>
    <n v="0"/>
    <x v="461"/>
    <s v="n.a."/>
  </r>
  <r>
    <x v="70"/>
    <x v="22"/>
    <x v="481"/>
    <x v="33"/>
    <n v="0"/>
    <n v="0"/>
    <n v="0"/>
    <x v="461"/>
    <s v="n.a."/>
  </r>
  <r>
    <x v="70"/>
    <x v="23"/>
    <x v="481"/>
    <x v="33"/>
    <n v="0"/>
    <n v="0"/>
    <n v="0"/>
    <x v="461"/>
    <s v="n.a."/>
  </r>
  <r>
    <x v="70"/>
    <x v="24"/>
    <x v="481"/>
    <x v="33"/>
    <n v="0"/>
    <n v="0"/>
    <n v="0"/>
    <x v="461"/>
    <s v="n.a."/>
  </r>
  <r>
    <x v="70"/>
    <x v="25"/>
    <x v="481"/>
    <x v="33"/>
    <n v="0"/>
    <n v="0"/>
    <n v="0"/>
    <x v="461"/>
    <s v="n.a."/>
  </r>
  <r>
    <x v="70"/>
    <x v="26"/>
    <x v="481"/>
    <x v="33"/>
    <n v="0"/>
    <n v="0"/>
    <n v="0"/>
    <x v="461"/>
    <s v="n.a."/>
  </r>
  <r>
    <x v="70"/>
    <x v="27"/>
    <x v="481"/>
    <x v="33"/>
    <n v="0"/>
    <n v="0"/>
    <n v="0"/>
    <x v="461"/>
    <s v="n.a."/>
  </r>
  <r>
    <x v="70"/>
    <x v="28"/>
    <x v="481"/>
    <x v="33"/>
    <n v="0"/>
    <n v="0"/>
    <n v="0"/>
    <x v="461"/>
    <s v="n.a."/>
  </r>
  <r>
    <x v="70"/>
    <x v="29"/>
    <x v="481"/>
    <x v="33"/>
    <n v="0"/>
    <n v="0"/>
    <n v="0"/>
    <x v="461"/>
    <s v="n.a."/>
  </r>
  <r>
    <x v="70"/>
    <x v="30"/>
    <x v="481"/>
    <x v="33"/>
    <n v="0"/>
    <n v="0"/>
    <n v="0"/>
    <x v="461"/>
    <s v="n.a."/>
  </r>
  <r>
    <x v="70"/>
    <x v="31"/>
    <x v="481"/>
    <x v="33"/>
    <n v="0"/>
    <n v="0"/>
    <n v="0"/>
    <x v="461"/>
    <s v="n.a."/>
  </r>
  <r>
    <x v="70"/>
    <x v="32"/>
    <x v="481"/>
    <x v="33"/>
    <n v="0"/>
    <n v="0"/>
    <n v="0"/>
    <x v="461"/>
    <s v="n.a."/>
  </r>
  <r>
    <x v="70"/>
    <x v="33"/>
    <x v="481"/>
    <x v="33"/>
    <n v="0"/>
    <s v="n.a."/>
    <s v="n.a."/>
    <x v="461"/>
    <s v="n.a."/>
  </r>
  <r>
    <x v="70"/>
    <x v="34"/>
    <x v="481"/>
    <x v="33"/>
    <n v="0"/>
    <s v="n.a."/>
    <s v="n.a."/>
    <x v="461"/>
    <s v="n.a."/>
  </r>
  <r>
    <x v="70"/>
    <x v="35"/>
    <x v="481"/>
    <x v="33"/>
    <n v="1"/>
    <s v="n.a."/>
    <s v="n.a."/>
    <x v="461"/>
    <s v="n.a."/>
  </r>
  <r>
    <x v="70"/>
    <x v="36"/>
    <x v="481"/>
    <x v="33"/>
    <n v="0"/>
    <s v="n.a."/>
    <s v="n.a."/>
    <x v="461"/>
    <s v="n.a."/>
  </r>
  <r>
    <x v="70"/>
    <x v="37"/>
    <x v="481"/>
    <x v="33"/>
    <n v="0"/>
    <s v="n.a."/>
    <s v="n.a."/>
    <x v="461"/>
    <s v="n.a."/>
  </r>
  <r>
    <x v="70"/>
    <x v="38"/>
    <x v="481"/>
    <x v="33"/>
    <n v="0"/>
    <s v="n.a."/>
    <s v="n.a."/>
    <x v="461"/>
    <s v="n.a."/>
  </r>
  <r>
    <x v="70"/>
    <x v="39"/>
    <x v="481"/>
    <x v="33"/>
    <n v="0"/>
    <s v="n.a."/>
    <s v="n.a."/>
    <x v="461"/>
    <s v="n.a."/>
  </r>
  <r>
    <x v="70"/>
    <x v="40"/>
    <x v="481"/>
    <x v="33"/>
    <n v="0"/>
    <s v="n.a."/>
    <s v="n.a."/>
    <x v="461"/>
    <s v="n.a."/>
  </r>
  <r>
    <x v="70"/>
    <x v="41"/>
    <x v="481"/>
    <x v="33"/>
    <n v="0"/>
    <s v="n.a."/>
    <s v="n.a."/>
    <x v="461"/>
    <s v="n.a."/>
  </r>
  <r>
    <x v="70"/>
    <x v="42"/>
    <x v="481"/>
    <x v="33"/>
    <n v="0"/>
    <s v="n.a."/>
    <s v="n.a."/>
    <x v="461"/>
    <s v="n.a."/>
  </r>
  <r>
    <x v="70"/>
    <x v="43"/>
    <x v="481"/>
    <x v="33"/>
    <n v="0"/>
    <s v="n.a."/>
    <s v="n.a."/>
    <x v="461"/>
    <s v="n.a."/>
  </r>
  <r>
    <x v="70"/>
    <x v="44"/>
    <x v="481"/>
    <x v="33"/>
    <n v="0"/>
    <s v="n.a."/>
    <s v="n.a."/>
    <x v="461"/>
    <s v="n.a."/>
  </r>
  <r>
    <x v="70"/>
    <x v="45"/>
    <x v="481"/>
    <x v="33"/>
    <n v="0"/>
    <s v="n.a."/>
    <s v="n.a."/>
    <x v="461"/>
    <s v="n.a."/>
  </r>
  <r>
    <x v="70"/>
    <x v="46"/>
    <x v="481"/>
    <x v="33"/>
    <n v="0"/>
    <s v="n.a."/>
    <s v="n.a."/>
    <x v="461"/>
    <s v="n.a."/>
  </r>
  <r>
    <x v="70"/>
    <x v="47"/>
    <x v="481"/>
    <x v="33"/>
    <n v="0"/>
    <s v="n.a."/>
    <s v="n.a."/>
    <x v="461"/>
    <s v="n.a."/>
  </r>
  <r>
    <x v="70"/>
    <x v="48"/>
    <x v="481"/>
    <x v="33"/>
    <n v="0"/>
    <s v="n.a."/>
    <s v="n.a."/>
    <x v="461"/>
    <s v="n.a."/>
  </r>
  <r>
    <x v="70"/>
    <x v="49"/>
    <x v="481"/>
    <x v="33"/>
    <n v="0"/>
    <s v="n.a."/>
    <s v="n.a."/>
    <x v="461"/>
    <s v="n.a."/>
  </r>
  <r>
    <x v="70"/>
    <x v="50"/>
    <x v="481"/>
    <x v="33"/>
    <n v="0"/>
    <s v="n.a."/>
    <s v="n.a."/>
    <x v="461"/>
    <s v="n.a."/>
  </r>
  <r>
    <x v="70"/>
    <x v="51"/>
    <x v="481"/>
    <x v="33"/>
    <n v="0"/>
    <s v="n.a."/>
    <s v="n.a."/>
    <x v="461"/>
    <s v="n.a."/>
  </r>
  <r>
    <x v="70"/>
    <x v="52"/>
    <x v="481"/>
    <x v="33"/>
    <n v="0"/>
    <s v="n.a."/>
    <s v="n.a."/>
    <x v="461"/>
    <s v="n.a."/>
  </r>
  <r>
    <x v="70"/>
    <x v="53"/>
    <x v="481"/>
    <x v="33"/>
    <n v="0"/>
    <s v="n.a."/>
    <s v="n.a."/>
    <x v="461"/>
    <s v="n.a."/>
  </r>
  <r>
    <x v="70"/>
    <x v="54"/>
    <x v="481"/>
    <x v="33"/>
    <n v="0"/>
    <s v="n.a."/>
    <s v="n.a."/>
    <x v="461"/>
    <s v="n.a."/>
  </r>
  <r>
    <x v="70"/>
    <x v="55"/>
    <x v="481"/>
    <x v="33"/>
    <n v="0"/>
    <s v="n.a."/>
    <s v="n.a."/>
    <x v="461"/>
    <s v="n.a."/>
  </r>
  <r>
    <x v="70"/>
    <x v="56"/>
    <x v="481"/>
    <x v="33"/>
    <n v="0"/>
    <s v="n.a."/>
    <s v="n.a."/>
    <x v="461"/>
    <s v="n.a."/>
  </r>
  <r>
    <x v="70"/>
    <x v="57"/>
    <x v="481"/>
    <x v="33"/>
    <n v="0"/>
    <s v="n.a."/>
    <s v="n.a."/>
    <x v="461"/>
    <s v="n.a."/>
  </r>
  <r>
    <x v="70"/>
    <x v="58"/>
    <x v="481"/>
    <x v="33"/>
    <n v="0"/>
    <s v="n.a."/>
    <s v="n.a."/>
    <x v="461"/>
    <s v="n.a."/>
  </r>
  <r>
    <x v="70"/>
    <x v="59"/>
    <x v="481"/>
    <x v="33"/>
    <n v="0"/>
    <s v="n.a."/>
    <s v="n.a."/>
    <x v="461"/>
    <s v="n.a."/>
  </r>
  <r>
    <x v="70"/>
    <x v="60"/>
    <x v="481"/>
    <x v="33"/>
    <n v="0"/>
    <s v="n.a."/>
    <s v="n.a."/>
    <x v="461"/>
    <s v="n.a."/>
  </r>
  <r>
    <x v="70"/>
    <x v="61"/>
    <x v="481"/>
    <x v="33"/>
    <n v="0"/>
    <s v="n.a."/>
    <s v="n.a."/>
    <x v="461"/>
    <s v="n.a."/>
  </r>
  <r>
    <x v="70"/>
    <x v="62"/>
    <x v="481"/>
    <x v="33"/>
    <n v="0"/>
    <s v="n.a."/>
    <s v="n.a."/>
    <x v="461"/>
    <s v="n.a."/>
  </r>
  <r>
    <x v="70"/>
    <x v="63"/>
    <x v="481"/>
    <x v="33"/>
    <n v="0"/>
    <s v="n.a."/>
    <s v="n.a."/>
    <x v="461"/>
    <s v="n.a."/>
  </r>
  <r>
    <x v="70"/>
    <x v="64"/>
    <x v="481"/>
    <x v="33"/>
    <n v="0"/>
    <s v="n.a."/>
    <s v="n.a."/>
    <x v="461"/>
    <s v="n.a."/>
  </r>
  <r>
    <x v="70"/>
    <x v="65"/>
    <x v="481"/>
    <x v="33"/>
    <n v="0"/>
    <s v="n.a."/>
    <s v="n.a."/>
    <x v="461"/>
    <s v="n.a."/>
  </r>
  <r>
    <x v="70"/>
    <x v="66"/>
    <x v="481"/>
    <x v="33"/>
    <n v="0"/>
    <s v="n.a."/>
    <s v="n.a."/>
    <x v="461"/>
    <s v="n.a."/>
  </r>
  <r>
    <x v="70"/>
    <x v="67"/>
    <x v="481"/>
    <x v="33"/>
    <n v="0"/>
    <s v="n.a."/>
    <s v="n.a."/>
    <x v="461"/>
    <s v="n.a."/>
  </r>
  <r>
    <x v="70"/>
    <x v="68"/>
    <x v="481"/>
    <x v="33"/>
    <n v="0"/>
    <s v="n.a."/>
    <s v="n.a."/>
    <x v="461"/>
    <s v="n.a."/>
  </r>
  <r>
    <x v="70"/>
    <x v="69"/>
    <x v="481"/>
    <x v="33"/>
    <n v="0"/>
    <s v="n.a."/>
    <s v="n.a."/>
    <x v="461"/>
    <s v="n.a."/>
  </r>
  <r>
    <x v="71"/>
    <x v="0"/>
    <x v="3887"/>
    <x v="1623"/>
    <n v="306035"/>
    <n v="-719"/>
    <n v="-2371"/>
    <x v="3400"/>
    <n v="325"/>
  </r>
  <r>
    <x v="71"/>
    <x v="1"/>
    <x v="3888"/>
    <x v="1624"/>
    <n v="309464"/>
    <n v="1201"/>
    <n v="-1811"/>
    <x v="3401"/>
    <n v="-164"/>
  </r>
  <r>
    <x v="71"/>
    <x v="2"/>
    <x v="3889"/>
    <x v="1625"/>
    <n v="310143"/>
    <n v="-2156"/>
    <n v="3068"/>
    <x v="3402"/>
    <n v="368"/>
  </r>
  <r>
    <x v="71"/>
    <x v="3"/>
    <x v="3890"/>
    <x v="1626"/>
    <n v="305928"/>
    <n v="4090"/>
    <n v="105"/>
    <x v="3403"/>
    <n v="-576"/>
  </r>
  <r>
    <x v="71"/>
    <x v="4"/>
    <x v="3891"/>
    <x v="1627"/>
    <n v="303712"/>
    <n v="2587"/>
    <n v="96"/>
    <x v="3404"/>
    <n v="-410"/>
  </r>
  <r>
    <x v="71"/>
    <x v="5"/>
    <x v="3892"/>
    <x v="1628"/>
    <n v="300875"/>
    <n v="-2512"/>
    <n v="-4565"/>
    <x v="3405"/>
    <n v="43"/>
  </r>
  <r>
    <x v="71"/>
    <x v="6"/>
    <x v="3893"/>
    <x v="1629"/>
    <n v="307582"/>
    <n v="829"/>
    <n v="2348"/>
    <x v="2391"/>
    <n v="230"/>
  </r>
  <r>
    <x v="71"/>
    <x v="7"/>
    <x v="3894"/>
    <x v="1630"/>
    <n v="304491"/>
    <n v="2346"/>
    <n v="197"/>
    <x v="3406"/>
    <n v="907"/>
  </r>
  <r>
    <x v="71"/>
    <x v="8"/>
    <x v="3895"/>
    <x v="1631"/>
    <n v="303430"/>
    <n v="-3759"/>
    <n v="11340"/>
    <x v="3407"/>
    <n v="-261"/>
  </r>
  <r>
    <x v="71"/>
    <x v="9"/>
    <x v="3896"/>
    <x v="1632"/>
    <n v="295592"/>
    <n v="6919"/>
    <n v="1916"/>
    <x v="3408"/>
    <n v="-58"/>
  </r>
  <r>
    <x v="71"/>
    <x v="10"/>
    <x v="3897"/>
    <x v="1633"/>
    <n v="289199"/>
    <n v="5115"/>
    <n v="-6843"/>
    <x v="3409"/>
    <n v="-191"/>
  </r>
  <r>
    <x v="71"/>
    <x v="11"/>
    <x v="3898"/>
    <x v="1634"/>
    <n v="282658"/>
    <n v="-2090"/>
    <n v="1438"/>
    <x v="3410"/>
    <n v="-700"/>
  </r>
  <r>
    <x v="71"/>
    <x v="12"/>
    <x v="3899"/>
    <x v="1635"/>
    <n v="283910"/>
    <n v="4588"/>
    <n v="-8426"/>
    <x v="3411"/>
    <n v="1164"/>
  </r>
  <r>
    <x v="71"/>
    <x v="13"/>
    <x v="3900"/>
    <x v="1636"/>
    <n v="288256"/>
    <n v="1981"/>
    <n v="3018"/>
    <x v="2928"/>
    <n v="-551"/>
  </r>
  <r>
    <x v="71"/>
    <x v="14"/>
    <x v="3901"/>
    <x v="1637"/>
    <n v="283709"/>
    <n v="5420"/>
    <n v="3456"/>
    <x v="3412"/>
    <n v="168"/>
  </r>
  <r>
    <x v="71"/>
    <x v="15"/>
    <x v="3902"/>
    <x v="1638"/>
    <n v="274120"/>
    <n v="3652"/>
    <n v="6082"/>
    <x v="3413"/>
    <n v="6"/>
  </r>
  <r>
    <x v="71"/>
    <x v="16"/>
    <x v="3903"/>
    <x v="1639"/>
    <n v="264683"/>
    <n v="752"/>
    <n v="2107"/>
    <x v="3414"/>
    <n v="-273"/>
  </r>
  <r>
    <x v="71"/>
    <x v="17"/>
    <x v="3904"/>
    <x v="1640"/>
    <n v="261896"/>
    <n v="2051"/>
    <n v="3884"/>
    <x v="3415"/>
    <n v="-128"/>
  </r>
  <r>
    <x v="71"/>
    <x v="18"/>
    <x v="3905"/>
    <x v="1641"/>
    <n v="255702"/>
    <n v="5411"/>
    <n v="-7819"/>
    <x v="3416"/>
    <n v="625"/>
  </r>
  <r>
    <x v="71"/>
    <x v="19"/>
    <x v="3906"/>
    <x v="1642"/>
    <n v="258006"/>
    <n v="3288"/>
    <n v="520"/>
    <x v="3417"/>
    <n v="-427"/>
  </r>
  <r>
    <x v="71"/>
    <x v="20"/>
    <x v="3907"/>
    <x v="1643"/>
    <n v="254097"/>
    <n v="4557"/>
    <n v="-4710"/>
    <x v="2742"/>
    <n v="-295"/>
  </r>
  <r>
    <x v="71"/>
    <x v="21"/>
    <x v="3908"/>
    <x v="1154"/>
    <n v="253942"/>
    <n v="5269"/>
    <n v="-574"/>
    <x v="3418"/>
    <n v="-1174"/>
  </r>
  <r>
    <x v="71"/>
    <x v="22"/>
    <x v="3909"/>
    <x v="1644"/>
    <n v="249081"/>
    <n v="6615"/>
    <n v="7386"/>
    <x v="3419"/>
    <n v="-409"/>
  </r>
  <r>
    <x v="71"/>
    <x v="23"/>
    <x v="3910"/>
    <x v="1645"/>
    <n v="232751"/>
    <n v="-1002"/>
    <n v="8427"/>
    <x v="3420"/>
    <n v="-841"/>
  </r>
  <r>
    <x v="71"/>
    <x v="24"/>
    <x v="3911"/>
    <x v="1646"/>
    <n v="225250"/>
    <n v="-1469"/>
    <n v="-3435"/>
    <x v="3421"/>
    <n v="1108"/>
  </r>
  <r>
    <x v="71"/>
    <x v="25"/>
    <x v="3912"/>
    <x v="1647"/>
    <n v="231311"/>
    <n v="2023"/>
    <n v="-5753"/>
    <x v="3422"/>
    <n v="-438"/>
  </r>
  <r>
    <x v="71"/>
    <x v="26"/>
    <x v="3913"/>
    <x v="521"/>
    <n v="235505"/>
    <n v="646"/>
    <n v="-1949"/>
    <x v="3423"/>
    <n v="-717"/>
  </r>
  <r>
    <x v="71"/>
    <x v="27"/>
    <x v="3914"/>
    <x v="1648"/>
    <n v="236804"/>
    <n v="2104"/>
    <n v="-1291"/>
    <x v="3424"/>
    <n v="1138"/>
  </r>
  <r>
    <x v="71"/>
    <x v="28"/>
    <x v="3915"/>
    <x v="1649"/>
    <n v="236221"/>
    <n v="2477"/>
    <n v="-2017"/>
    <x v="3425"/>
    <n v="847"/>
  </r>
  <r>
    <x v="71"/>
    <x v="29"/>
    <x v="3916"/>
    <x v="1650"/>
    <n v="235617"/>
    <n v="851"/>
    <n v="-3288"/>
    <x v="3426"/>
    <n v="-2215"/>
  </r>
  <r>
    <x v="71"/>
    <x v="30"/>
    <x v="3917"/>
    <x v="1651"/>
    <n v="238067"/>
    <n v="4375"/>
    <n v="1589"/>
    <x v="3427"/>
    <n v="-1031"/>
  </r>
  <r>
    <x v="71"/>
    <x v="31"/>
    <x v="3918"/>
    <x v="1652"/>
    <n v="232023"/>
    <n v="1917"/>
    <n v="6444"/>
    <x v="3428"/>
    <n v="-151"/>
  </r>
  <r>
    <x v="71"/>
    <x v="32"/>
    <x v="3919"/>
    <x v="1653"/>
    <n v="224024"/>
    <n v="3005"/>
    <n v="-5971"/>
    <x v="3429"/>
    <n v="-147"/>
  </r>
  <r>
    <x v="71"/>
    <x v="33"/>
    <x v="3920"/>
    <x v="33"/>
    <n v="226908"/>
    <s v="n.a."/>
    <s v="n.a."/>
    <x v="3430"/>
    <n v="475"/>
  </r>
  <r>
    <x v="71"/>
    <x v="34"/>
    <x v="3921"/>
    <x v="33"/>
    <n v="218151"/>
    <s v="n.a."/>
    <s v="n.a."/>
    <x v="3431"/>
    <n v="476"/>
  </r>
  <r>
    <x v="71"/>
    <x v="35"/>
    <x v="3922"/>
    <x v="33"/>
    <n v="217266"/>
    <s v="n.a."/>
    <s v="n.a."/>
    <x v="3432"/>
    <n v="-244"/>
  </r>
  <r>
    <x v="71"/>
    <x v="36"/>
    <x v="3923"/>
    <x v="33"/>
    <n v="207596"/>
    <s v="n.a."/>
    <s v="n.a."/>
    <x v="3433"/>
    <n v="1130"/>
  </r>
  <r>
    <x v="71"/>
    <x v="37"/>
    <x v="3924"/>
    <x v="33"/>
    <n v="209361"/>
    <s v="n.a."/>
    <s v="n.a."/>
    <x v="3434"/>
    <n v="-186"/>
  </r>
  <r>
    <x v="71"/>
    <x v="38"/>
    <x v="3925"/>
    <x v="33"/>
    <n v="225378"/>
    <s v="n.a."/>
    <s v="n.a."/>
    <x v="3435"/>
    <n v="137"/>
  </r>
  <r>
    <x v="71"/>
    <x v="39"/>
    <x v="3926"/>
    <x v="33"/>
    <n v="232288"/>
    <s v="n.a."/>
    <s v="n.a."/>
    <x v="3436"/>
    <n v="323"/>
  </r>
  <r>
    <x v="71"/>
    <x v="40"/>
    <x v="3927"/>
    <x v="33"/>
    <n v="226713"/>
    <s v="n.a."/>
    <s v="n.a."/>
    <x v="3437"/>
    <n v="-765"/>
  </r>
  <r>
    <x v="71"/>
    <x v="41"/>
    <x v="3928"/>
    <x v="33"/>
    <n v="222668"/>
    <s v="n.a."/>
    <s v="n.a."/>
    <x v="3438"/>
    <n v="630"/>
  </r>
  <r>
    <x v="71"/>
    <x v="42"/>
    <x v="3929"/>
    <x v="33"/>
    <n v="221131"/>
    <s v="n.a."/>
    <s v="n.a."/>
    <x v="3439"/>
    <n v="-1222"/>
  </r>
  <r>
    <x v="71"/>
    <x v="43"/>
    <x v="3930"/>
    <x v="33"/>
    <n v="229884"/>
    <s v="n.a."/>
    <s v="n.a."/>
    <x v="3440"/>
    <n v="-616"/>
  </r>
  <r>
    <x v="71"/>
    <x v="44"/>
    <x v="3931"/>
    <x v="33"/>
    <n v="239439"/>
    <s v="n.a."/>
    <s v="n.a."/>
    <x v="3441"/>
    <n v="-482"/>
  </r>
  <r>
    <x v="71"/>
    <x v="45"/>
    <x v="3932"/>
    <x v="33"/>
    <n v="239067"/>
    <s v="n.a."/>
    <s v="n.a."/>
    <x v="3442"/>
    <n v="636"/>
  </r>
  <r>
    <x v="71"/>
    <x v="46"/>
    <x v="3933"/>
    <x v="33"/>
    <n v="242047"/>
    <s v="n.a."/>
    <s v="n.a."/>
    <x v="3443"/>
    <n v="1408"/>
  </r>
  <r>
    <x v="71"/>
    <x v="47"/>
    <x v="3934"/>
    <x v="33"/>
    <n v="241155"/>
    <s v="n.a."/>
    <s v="n.a."/>
    <x v="1980"/>
    <n v="811"/>
  </r>
  <r>
    <x v="71"/>
    <x v="48"/>
    <x v="3935"/>
    <x v="33"/>
    <n v="237132"/>
    <s v="n.a."/>
    <s v="n.a."/>
    <x v="3444"/>
    <n v="763"/>
  </r>
  <r>
    <x v="71"/>
    <x v="49"/>
    <x v="3936"/>
    <x v="33"/>
    <n v="234943"/>
    <s v="n.a."/>
    <s v="n.a."/>
    <x v="3445"/>
    <n v="350"/>
  </r>
  <r>
    <x v="71"/>
    <x v="50"/>
    <x v="3937"/>
    <x v="33"/>
    <n v="233082"/>
    <s v="n.a."/>
    <s v="n.a."/>
    <x v="3446"/>
    <n v="-709"/>
  </r>
  <r>
    <x v="71"/>
    <x v="51"/>
    <x v="3938"/>
    <x v="33"/>
    <n v="237397"/>
    <s v="n.a."/>
    <s v="n.a."/>
    <x v="3447"/>
    <n v="-279"/>
  </r>
  <r>
    <x v="71"/>
    <x v="52"/>
    <x v="3939"/>
    <x v="33"/>
    <n v="234238"/>
    <s v="n.a."/>
    <s v="n.a."/>
    <x v="3448"/>
    <n v="216"/>
  </r>
  <r>
    <x v="71"/>
    <x v="53"/>
    <x v="3940"/>
    <x v="33"/>
    <n v="231408"/>
    <s v="n.a."/>
    <s v="n.a."/>
    <x v="3449"/>
    <n v="-451"/>
  </r>
  <r>
    <x v="71"/>
    <x v="54"/>
    <x v="3941"/>
    <x v="33"/>
    <n v="228649"/>
    <s v="n.a."/>
    <s v="n.a."/>
    <x v="3450"/>
    <n v="-401"/>
  </r>
  <r>
    <x v="71"/>
    <x v="55"/>
    <x v="3942"/>
    <x v="33"/>
    <n v="225779"/>
    <s v="n.a."/>
    <s v="n.a."/>
    <x v="3451"/>
    <n v="276"/>
  </r>
  <r>
    <x v="71"/>
    <x v="56"/>
    <x v="3943"/>
    <x v="33"/>
    <n v="229010"/>
    <s v="n.a."/>
    <s v="n.a."/>
    <x v="3423"/>
    <n v="-111"/>
  </r>
  <r>
    <x v="71"/>
    <x v="57"/>
    <x v="3944"/>
    <x v="33"/>
    <n v="234074"/>
    <s v="n.a."/>
    <s v="n.a."/>
    <x v="3452"/>
    <n v="31"/>
  </r>
  <r>
    <x v="71"/>
    <x v="58"/>
    <x v="3945"/>
    <x v="33"/>
    <n v="229881"/>
    <s v="n.a."/>
    <s v="n.a."/>
    <x v="838"/>
    <n v="-158"/>
  </r>
  <r>
    <x v="71"/>
    <x v="59"/>
    <x v="3946"/>
    <x v="33"/>
    <n v="216623"/>
    <s v="n.a."/>
    <s v="n.a."/>
    <x v="3453"/>
    <n v="775"/>
  </r>
  <r>
    <x v="71"/>
    <x v="60"/>
    <x v="3947"/>
    <x v="33"/>
    <n v="213237"/>
    <s v="n.a."/>
    <s v="n.a."/>
    <x v="3454"/>
    <n v="355"/>
  </r>
  <r>
    <x v="71"/>
    <x v="61"/>
    <x v="3948"/>
    <x v="33"/>
    <n v="208935"/>
    <s v="n.a."/>
    <s v="n.a."/>
    <x v="3455"/>
    <n v="-9"/>
  </r>
  <r>
    <x v="71"/>
    <x v="62"/>
    <x v="3949"/>
    <x v="33"/>
    <n v="207402"/>
    <s v="n.a."/>
    <s v="n.a."/>
    <x v="3076"/>
    <n v="227"/>
  </r>
  <r>
    <x v="71"/>
    <x v="63"/>
    <x v="3950"/>
    <x v="33"/>
    <n v="205368"/>
    <s v="n.a."/>
    <s v="n.a."/>
    <x v="3456"/>
    <n v="-322"/>
  </r>
  <r>
    <x v="71"/>
    <x v="64"/>
    <x v="3951"/>
    <x v="33"/>
    <n v="199915"/>
    <s v="n.a."/>
    <s v="n.a."/>
    <x v="3457"/>
    <n v="552"/>
  </r>
  <r>
    <x v="71"/>
    <x v="65"/>
    <x v="3952"/>
    <x v="33"/>
    <n v="195121"/>
    <s v="n.a."/>
    <s v="n.a."/>
    <x v="675"/>
    <n v="353"/>
  </r>
  <r>
    <x v="71"/>
    <x v="66"/>
    <x v="3953"/>
    <x v="33"/>
    <n v="197900"/>
    <s v="n.a."/>
    <s v="n.a."/>
    <x v="3458"/>
    <n v="-43"/>
  </r>
  <r>
    <x v="71"/>
    <x v="67"/>
    <x v="3954"/>
    <x v="33"/>
    <n v="201177"/>
    <s v="n.a."/>
    <s v="n.a."/>
    <x v="3459"/>
    <n v="93"/>
  </r>
  <r>
    <x v="71"/>
    <x v="68"/>
    <x v="3955"/>
    <x v="33"/>
    <n v="198158"/>
    <s v="n.a."/>
    <s v="n.a."/>
    <x v="3460"/>
    <n v="-18"/>
  </r>
  <r>
    <x v="71"/>
    <x v="69"/>
    <x v="3956"/>
    <x v="33"/>
    <n v="195494"/>
    <s v="n.a."/>
    <s v="n.a."/>
    <x v="3461"/>
    <n v="1676"/>
  </r>
  <r>
    <x v="72"/>
    <x v="0"/>
    <x v="3957"/>
    <x v="1654"/>
    <n v="66003"/>
    <n v="421"/>
    <n v="59"/>
    <x v="3462"/>
    <n v="-5213"/>
  </r>
  <r>
    <x v="72"/>
    <x v="1"/>
    <x v="3958"/>
    <x v="223"/>
    <n v="65523"/>
    <n v="2554"/>
    <n v="-52"/>
    <x v="3463"/>
    <n v="-298"/>
  </r>
  <r>
    <x v="72"/>
    <x v="2"/>
    <x v="3959"/>
    <x v="1112"/>
    <n v="63017"/>
    <n v="471"/>
    <n v="574"/>
    <x v="3464"/>
    <n v="-668"/>
  </r>
  <r>
    <x v="72"/>
    <x v="3"/>
    <x v="3960"/>
    <x v="1655"/>
    <n v="61975"/>
    <n v="877"/>
    <n v="-308"/>
    <x v="3465"/>
    <n v="3878"/>
  </r>
  <r>
    <x v="72"/>
    <x v="4"/>
    <x v="3961"/>
    <x v="1656"/>
    <n v="61403"/>
    <n v="3106"/>
    <n v="335"/>
    <x v="135"/>
    <n v="3533"/>
  </r>
  <r>
    <x v="72"/>
    <x v="5"/>
    <x v="3962"/>
    <x v="1657"/>
    <n v="57963"/>
    <n v="-34"/>
    <n v="-548"/>
    <x v="3466"/>
    <n v="-1325"/>
  </r>
  <r>
    <x v="72"/>
    <x v="6"/>
    <x v="3963"/>
    <x v="885"/>
    <n v="58545"/>
    <n v="-413"/>
    <n v="382"/>
    <x v="3467"/>
    <n v="468"/>
  </r>
  <r>
    <x v="72"/>
    <x v="7"/>
    <x v="3964"/>
    <x v="1658"/>
    <n v="58580"/>
    <n v="4438"/>
    <n v="110"/>
    <x v="3468"/>
    <n v="-6273"/>
  </r>
  <r>
    <x v="72"/>
    <x v="8"/>
    <x v="3965"/>
    <x v="1659"/>
    <n v="54032"/>
    <n v="-59"/>
    <n v="634"/>
    <x v="3469"/>
    <n v="2852"/>
  </r>
  <r>
    <x v="72"/>
    <x v="9"/>
    <x v="3966"/>
    <x v="1660"/>
    <n v="53469"/>
    <n v="489"/>
    <n v="148"/>
    <x v="3470"/>
    <n v="5541"/>
  </r>
  <r>
    <x v="72"/>
    <x v="10"/>
    <x v="3967"/>
    <x v="1146"/>
    <n v="52838"/>
    <n v="-530"/>
    <n v="-472"/>
    <x v="3471"/>
    <n v="-756"/>
  </r>
  <r>
    <x v="72"/>
    <x v="11"/>
    <x v="3968"/>
    <x v="1661"/>
    <n v="53840"/>
    <n v="-21"/>
    <n v="163"/>
    <x v="3472"/>
    <n v="369"/>
  </r>
  <r>
    <x v="72"/>
    <x v="12"/>
    <x v="3969"/>
    <x v="1662"/>
    <n v="53698"/>
    <n v="2716"/>
    <n v="-1060"/>
    <x v="1494"/>
    <n v="-6848"/>
  </r>
  <r>
    <x v="72"/>
    <x v="13"/>
    <x v="3970"/>
    <x v="1663"/>
    <n v="52054"/>
    <n v="4986"/>
    <n v="288"/>
    <x v="3473"/>
    <n v="-4054"/>
  </r>
  <r>
    <x v="72"/>
    <x v="14"/>
    <x v="3971"/>
    <x v="1664"/>
    <n v="46780"/>
    <n v="288"/>
    <n v="375"/>
    <x v="3474"/>
    <n v="1873"/>
  </r>
  <r>
    <x v="72"/>
    <x v="15"/>
    <x v="3972"/>
    <x v="1665"/>
    <n v="46115"/>
    <n v="-245"/>
    <n v="738"/>
    <x v="3475"/>
    <n v="-3592"/>
  </r>
  <r>
    <x v="72"/>
    <x v="16"/>
    <x v="3973"/>
    <x v="1666"/>
    <n v="45643"/>
    <n v="2320"/>
    <n v="250"/>
    <x v="3476"/>
    <n v="1661"/>
  </r>
  <r>
    <x v="72"/>
    <x v="17"/>
    <x v="3974"/>
    <x v="1667"/>
    <n v="43073"/>
    <n v="43"/>
    <n v="246"/>
    <x v="3477"/>
    <n v="4293"/>
  </r>
  <r>
    <x v="72"/>
    <x v="18"/>
    <x v="3975"/>
    <x v="1668"/>
    <n v="42760"/>
    <n v="-491"/>
    <n v="-613"/>
    <x v="3478"/>
    <n v="3174"/>
  </r>
  <r>
    <x v="72"/>
    <x v="19"/>
    <x v="3976"/>
    <x v="1669"/>
    <n v="43890"/>
    <n v="3114"/>
    <n v="846"/>
    <x v="3479"/>
    <n v="-1896"/>
  </r>
  <r>
    <x v="72"/>
    <x v="20"/>
    <x v="3977"/>
    <x v="1670"/>
    <n v="39884"/>
    <n v="246"/>
    <n v="-656"/>
    <x v="3480"/>
    <n v="1407"/>
  </r>
  <r>
    <x v="72"/>
    <x v="21"/>
    <x v="3978"/>
    <x v="1671"/>
    <n v="40306"/>
    <n v="-1372"/>
    <n v="-72"/>
    <x v="3481"/>
    <n v="1003"/>
  </r>
  <r>
    <x v="72"/>
    <x v="22"/>
    <x v="3979"/>
    <x v="1672"/>
    <n v="41787"/>
    <n v="-872"/>
    <n v="917"/>
    <x v="3482"/>
    <n v="-12"/>
  </r>
  <r>
    <x v="72"/>
    <x v="23"/>
    <x v="3980"/>
    <x v="1673"/>
    <n v="41700"/>
    <n v="-917"/>
    <n v="1100"/>
    <x v="3483"/>
    <n v="2522"/>
  </r>
  <r>
    <x v="72"/>
    <x v="24"/>
    <x v="3981"/>
    <x v="1102"/>
    <n v="41616"/>
    <n v="-280"/>
    <n v="-412"/>
    <x v="3484"/>
    <n v="383"/>
  </r>
  <r>
    <x v="72"/>
    <x v="25"/>
    <x v="3982"/>
    <x v="446"/>
    <n v="42309"/>
    <n v="-1340"/>
    <n v="-606"/>
    <x v="3485"/>
    <n v="2521"/>
  </r>
  <r>
    <x v="72"/>
    <x v="26"/>
    <x v="3983"/>
    <x v="1674"/>
    <n v="44286"/>
    <n v="-1211"/>
    <n v="-246"/>
    <x v="3486"/>
    <n v="-622"/>
  </r>
  <r>
    <x v="72"/>
    <x v="27"/>
    <x v="3984"/>
    <x v="1675"/>
    <n v="45745"/>
    <n v="-505"/>
    <n v="-192"/>
    <x v="3487"/>
    <n v="-697"/>
  </r>
  <r>
    <x v="72"/>
    <x v="28"/>
    <x v="3985"/>
    <x v="1676"/>
    <n v="46388"/>
    <n v="743"/>
    <n v="-378"/>
    <x v="3488"/>
    <n v="-1533"/>
  </r>
  <r>
    <x v="72"/>
    <x v="29"/>
    <x v="3986"/>
    <x v="455"/>
    <n v="46024"/>
    <n v="641"/>
    <n v="-568"/>
    <x v="3489"/>
    <n v="-1201"/>
  </r>
  <r>
    <x v="72"/>
    <x v="30"/>
    <x v="3987"/>
    <x v="1677"/>
    <n v="45958"/>
    <n v="2391"/>
    <n v="-98"/>
    <x v="3490"/>
    <n v="-1626"/>
  </r>
  <r>
    <x v="72"/>
    <x v="31"/>
    <x v="3988"/>
    <x v="1678"/>
    <n v="43657"/>
    <n v="8877"/>
    <n v="926"/>
    <x v="3491"/>
    <n v="-2507"/>
  </r>
  <r>
    <x v="72"/>
    <x v="32"/>
    <x v="3989"/>
    <x v="1679"/>
    <n v="33857"/>
    <n v="5477"/>
    <n v="-522"/>
    <x v="3492"/>
    <n v="-575"/>
  </r>
  <r>
    <x v="72"/>
    <x v="33"/>
    <x v="3990"/>
    <x v="33"/>
    <n v="28899"/>
    <s v="n.a."/>
    <s v="n.a."/>
    <x v="3493"/>
    <n v="6469"/>
  </r>
  <r>
    <x v="72"/>
    <x v="34"/>
    <x v="3991"/>
    <x v="33"/>
    <n v="28571"/>
    <s v="n.a."/>
    <s v="n.a."/>
    <x v="3494"/>
    <n v="3953"/>
  </r>
  <r>
    <x v="72"/>
    <x v="35"/>
    <x v="3992"/>
    <x v="33"/>
    <n v="28003"/>
    <s v="n.a."/>
    <s v="n.a."/>
    <x v="3495"/>
    <n v="-1499"/>
  </r>
  <r>
    <x v="72"/>
    <x v="36"/>
    <x v="3993"/>
    <x v="33"/>
    <n v="28093"/>
    <s v="n.a."/>
    <s v="n.a."/>
    <x v="3496"/>
    <n v="-197"/>
  </r>
  <r>
    <x v="72"/>
    <x v="37"/>
    <x v="3994"/>
    <x v="33"/>
    <n v="28200"/>
    <s v="n.a."/>
    <s v="n.a."/>
    <x v="3497"/>
    <n v="-4181"/>
  </r>
  <r>
    <x v="72"/>
    <x v="38"/>
    <x v="3995"/>
    <x v="33"/>
    <n v="28143"/>
    <s v="n.a."/>
    <s v="n.a."/>
    <x v="3498"/>
    <n v="-428"/>
  </r>
  <r>
    <x v="72"/>
    <x v="39"/>
    <x v="3996"/>
    <x v="33"/>
    <n v="28276"/>
    <s v="n.a."/>
    <s v="n.a."/>
    <x v="3499"/>
    <n v="-611"/>
  </r>
  <r>
    <x v="72"/>
    <x v="40"/>
    <x v="3997"/>
    <x v="33"/>
    <n v="28612"/>
    <s v="n.a."/>
    <s v="n.a."/>
    <x v="3500"/>
    <n v="490"/>
  </r>
  <r>
    <x v="72"/>
    <x v="41"/>
    <x v="3998"/>
    <x v="33"/>
    <n v="29496"/>
    <s v="n.a."/>
    <s v="n.a."/>
    <x v="3501"/>
    <n v="2978"/>
  </r>
  <r>
    <x v="72"/>
    <x v="42"/>
    <x v="3999"/>
    <x v="33"/>
    <n v="40306"/>
    <s v="n.a."/>
    <s v="n.a."/>
    <x v="3502"/>
    <n v="-2433"/>
  </r>
  <r>
    <x v="72"/>
    <x v="43"/>
    <x v="4000"/>
    <x v="33"/>
    <n v="44400"/>
    <s v="n.a."/>
    <s v="n.a."/>
    <x v="3503"/>
    <n v="3102"/>
  </r>
  <r>
    <x v="72"/>
    <x v="44"/>
    <x v="4001"/>
    <x v="33"/>
    <n v="45362"/>
    <s v="n.a."/>
    <s v="n.a."/>
    <x v="3504"/>
    <n v="-575"/>
  </r>
  <r>
    <x v="72"/>
    <x v="45"/>
    <x v="4002"/>
    <x v="33"/>
    <n v="45313"/>
    <s v="n.a."/>
    <s v="n.a."/>
    <x v="3505"/>
    <n v="535"/>
  </r>
  <r>
    <x v="72"/>
    <x v="46"/>
    <x v="4003"/>
    <x v="33"/>
    <n v="45445"/>
    <s v="n.a."/>
    <s v="n.a."/>
    <x v="3506"/>
    <n v="58"/>
  </r>
  <r>
    <x v="72"/>
    <x v="47"/>
    <x v="4004"/>
    <x v="33"/>
    <n v="46167"/>
    <s v="n.a."/>
    <s v="n.a."/>
    <x v="3507"/>
    <n v="3156"/>
  </r>
  <r>
    <x v="72"/>
    <x v="48"/>
    <x v="4005"/>
    <x v="33"/>
    <n v="46180"/>
    <s v="n.a."/>
    <s v="n.a."/>
    <x v="3508"/>
    <n v="1261"/>
  </r>
  <r>
    <x v="72"/>
    <x v="49"/>
    <x v="4006"/>
    <x v="33"/>
    <n v="49164"/>
    <s v="n.a."/>
    <s v="n.a."/>
    <x v="3509"/>
    <n v="3212"/>
  </r>
  <r>
    <x v="72"/>
    <x v="50"/>
    <x v="4007"/>
    <x v="33"/>
    <n v="48682"/>
    <s v="n.a."/>
    <s v="n.a."/>
    <x v="3384"/>
    <n v="2586"/>
  </r>
  <r>
    <x v="72"/>
    <x v="51"/>
    <x v="4008"/>
    <x v="33"/>
    <n v="51347"/>
    <s v="n.a."/>
    <s v="n.a."/>
    <x v="3510"/>
    <n v="1787"/>
  </r>
  <r>
    <x v="72"/>
    <x v="52"/>
    <x v="4009"/>
    <x v="33"/>
    <n v="51823"/>
    <s v="n.a."/>
    <s v="n.a."/>
    <x v="3511"/>
    <n v="38"/>
  </r>
  <r>
    <x v="72"/>
    <x v="53"/>
    <x v="4010"/>
    <x v="33"/>
    <n v="52804"/>
    <s v="n.a."/>
    <s v="n.a."/>
    <x v="3512"/>
    <n v="-674"/>
  </r>
  <r>
    <x v="72"/>
    <x v="54"/>
    <x v="4011"/>
    <x v="33"/>
    <n v="54954"/>
    <s v="n.a."/>
    <s v="n.a."/>
    <x v="3513"/>
    <n v="1154"/>
  </r>
  <r>
    <x v="72"/>
    <x v="55"/>
    <x v="4012"/>
    <x v="33"/>
    <n v="63164"/>
    <s v="n.a."/>
    <s v="n.a."/>
    <x v="3514"/>
    <n v="-1973"/>
  </r>
  <r>
    <x v="72"/>
    <x v="56"/>
    <x v="4013"/>
    <x v="33"/>
    <n v="74912"/>
    <s v="n.a."/>
    <s v="n.a."/>
    <x v="3515"/>
    <n v="-878"/>
  </r>
  <r>
    <x v="72"/>
    <x v="57"/>
    <x v="4014"/>
    <x v="33"/>
    <n v="75651"/>
    <s v="n.a."/>
    <s v="n.a."/>
    <x v="3257"/>
    <n v="982"/>
  </r>
  <r>
    <x v="72"/>
    <x v="58"/>
    <x v="4015"/>
    <x v="33"/>
    <n v="74477"/>
    <s v="n.a."/>
    <s v="n.a."/>
    <x v="3516"/>
    <n v="-1918"/>
  </r>
  <r>
    <x v="72"/>
    <x v="59"/>
    <x v="4016"/>
    <x v="33"/>
    <n v="74546"/>
    <s v="n.a."/>
    <s v="n.a."/>
    <x v="3517"/>
    <n v="670"/>
  </r>
  <r>
    <x v="72"/>
    <x v="60"/>
    <x v="4017"/>
    <x v="33"/>
    <n v="75195"/>
    <s v="n.a."/>
    <s v="n.a."/>
    <x v="3518"/>
    <n v="-837"/>
  </r>
  <r>
    <x v="72"/>
    <x v="61"/>
    <x v="4018"/>
    <x v="33"/>
    <n v="75588"/>
    <s v="n.a."/>
    <s v="n.a."/>
    <x v="3519"/>
    <n v="647"/>
  </r>
  <r>
    <x v="72"/>
    <x v="62"/>
    <x v="4019"/>
    <x v="33"/>
    <n v="78745"/>
    <s v="n.a."/>
    <s v="n.a."/>
    <x v="3520"/>
    <n v="-5816"/>
  </r>
  <r>
    <x v="72"/>
    <x v="63"/>
    <x v="4020"/>
    <x v="33"/>
    <n v="75067"/>
    <s v="n.a."/>
    <s v="n.a."/>
    <x v="3521"/>
    <n v="1293"/>
  </r>
  <r>
    <x v="72"/>
    <x v="64"/>
    <x v="4021"/>
    <x v="33"/>
    <n v="74000"/>
    <s v="n.a."/>
    <s v="n.a."/>
    <x v="3522"/>
    <n v="-942"/>
  </r>
  <r>
    <x v="72"/>
    <x v="65"/>
    <x v="4022"/>
    <x v="33"/>
    <n v="73327"/>
    <s v="n.a."/>
    <s v="n.a."/>
    <x v="3523"/>
    <n v="1657"/>
  </r>
  <r>
    <x v="72"/>
    <x v="66"/>
    <x v="4023"/>
    <x v="33"/>
    <n v="69731"/>
    <s v="n.a."/>
    <s v="n.a."/>
    <x v="3524"/>
    <n v="1232"/>
  </r>
  <r>
    <x v="72"/>
    <x v="67"/>
    <x v="4024"/>
    <x v="33"/>
    <n v="72206"/>
    <s v="n.a."/>
    <s v="n.a."/>
    <x v="3525"/>
    <n v="-7524"/>
  </r>
  <r>
    <x v="72"/>
    <x v="68"/>
    <x v="4025"/>
    <x v="33"/>
    <n v="74166"/>
    <s v="n.a."/>
    <s v="n.a."/>
    <x v="3526"/>
    <n v="-3239"/>
  </r>
  <r>
    <x v="72"/>
    <x v="69"/>
    <x v="4026"/>
    <x v="33"/>
    <n v="75667"/>
    <s v="n.a."/>
    <s v="n.a."/>
    <x v="3527"/>
    <n v="4452"/>
  </r>
  <r>
    <x v="73"/>
    <x v="0"/>
    <x v="4027"/>
    <x v="1680"/>
    <n v="45839"/>
    <n v="2685"/>
    <n v="510"/>
    <x v="3528"/>
    <n v="4203"/>
  </r>
  <r>
    <x v="73"/>
    <x v="1"/>
    <x v="4028"/>
    <x v="1681"/>
    <n v="42680"/>
    <n v="-5231"/>
    <n v="530"/>
    <x v="3529"/>
    <n v="-1477"/>
  </r>
  <r>
    <x v="73"/>
    <x v="2"/>
    <x v="4029"/>
    <x v="1682"/>
    <n v="46582"/>
    <n v="9835"/>
    <n v="559"/>
    <x v="3530"/>
    <n v="-9393"/>
  </r>
  <r>
    <x v="73"/>
    <x v="3"/>
    <x v="4030"/>
    <x v="1683"/>
    <n v="36243"/>
    <n v="-854"/>
    <n v="-211"/>
    <x v="3531"/>
    <n v="12822"/>
  </r>
  <r>
    <x v="73"/>
    <x v="4"/>
    <x v="4031"/>
    <x v="1684"/>
    <n v="37790"/>
    <n v="-173"/>
    <n v="461"/>
    <x v="3532"/>
    <n v="-7520"/>
  </r>
  <r>
    <x v="73"/>
    <x v="5"/>
    <x v="4032"/>
    <x v="1685"/>
    <n v="37410"/>
    <n v="1797"/>
    <n v="-305"/>
    <x v="3533"/>
    <n v="-4167"/>
  </r>
  <r>
    <x v="73"/>
    <x v="6"/>
    <x v="4033"/>
    <x v="1686"/>
    <n v="42555"/>
    <n v="-1365"/>
    <n v="84"/>
    <x v="3534"/>
    <n v="10603"/>
  </r>
  <r>
    <x v="73"/>
    <x v="7"/>
    <x v="4034"/>
    <x v="1687"/>
    <n v="44573"/>
    <n v="-5250"/>
    <n v="58"/>
    <x v="3535"/>
    <n v="-10919"/>
  </r>
  <r>
    <x v="73"/>
    <x v="8"/>
    <x v="4035"/>
    <x v="1688"/>
    <n v="49234"/>
    <n v="4063"/>
    <n v="599"/>
    <x v="3536"/>
    <n v="22994"/>
  </r>
  <r>
    <x v="73"/>
    <x v="9"/>
    <x v="4036"/>
    <x v="1689"/>
    <n v="44928"/>
    <n v="-5011"/>
    <n v="-7737"/>
    <x v="3537"/>
    <n v="28623"/>
  </r>
  <r>
    <x v="73"/>
    <x v="10"/>
    <x v="4037"/>
    <x v="1690"/>
    <n v="58020"/>
    <n v="-2472"/>
    <n v="-1327"/>
    <x v="3538"/>
    <n v="9242"/>
  </r>
  <r>
    <x v="73"/>
    <x v="11"/>
    <x v="4038"/>
    <x v="1691"/>
    <n v="63304"/>
    <n v="5949"/>
    <n v="-28"/>
    <x v="3539"/>
    <n v="-1226"/>
  </r>
  <r>
    <x v="73"/>
    <x v="12"/>
    <x v="4039"/>
    <x v="1692"/>
    <n v="57206"/>
    <n v="-2501"/>
    <n v="-1151"/>
    <x v="3540"/>
    <n v="151"/>
  </r>
  <r>
    <x v="73"/>
    <x v="13"/>
    <x v="4040"/>
    <x v="1693"/>
    <n v="61000"/>
    <n v="-5275"/>
    <n v="415"/>
    <x v="3541"/>
    <n v="-1888"/>
  </r>
  <r>
    <x v="73"/>
    <x v="14"/>
    <x v="4041"/>
    <x v="1694"/>
    <n v="66357"/>
    <n v="9522"/>
    <n v="835"/>
    <x v="3542"/>
    <n v="523"/>
  </r>
  <r>
    <x v="73"/>
    <x v="15"/>
    <x v="4042"/>
    <x v="1695"/>
    <n v="56672"/>
    <n v="784"/>
    <n v="1314"/>
    <x v="3543"/>
    <n v="-690"/>
  </r>
  <r>
    <x v="73"/>
    <x v="16"/>
    <x v="4043"/>
    <x v="1696"/>
    <n v="57134"/>
    <n v="-2584"/>
    <n v="2524"/>
    <x v="3544"/>
    <n v="912"/>
  </r>
  <r>
    <x v="73"/>
    <x v="17"/>
    <x v="4044"/>
    <x v="876"/>
    <n v="58764"/>
    <n v="2553"/>
    <n v="512"/>
    <x v="3545"/>
    <n v="-2322"/>
  </r>
  <r>
    <x v="73"/>
    <x v="18"/>
    <x v="4045"/>
    <x v="1697"/>
    <n v="55492"/>
    <n v="-140"/>
    <n v="-202"/>
    <x v="3546"/>
    <n v="-605"/>
  </r>
  <r>
    <x v="73"/>
    <x v="19"/>
    <x v="4046"/>
    <x v="1698"/>
    <n v="55960"/>
    <n v="-659"/>
    <n v="1110"/>
    <x v="3547"/>
    <n v="1677"/>
  </r>
  <r>
    <x v="73"/>
    <x v="20"/>
    <x v="4047"/>
    <x v="1699"/>
    <n v="55588"/>
    <n v="6312"/>
    <n v="357"/>
    <x v="3548"/>
    <n v="1976"/>
  </r>
  <r>
    <x v="73"/>
    <x v="21"/>
    <x v="4048"/>
    <x v="1700"/>
    <n v="48793"/>
    <n v="-5390"/>
    <n v="2412"/>
    <x v="3549"/>
    <n v="-976"/>
  </r>
  <r>
    <x v="73"/>
    <x v="22"/>
    <x v="4049"/>
    <x v="1701"/>
    <n v="51696"/>
    <n v="-1950"/>
    <n v="1523"/>
    <x v="3550"/>
    <n v="1880"/>
  </r>
  <r>
    <x v="73"/>
    <x v="23"/>
    <x v="4050"/>
    <x v="1702"/>
    <n v="52426"/>
    <n v="685"/>
    <n v="2143"/>
    <x v="3551"/>
    <n v="-399"/>
  </r>
  <r>
    <x v="73"/>
    <x v="24"/>
    <x v="4051"/>
    <x v="874"/>
    <n v="53155"/>
    <n v="614"/>
    <n v="-652"/>
    <x v="3552"/>
    <n v="-127"/>
  </r>
  <r>
    <x v="73"/>
    <x v="25"/>
    <x v="731"/>
    <x v="1703"/>
    <n v="53471"/>
    <n v="511"/>
    <n v="-4023"/>
    <x v="2829"/>
    <n v="1"/>
  </r>
  <r>
    <x v="73"/>
    <x v="26"/>
    <x v="4052"/>
    <x v="884"/>
    <n v="57310"/>
    <n v="8977"/>
    <n v="3567"/>
    <x v="3553"/>
    <n v="-9006"/>
  </r>
  <r>
    <x v="73"/>
    <x v="27"/>
    <x v="4053"/>
    <x v="1704"/>
    <n v="44930"/>
    <n v="-99"/>
    <n v="-327"/>
    <x v="3554"/>
    <n v="-152"/>
  </r>
  <r>
    <x v="73"/>
    <x v="28"/>
    <x v="4054"/>
    <x v="1705"/>
    <n v="45516"/>
    <n v="-1484"/>
    <n v="-151"/>
    <x v="3555"/>
    <n v="-1778"/>
  </r>
  <r>
    <x v="73"/>
    <x v="29"/>
    <x v="4055"/>
    <x v="1706"/>
    <n v="47100"/>
    <n v="-2653"/>
    <n v="-2209"/>
    <x v="3556"/>
    <n v="3675"/>
  </r>
  <r>
    <x v="73"/>
    <x v="30"/>
    <x v="4056"/>
    <x v="1707"/>
    <n v="52009"/>
    <n v="8315"/>
    <n v="1684"/>
    <x v="3557"/>
    <n v="-1182"/>
  </r>
  <r>
    <x v="73"/>
    <x v="31"/>
    <x v="4057"/>
    <x v="1708"/>
    <n v="42120"/>
    <n v="461"/>
    <n v="-1153"/>
    <x v="3558"/>
    <n v="-2966"/>
  </r>
  <r>
    <x v="73"/>
    <x v="32"/>
    <x v="4058"/>
    <x v="1709"/>
    <n v="42887"/>
    <n v="320"/>
    <n v="-770"/>
    <x v="3559"/>
    <n v="795"/>
  </r>
  <r>
    <x v="73"/>
    <x v="33"/>
    <x v="4059"/>
    <x v="33"/>
    <n v="43320"/>
    <s v="n.a."/>
    <s v="n.a."/>
    <x v="3560"/>
    <n v="994"/>
  </r>
  <r>
    <x v="73"/>
    <x v="34"/>
    <x v="4060"/>
    <x v="33"/>
    <n v="37940"/>
    <s v="n.a."/>
    <s v="n.a."/>
    <x v="3561"/>
    <n v="9132"/>
  </r>
  <r>
    <x v="73"/>
    <x v="35"/>
    <x v="4061"/>
    <x v="33"/>
    <n v="48076"/>
    <s v="n.a."/>
    <s v="n.a."/>
    <x v="3562"/>
    <n v="-899"/>
  </r>
  <r>
    <x v="73"/>
    <x v="36"/>
    <x v="4062"/>
    <x v="33"/>
    <n v="41602"/>
    <s v="n.a."/>
    <s v="n.a."/>
    <x v="3563"/>
    <n v="1010"/>
  </r>
  <r>
    <x v="73"/>
    <x v="37"/>
    <x v="4063"/>
    <x v="33"/>
    <n v="36577"/>
    <s v="n.a."/>
    <s v="n.a."/>
    <x v="1196"/>
    <n v="-3857"/>
  </r>
  <r>
    <x v="73"/>
    <x v="38"/>
    <x v="4064"/>
    <x v="33"/>
    <n v="32970"/>
    <s v="n.a."/>
    <s v="n.a."/>
    <x v="3564"/>
    <n v="3405"/>
  </r>
  <r>
    <x v="73"/>
    <x v="39"/>
    <x v="4065"/>
    <x v="33"/>
    <n v="29833"/>
    <s v="n.a."/>
    <s v="n.a."/>
    <x v="3565"/>
    <n v="-2011"/>
  </r>
  <r>
    <x v="73"/>
    <x v="40"/>
    <x v="4066"/>
    <x v="33"/>
    <n v="26313"/>
    <s v="n.a."/>
    <s v="n.a."/>
    <x v="3566"/>
    <n v="784"/>
  </r>
  <r>
    <x v="73"/>
    <x v="41"/>
    <x v="4067"/>
    <x v="33"/>
    <n v="25421"/>
    <s v="n.a."/>
    <s v="n.a."/>
    <x v="3567"/>
    <n v="-4009"/>
  </r>
  <r>
    <x v="73"/>
    <x v="42"/>
    <x v="4068"/>
    <x v="33"/>
    <n v="24894"/>
    <s v="n.a."/>
    <s v="n.a."/>
    <x v="3568"/>
    <n v="-790"/>
  </r>
  <r>
    <x v="73"/>
    <x v="43"/>
    <x v="4069"/>
    <x v="33"/>
    <n v="28011"/>
    <s v="n.a."/>
    <s v="n.a."/>
    <x v="3569"/>
    <n v="1960"/>
  </r>
  <r>
    <x v="73"/>
    <x v="44"/>
    <x v="4070"/>
    <x v="33"/>
    <n v="30629"/>
    <s v="n.a."/>
    <s v="n.a."/>
    <x v="3570"/>
    <n v="-1171"/>
  </r>
  <r>
    <x v="73"/>
    <x v="45"/>
    <x v="4071"/>
    <x v="33"/>
    <n v="27936"/>
    <s v="n.a."/>
    <s v="n.a."/>
    <x v="3571"/>
    <n v="-452"/>
  </r>
  <r>
    <x v="73"/>
    <x v="46"/>
    <x v="4072"/>
    <x v="33"/>
    <n v="27460"/>
    <s v="n.a."/>
    <s v="n.a."/>
    <x v="3572"/>
    <n v="-4538"/>
  </r>
  <r>
    <x v="73"/>
    <x v="47"/>
    <x v="4073"/>
    <x v="33"/>
    <n v="26569"/>
    <s v="n.a."/>
    <s v="n.a."/>
    <x v="3573"/>
    <n v="-3399"/>
  </r>
  <r>
    <x v="73"/>
    <x v="48"/>
    <x v="4074"/>
    <x v="33"/>
    <n v="27645"/>
    <s v="n.a."/>
    <s v="n.a."/>
    <x v="3574"/>
    <n v="-333"/>
  </r>
  <r>
    <x v="73"/>
    <x v="49"/>
    <x v="4075"/>
    <x v="33"/>
    <n v="32382"/>
    <s v="n.a."/>
    <s v="n.a."/>
    <x v="3575"/>
    <n v="-1902"/>
  </r>
  <r>
    <x v="73"/>
    <x v="50"/>
    <x v="4076"/>
    <x v="33"/>
    <n v="31105"/>
    <s v="n.a."/>
    <s v="n.a."/>
    <x v="3576"/>
    <n v="481"/>
  </r>
  <r>
    <x v="73"/>
    <x v="51"/>
    <x v="4077"/>
    <x v="33"/>
    <n v="30862"/>
    <s v="n.a."/>
    <s v="n.a."/>
    <x v="3577"/>
    <n v="648"/>
  </r>
  <r>
    <x v="73"/>
    <x v="52"/>
    <x v="4078"/>
    <x v="33"/>
    <n v="34264"/>
    <s v="n.a."/>
    <s v="n.a."/>
    <x v="3578"/>
    <n v="649"/>
  </r>
  <r>
    <x v="73"/>
    <x v="53"/>
    <x v="4079"/>
    <x v="33"/>
    <n v="31438"/>
    <s v="n.a."/>
    <s v="n.a."/>
    <x v="3579"/>
    <n v="7167"/>
  </r>
  <r>
    <x v="73"/>
    <x v="54"/>
    <x v="4080"/>
    <x v="33"/>
    <n v="25006"/>
    <s v="n.a."/>
    <s v="n.a."/>
    <x v="3580"/>
    <n v="-2258"/>
  </r>
  <r>
    <x v="73"/>
    <x v="55"/>
    <x v="4081"/>
    <x v="33"/>
    <n v="24692"/>
    <s v="n.a."/>
    <s v="n.a."/>
    <x v="3581"/>
    <n v="-3672"/>
  </r>
  <r>
    <x v="73"/>
    <x v="56"/>
    <x v="4082"/>
    <x v="33"/>
    <n v="26014"/>
    <s v="n.a."/>
    <s v="n.a."/>
    <x v="3582"/>
    <n v="11689"/>
  </r>
  <r>
    <x v="73"/>
    <x v="57"/>
    <x v="4083"/>
    <x v="33"/>
    <n v="20871"/>
    <s v="n.a."/>
    <s v="n.a."/>
    <x v="3583"/>
    <n v="2189"/>
  </r>
  <r>
    <x v="73"/>
    <x v="58"/>
    <x v="4084"/>
    <x v="33"/>
    <n v="21438"/>
    <s v="n.a."/>
    <s v="n.a."/>
    <x v="3584"/>
    <n v="-659"/>
  </r>
  <r>
    <x v="73"/>
    <x v="59"/>
    <x v="4085"/>
    <x v="33"/>
    <n v="25402"/>
    <s v="n.a."/>
    <s v="n.a."/>
    <x v="3585"/>
    <n v="1195"/>
  </r>
  <r>
    <x v="73"/>
    <x v="60"/>
    <x v="4086"/>
    <x v="33"/>
    <n v="18857"/>
    <s v="n.a."/>
    <s v="n.a."/>
    <x v="3586"/>
    <n v="-24"/>
  </r>
  <r>
    <x v="73"/>
    <x v="61"/>
    <x v="1898"/>
    <x v="33"/>
    <n v="22907"/>
    <s v="n.a."/>
    <s v="n.a."/>
    <x v="3587"/>
    <n v="-1263"/>
  </r>
  <r>
    <x v="73"/>
    <x v="62"/>
    <x v="4087"/>
    <x v="33"/>
    <n v="25081"/>
    <s v="n.a."/>
    <s v="n.a."/>
    <x v="3588"/>
    <n v="-1176"/>
  </r>
  <r>
    <x v="73"/>
    <x v="63"/>
    <x v="4088"/>
    <x v="33"/>
    <n v="16858"/>
    <s v="n.a."/>
    <s v="n.a."/>
    <x v="3589"/>
    <n v="1851"/>
  </r>
  <r>
    <x v="73"/>
    <x v="64"/>
    <x v="4089"/>
    <x v="33"/>
    <n v="15292"/>
    <s v="n.a."/>
    <s v="n.a."/>
    <x v="3590"/>
    <n v="-2375"/>
  </r>
  <r>
    <x v="73"/>
    <x v="65"/>
    <x v="4090"/>
    <x v="33"/>
    <n v="14747"/>
    <s v="n.a."/>
    <s v="n.a."/>
    <x v="3591"/>
    <n v="3771"/>
  </r>
  <r>
    <x v="73"/>
    <x v="66"/>
    <x v="4091"/>
    <x v="33"/>
    <n v="16856"/>
    <s v="n.a."/>
    <s v="n.a."/>
    <x v="3592"/>
    <n v="689"/>
  </r>
  <r>
    <x v="73"/>
    <x v="67"/>
    <x v="4092"/>
    <x v="33"/>
    <n v="19293"/>
    <s v="n.a."/>
    <s v="n.a."/>
    <x v="3593"/>
    <n v="-4003"/>
  </r>
  <r>
    <x v="73"/>
    <x v="68"/>
    <x v="4093"/>
    <x v="33"/>
    <n v="24538"/>
    <s v="n.a."/>
    <s v="n.a."/>
    <x v="3594"/>
    <n v="-3162"/>
  </r>
  <r>
    <x v="73"/>
    <x v="69"/>
    <x v="4094"/>
    <x v="33"/>
    <n v="23895"/>
    <s v="n.a."/>
    <s v="n.a."/>
    <x v="3595"/>
    <n v="1517"/>
  </r>
  <r>
    <x v="74"/>
    <x v="0"/>
    <x v="4095"/>
    <x v="1710"/>
    <n v="3335221"/>
    <n v="5367"/>
    <n v="14464"/>
    <x v="3596"/>
    <n v="11987"/>
  </r>
  <r>
    <x v="74"/>
    <x v="1"/>
    <x v="4096"/>
    <x v="1711"/>
    <n v="3320312"/>
    <n v="-13349"/>
    <n v="20181"/>
    <x v="3597"/>
    <n v="-17076"/>
  </r>
  <r>
    <x v="74"/>
    <x v="2"/>
    <x v="4097"/>
    <x v="1712"/>
    <n v="3319288"/>
    <n v="14337"/>
    <n v="27984"/>
    <x v="3598"/>
    <n v="8512"/>
  </r>
  <r>
    <x v="74"/>
    <x v="3"/>
    <x v="4098"/>
    <x v="1713"/>
    <n v="3268070"/>
    <n v="-111"/>
    <n v="-12353"/>
    <x v="3599"/>
    <n v="8581"/>
  </r>
  <r>
    <x v="74"/>
    <x v="4"/>
    <x v="4099"/>
    <x v="1714"/>
    <n v="3286904"/>
    <n v="-19866"/>
    <n v="30381"/>
    <x v="3600"/>
    <n v="1143"/>
  </r>
  <r>
    <x v="74"/>
    <x v="5"/>
    <x v="4100"/>
    <x v="1715"/>
    <n v="3278223"/>
    <n v="38363"/>
    <n v="-28262"/>
    <x v="3601"/>
    <n v="-5782"/>
  </r>
  <r>
    <x v="74"/>
    <x v="6"/>
    <x v="4101"/>
    <x v="1716"/>
    <n v="3280402"/>
    <n v="-18777"/>
    <n v="14460"/>
    <x v="3602"/>
    <n v="-7914"/>
  </r>
  <r>
    <x v="74"/>
    <x v="7"/>
    <x v="4102"/>
    <x v="1717"/>
    <n v="3306778"/>
    <n v="-17102"/>
    <n v="2863"/>
    <x v="3603"/>
    <n v="534"/>
  </r>
  <r>
    <x v="74"/>
    <x v="8"/>
    <x v="4103"/>
    <x v="1718"/>
    <n v="3326562"/>
    <n v="28004"/>
    <n v="65619"/>
    <x v="3604"/>
    <n v="60422"/>
  </r>
  <r>
    <x v="74"/>
    <x v="9"/>
    <x v="4104"/>
    <x v="1719"/>
    <n v="3241073"/>
    <n v="-5527"/>
    <n v="935"/>
    <x v="3605"/>
    <n v="54398"/>
  </r>
  <r>
    <x v="74"/>
    <x v="10"/>
    <x v="4105"/>
    <x v="1720"/>
    <n v="3256061"/>
    <n v="-26388"/>
    <n v="-56614"/>
    <x v="3606"/>
    <n v="13773"/>
  </r>
  <r>
    <x v="74"/>
    <x v="11"/>
    <x v="4106"/>
    <x v="1721"/>
    <n v="3338523"/>
    <n v="-15651"/>
    <n v="27445"/>
    <x v="3607"/>
    <n v="1026"/>
  </r>
  <r>
    <x v="74"/>
    <x v="12"/>
    <x v="4107"/>
    <x v="1722"/>
    <n v="3344828"/>
    <n v="79388"/>
    <n v="-59484"/>
    <x v="3608"/>
    <n v="-1618"/>
  </r>
  <r>
    <x v="74"/>
    <x v="13"/>
    <x v="4108"/>
    <x v="1723"/>
    <n v="3340894"/>
    <n v="-23942"/>
    <n v="20143"/>
    <x v="3609"/>
    <n v="21739"/>
  </r>
  <r>
    <x v="74"/>
    <x v="14"/>
    <x v="4109"/>
    <x v="1724"/>
    <n v="3342054"/>
    <n v="-21958"/>
    <n v="38024"/>
    <x v="3610"/>
    <n v="39651"/>
  </r>
  <r>
    <x v="74"/>
    <x v="15"/>
    <x v="4110"/>
    <x v="1725"/>
    <n v="3329965"/>
    <n v="-16147"/>
    <n v="49530"/>
    <x v="3611"/>
    <n v="9755"/>
  </r>
  <r>
    <x v="74"/>
    <x v="16"/>
    <x v="4111"/>
    <x v="1726"/>
    <n v="3299668"/>
    <n v="-22353"/>
    <n v="37261"/>
    <x v="3612"/>
    <n v="16355"/>
  </r>
  <r>
    <x v="74"/>
    <x v="17"/>
    <x v="4112"/>
    <x v="1727"/>
    <n v="3292520"/>
    <n v="-12953"/>
    <n v="32056"/>
    <x v="3613"/>
    <n v="-10368"/>
  </r>
  <r>
    <x v="74"/>
    <x v="18"/>
    <x v="4113"/>
    <x v="1728"/>
    <n v="3278275"/>
    <n v="69260"/>
    <n v="-72505"/>
    <x v="3614"/>
    <n v="-6505"/>
  </r>
  <r>
    <x v="74"/>
    <x v="19"/>
    <x v="4114"/>
    <x v="1729"/>
    <n v="3288157"/>
    <n v="4272"/>
    <n v="17697"/>
    <x v="3615"/>
    <n v="5279"/>
  </r>
  <r>
    <x v="74"/>
    <x v="20"/>
    <x v="4115"/>
    <x v="1730"/>
    <n v="3263442"/>
    <n v="33189"/>
    <n v="-42143"/>
    <x v="3616"/>
    <n v="16162"/>
  </r>
  <r>
    <x v="74"/>
    <x v="21"/>
    <x v="4116"/>
    <x v="1731"/>
    <n v="3300251"/>
    <n v="658"/>
    <n v="8865"/>
    <x v="3617"/>
    <n v="3949"/>
  </r>
  <r>
    <x v="74"/>
    <x v="22"/>
    <x v="4117"/>
    <x v="1732"/>
    <n v="3299079"/>
    <n v="1978"/>
    <n v="82490"/>
    <x v="3618"/>
    <n v="13046"/>
  </r>
  <r>
    <x v="74"/>
    <x v="23"/>
    <x v="4118"/>
    <x v="1733"/>
    <n v="3232565"/>
    <n v="-866"/>
    <n v="96951"/>
    <x v="3619"/>
    <n v="17158"/>
  </r>
  <r>
    <x v="74"/>
    <x v="24"/>
    <x v="4119"/>
    <x v="1734"/>
    <n v="3149583"/>
    <n v="24726"/>
    <n v="-33905"/>
    <x v="3620"/>
    <n v="-7269"/>
  </r>
  <r>
    <x v="74"/>
    <x v="25"/>
    <x v="4120"/>
    <x v="76"/>
    <n v="3156616"/>
    <n v="-16"/>
    <n v="-66494"/>
    <x v="3621"/>
    <n v="-56"/>
  </r>
  <r>
    <x v="74"/>
    <x v="26"/>
    <x v="4121"/>
    <x v="1735"/>
    <n v="3226488"/>
    <n v="154"/>
    <n v="-12920"/>
    <x v="3622"/>
    <n v="-3932"/>
  </r>
  <r>
    <x v="74"/>
    <x v="27"/>
    <x v="4122"/>
    <x v="1736"/>
    <n v="3240961"/>
    <n v="-2318"/>
    <n v="-12083"/>
    <x v="3623"/>
    <n v="11419"/>
  </r>
  <r>
    <x v="74"/>
    <x v="28"/>
    <x v="4123"/>
    <x v="1737"/>
    <n v="3255157"/>
    <n v="-6093"/>
    <n v="-24484"/>
    <x v="3624"/>
    <n v="-11148"/>
  </r>
  <r>
    <x v="74"/>
    <x v="29"/>
    <x v="4124"/>
    <x v="1738"/>
    <n v="3277653"/>
    <n v="440"/>
    <n v="-38977"/>
    <x v="3625"/>
    <n v="-18943"/>
  </r>
  <r>
    <x v="74"/>
    <x v="30"/>
    <x v="4125"/>
    <x v="1739"/>
    <n v="3319825"/>
    <n v="57532"/>
    <n v="12531"/>
    <x v="3626"/>
    <n v="-17622"/>
  </r>
  <r>
    <x v="74"/>
    <x v="31"/>
    <x v="4126"/>
    <x v="1740"/>
    <n v="3255059"/>
    <n v="-11363"/>
    <n v="71495"/>
    <x v="3627"/>
    <n v="5142"/>
  </r>
  <r>
    <x v="74"/>
    <x v="32"/>
    <x v="4127"/>
    <x v="1741"/>
    <n v="3186588"/>
    <n v="29625"/>
    <n v="-60571"/>
    <x v="3628"/>
    <n v="-591"/>
  </r>
  <r>
    <x v="74"/>
    <x v="33"/>
    <x v="4128"/>
    <x v="33"/>
    <n v="3223373"/>
    <s v="n.a."/>
    <s v="n.a."/>
    <x v="3629"/>
    <n v="-2777"/>
  </r>
  <r>
    <x v="74"/>
    <x v="34"/>
    <x v="4129"/>
    <x v="33"/>
    <n v="3168194"/>
    <s v="n.a."/>
    <s v="n.a."/>
    <x v="3630"/>
    <n v="23459"/>
  </r>
  <r>
    <x v="74"/>
    <x v="35"/>
    <x v="4130"/>
    <x v="33"/>
    <n v="3183924"/>
    <s v="n.a."/>
    <s v="n.a."/>
    <x v="3631"/>
    <n v="13143"/>
  </r>
  <r>
    <x v="74"/>
    <x v="36"/>
    <x v="4131"/>
    <x v="33"/>
    <n v="3130621"/>
    <s v="n.a."/>
    <s v="n.a."/>
    <x v="3632"/>
    <n v="-11995"/>
  </r>
  <r>
    <x v="74"/>
    <x v="37"/>
    <x v="4132"/>
    <x v="33"/>
    <n v="3198529"/>
    <s v="n.a."/>
    <s v="n.a."/>
    <x v="3633"/>
    <n v="-11059"/>
  </r>
  <r>
    <x v="74"/>
    <x v="38"/>
    <x v="4133"/>
    <x v="33"/>
    <n v="3373872"/>
    <s v="n.a."/>
    <s v="n.a."/>
    <x v="3634"/>
    <n v="20"/>
  </r>
  <r>
    <x v="74"/>
    <x v="39"/>
    <x v="4134"/>
    <x v="33"/>
    <n v="3396556"/>
    <s v="n.a."/>
    <s v="n.a."/>
    <x v="3635"/>
    <n v="5213"/>
  </r>
  <r>
    <x v="74"/>
    <x v="40"/>
    <x v="4135"/>
    <x v="33"/>
    <n v="3369226"/>
    <s v="n.a."/>
    <s v="n.a."/>
    <x v="3636"/>
    <n v="-13836"/>
  </r>
  <r>
    <x v="74"/>
    <x v="41"/>
    <x v="4136"/>
    <x v="33"/>
    <n v="3341231"/>
    <s v="n.a."/>
    <s v="n.a."/>
    <x v="3637"/>
    <n v="-19541"/>
  </r>
  <r>
    <x v="74"/>
    <x v="42"/>
    <x v="4137"/>
    <x v="33"/>
    <n v="3360017"/>
    <s v="n.a."/>
    <s v="n.a."/>
    <x v="3638"/>
    <n v="-305"/>
  </r>
  <r>
    <x v="74"/>
    <x v="43"/>
    <x v="4138"/>
    <x v="33"/>
    <n v="3468313"/>
    <s v="n.a."/>
    <s v="n.a."/>
    <x v="3639"/>
    <n v="8457"/>
  </r>
  <r>
    <x v="74"/>
    <x v="44"/>
    <x v="4139"/>
    <x v="33"/>
    <n v="3590539"/>
    <s v="n.a."/>
    <s v="n.a."/>
    <x v="3640"/>
    <n v="1407"/>
  </r>
  <r>
    <x v="74"/>
    <x v="45"/>
    <x v="4140"/>
    <x v="33"/>
    <n v="3613268"/>
    <s v="n.a."/>
    <s v="n.a."/>
    <x v="3641"/>
    <n v="6153"/>
  </r>
  <r>
    <x v="74"/>
    <x v="46"/>
    <x v="4141"/>
    <x v="33"/>
    <n v="3632484"/>
    <s v="n.a."/>
    <s v="n.a."/>
    <x v="3642"/>
    <n v="5201"/>
  </r>
  <r>
    <x v="74"/>
    <x v="47"/>
    <x v="4142"/>
    <x v="33"/>
    <n v="3681348"/>
    <s v="n.a."/>
    <s v="n.a."/>
    <x v="3643"/>
    <n v="5820"/>
  </r>
  <r>
    <x v="74"/>
    <x v="48"/>
    <x v="4143"/>
    <x v="33"/>
    <n v="3689888"/>
    <s v="n.a."/>
    <s v="n.a."/>
    <x v="3644"/>
    <n v="3549"/>
  </r>
  <r>
    <x v="74"/>
    <x v="49"/>
    <x v="4144"/>
    <x v="33"/>
    <n v="3672640"/>
    <s v="n.a."/>
    <s v="n.a."/>
    <x v="3645"/>
    <n v="1471"/>
  </r>
  <r>
    <x v="74"/>
    <x v="50"/>
    <x v="4145"/>
    <x v="33"/>
    <n v="3678432"/>
    <s v="n.a."/>
    <s v="n.a."/>
    <x v="3646"/>
    <n v="-10393"/>
  </r>
  <r>
    <x v="74"/>
    <x v="51"/>
    <x v="4146"/>
    <x v="33"/>
    <n v="3697196"/>
    <s v="n.a."/>
    <s v="n.a."/>
    <x v="3647"/>
    <n v="6902"/>
  </r>
  <r>
    <x v="74"/>
    <x v="52"/>
    <x v="4147"/>
    <x v="33"/>
    <n v="3652379"/>
    <s v="n.a."/>
    <s v="n.a."/>
    <x v="3648"/>
    <n v="-11623"/>
  </r>
  <r>
    <x v="74"/>
    <x v="53"/>
    <x v="4148"/>
    <x v="33"/>
    <n v="3613968"/>
    <s v="n.a."/>
    <s v="n.a."/>
    <x v="3649"/>
    <n v="-18969"/>
  </r>
  <r>
    <x v="74"/>
    <x v="54"/>
    <x v="4149"/>
    <x v="33"/>
    <n v="3593091"/>
    <s v="n.a."/>
    <s v="n.a."/>
    <x v="3650"/>
    <n v="-39855"/>
  </r>
  <r>
    <x v="74"/>
    <x v="55"/>
    <x v="4150"/>
    <x v="33"/>
    <n v="3530954"/>
    <s v="n.a."/>
    <s v="n.a."/>
    <x v="3651"/>
    <n v="-34972"/>
  </r>
  <r>
    <x v="74"/>
    <x v="56"/>
    <x v="4151"/>
    <x v="33"/>
    <n v="3531978"/>
    <s v="n.a."/>
    <s v="n.a."/>
    <x v="3652"/>
    <n v="30294"/>
  </r>
  <r>
    <x v="74"/>
    <x v="57"/>
    <x v="4152"/>
    <x v="33"/>
    <n v="3565009"/>
    <s v="n.a."/>
    <s v="n.a."/>
    <x v="3653"/>
    <n v="13273"/>
  </r>
  <r>
    <x v="74"/>
    <x v="58"/>
    <x v="4153"/>
    <x v="33"/>
    <n v="3529588"/>
    <s v="n.a."/>
    <s v="n.a."/>
    <x v="3654"/>
    <n v="-6447"/>
  </r>
  <r>
    <x v="74"/>
    <x v="59"/>
    <x v="4154"/>
    <x v="33"/>
    <n v="3524282"/>
    <s v="n.a."/>
    <s v="n.a."/>
    <x v="3655"/>
    <n v="-2186"/>
  </r>
  <r>
    <x v="74"/>
    <x v="60"/>
    <x v="4155"/>
    <x v="33"/>
    <n v="3512245"/>
    <s v="n.a."/>
    <s v="n.a."/>
    <x v="3656"/>
    <n v="-54"/>
  </r>
  <r>
    <x v="74"/>
    <x v="61"/>
    <x v="4156"/>
    <x v="33"/>
    <n v="3529092"/>
    <s v="n.a."/>
    <s v="n.a."/>
    <x v="3657"/>
    <n v="696"/>
  </r>
  <r>
    <x v="74"/>
    <x v="62"/>
    <x v="4157"/>
    <x v="33"/>
    <n v="3527701"/>
    <s v="n.a."/>
    <s v="n.a."/>
    <x v="3658"/>
    <n v="-10110"/>
  </r>
  <r>
    <x v="74"/>
    <x v="63"/>
    <x v="4158"/>
    <x v="33"/>
    <n v="3536745"/>
    <s v="n.a."/>
    <s v="n.a."/>
    <x v="3659"/>
    <n v="12412"/>
  </r>
  <r>
    <x v="74"/>
    <x v="64"/>
    <x v="4159"/>
    <x v="33"/>
    <n v="3485349"/>
    <s v="n.a."/>
    <s v="n.a."/>
    <x v="3660"/>
    <n v="7541"/>
  </r>
  <r>
    <x v="74"/>
    <x v="65"/>
    <x v="4160"/>
    <x v="33"/>
    <n v="3477467"/>
    <s v="n.a."/>
    <s v="n.a."/>
    <x v="3661"/>
    <n v="28361"/>
  </r>
  <r>
    <x v="74"/>
    <x v="66"/>
    <x v="4161"/>
    <x v="33"/>
    <n v="3474974"/>
    <s v="n.a."/>
    <s v="n.a."/>
    <x v="3662"/>
    <n v="37085"/>
  </r>
  <r>
    <x v="74"/>
    <x v="67"/>
    <x v="4162"/>
    <x v="33"/>
    <n v="3544973"/>
    <s v="n.a."/>
    <s v="n.a."/>
    <x v="3663"/>
    <n v="-18756"/>
  </r>
  <r>
    <x v="74"/>
    <x v="68"/>
    <x v="4163"/>
    <x v="33"/>
    <n v="3640408"/>
    <s v="n.a."/>
    <s v="n.a."/>
    <x v="3664"/>
    <n v="7171"/>
  </r>
  <r>
    <x v="74"/>
    <x v="69"/>
    <x v="4164"/>
    <x v="33"/>
    <n v="3548912"/>
    <s v="n.a."/>
    <s v="n.a."/>
    <x v="3665"/>
    <n v="18501"/>
  </r>
  <r>
    <x v="75"/>
    <x v="0"/>
    <x v="4165"/>
    <x v="416"/>
    <n v="44"/>
    <n v="0"/>
    <n v="0"/>
    <x v="1749"/>
    <n v="24"/>
  </r>
  <r>
    <x v="75"/>
    <x v="1"/>
    <x v="4166"/>
    <x v="94"/>
    <n v="44"/>
    <n v="1"/>
    <n v="-1"/>
    <x v="139"/>
    <n v="3"/>
  </r>
  <r>
    <x v="75"/>
    <x v="2"/>
    <x v="4167"/>
    <x v="531"/>
    <n v="44"/>
    <n v="1"/>
    <n v="0"/>
    <x v="1790"/>
    <n v="0"/>
  </r>
  <r>
    <x v="75"/>
    <x v="3"/>
    <x v="4168"/>
    <x v="577"/>
    <n v="43"/>
    <n v="1"/>
    <n v="0"/>
    <x v="1790"/>
    <n v="9"/>
  </r>
  <r>
    <x v="75"/>
    <x v="4"/>
    <x v="4169"/>
    <x v="895"/>
    <n v="42"/>
    <n v="-3"/>
    <n v="-1"/>
    <x v="267"/>
    <n v="-95"/>
  </r>
  <r>
    <x v="75"/>
    <x v="5"/>
    <x v="4170"/>
    <x v="148"/>
    <n v="48"/>
    <n v="2"/>
    <n v="0"/>
    <x v="1880"/>
    <n v="42"/>
  </r>
  <r>
    <x v="75"/>
    <x v="6"/>
    <x v="4171"/>
    <x v="98"/>
    <n v="45"/>
    <n v="6"/>
    <n v="0"/>
    <x v="752"/>
    <n v="9"/>
  </r>
  <r>
    <x v="75"/>
    <x v="7"/>
    <x v="4172"/>
    <x v="71"/>
    <n v="39"/>
    <n v="0"/>
    <n v="-1"/>
    <x v="3666"/>
    <n v="25"/>
  </r>
  <r>
    <x v="75"/>
    <x v="8"/>
    <x v="4173"/>
    <x v="82"/>
    <n v="42"/>
    <n v="1"/>
    <n v="1"/>
    <x v="747"/>
    <n v="36"/>
  </r>
  <r>
    <x v="75"/>
    <x v="9"/>
    <x v="4174"/>
    <x v="90"/>
    <n v="43"/>
    <n v="2"/>
    <n v="0"/>
    <x v="264"/>
    <n v="27"/>
  </r>
  <r>
    <x v="75"/>
    <x v="10"/>
    <x v="4175"/>
    <x v="575"/>
    <n v="40"/>
    <n v="-2"/>
    <n v="-1"/>
    <x v="42"/>
    <n v="4"/>
  </r>
  <r>
    <x v="75"/>
    <x v="11"/>
    <x v="4176"/>
    <x v="1526"/>
    <n v="43"/>
    <n v="2"/>
    <n v="-1"/>
    <x v="2127"/>
    <n v="-37"/>
  </r>
  <r>
    <x v="75"/>
    <x v="12"/>
    <x v="4177"/>
    <x v="1742"/>
    <n v="43"/>
    <n v="0"/>
    <n v="-1"/>
    <x v="3667"/>
    <n v="18"/>
  </r>
  <r>
    <x v="75"/>
    <x v="13"/>
    <x v="4178"/>
    <x v="80"/>
    <n v="42"/>
    <n v="0"/>
    <n v="0"/>
    <x v="3668"/>
    <n v="100"/>
  </r>
  <r>
    <x v="75"/>
    <x v="14"/>
    <x v="4179"/>
    <x v="1743"/>
    <n v="42"/>
    <n v="0"/>
    <n v="0"/>
    <x v="273"/>
    <n v="-17"/>
  </r>
  <r>
    <x v="75"/>
    <x v="15"/>
    <x v="4180"/>
    <x v="91"/>
    <n v="42"/>
    <n v="0"/>
    <n v="1"/>
    <x v="2032"/>
    <n v="11"/>
  </r>
  <r>
    <x v="75"/>
    <x v="16"/>
    <x v="4181"/>
    <x v="578"/>
    <n v="40"/>
    <n v="0"/>
    <n v="2"/>
    <x v="1833"/>
    <n v="-2"/>
  </r>
  <r>
    <x v="75"/>
    <x v="17"/>
    <x v="4182"/>
    <x v="579"/>
    <n v="41"/>
    <n v="-2"/>
    <n v="1"/>
    <x v="1888"/>
    <n v="11"/>
  </r>
  <r>
    <x v="75"/>
    <x v="18"/>
    <x v="4183"/>
    <x v="1744"/>
    <n v="41"/>
    <n v="4"/>
    <n v="-1"/>
    <x v="938"/>
    <n v="-11"/>
  </r>
  <r>
    <x v="75"/>
    <x v="19"/>
    <x v="2044"/>
    <x v="575"/>
    <n v="39"/>
    <n v="1"/>
    <n v="0"/>
    <x v="1888"/>
    <n v="1"/>
  </r>
  <r>
    <x v="75"/>
    <x v="20"/>
    <x v="2042"/>
    <x v="416"/>
    <n v="38"/>
    <n v="3"/>
    <n v="0"/>
    <x v="808"/>
    <n v="21"/>
  </r>
  <r>
    <x v="75"/>
    <x v="21"/>
    <x v="4184"/>
    <x v="883"/>
    <n v="35"/>
    <n v="-2"/>
    <n v="15"/>
    <x v="2044"/>
    <n v="144"/>
  </r>
  <r>
    <x v="75"/>
    <x v="22"/>
    <x v="186"/>
    <x v="407"/>
    <n v="37"/>
    <n v="7"/>
    <n v="20"/>
    <x v="3211"/>
    <n v="-52"/>
  </r>
  <r>
    <x v="75"/>
    <x v="23"/>
    <x v="4185"/>
    <x v="576"/>
    <n v="30"/>
    <n v="0"/>
    <n v="0"/>
    <x v="3669"/>
    <n v="0"/>
  </r>
  <r>
    <x v="75"/>
    <x v="24"/>
    <x v="4185"/>
    <x v="579"/>
    <n v="30"/>
    <n v="5"/>
    <n v="0"/>
    <x v="3669"/>
    <n v="4"/>
  </r>
  <r>
    <x v="75"/>
    <x v="25"/>
    <x v="2034"/>
    <x v="1077"/>
    <n v="25"/>
    <n v="0"/>
    <n v="0"/>
    <x v="169"/>
    <n v="-11"/>
  </r>
  <r>
    <x v="75"/>
    <x v="26"/>
    <x v="4186"/>
    <x v="993"/>
    <n v="26"/>
    <n v="0"/>
    <n v="0"/>
    <x v="1875"/>
    <n v="-53"/>
  </r>
  <r>
    <x v="75"/>
    <x v="27"/>
    <x v="4187"/>
    <x v="1745"/>
    <n v="26"/>
    <n v="0"/>
    <n v="0"/>
    <x v="778"/>
    <n v="147"/>
  </r>
  <r>
    <x v="75"/>
    <x v="28"/>
    <x v="2444"/>
    <x v="1746"/>
    <n v="26"/>
    <n v="0"/>
    <n v="0"/>
    <x v="318"/>
    <n v="51"/>
  </r>
  <r>
    <x v="75"/>
    <x v="29"/>
    <x v="2434"/>
    <x v="99"/>
    <n v="26"/>
    <n v="0"/>
    <n v="0"/>
    <x v="180"/>
    <n v="5"/>
  </r>
  <r>
    <x v="75"/>
    <x v="30"/>
    <x v="4188"/>
    <x v="1744"/>
    <n v="26"/>
    <n v="2"/>
    <n v="0"/>
    <x v="191"/>
    <n v="-9"/>
  </r>
  <r>
    <x v="75"/>
    <x v="31"/>
    <x v="2436"/>
    <x v="1747"/>
    <n v="25"/>
    <n v="0"/>
    <n v="-1"/>
    <x v="187"/>
    <n v="23"/>
  </r>
  <r>
    <x v="75"/>
    <x v="32"/>
    <x v="4189"/>
    <x v="578"/>
    <n v="25"/>
    <n v="0"/>
    <n v="1"/>
    <x v="1798"/>
    <n v="-2"/>
  </r>
  <r>
    <x v="75"/>
    <x v="33"/>
    <x v="1261"/>
    <x v="33"/>
    <n v="24"/>
    <s v="n.a."/>
    <s v="n.a."/>
    <x v="2280"/>
    <n v="33"/>
  </r>
  <r>
    <x v="75"/>
    <x v="34"/>
    <x v="4190"/>
    <x v="33"/>
    <n v="24"/>
    <s v="n.a."/>
    <s v="n.a."/>
    <x v="1130"/>
    <n v="2"/>
  </r>
  <r>
    <x v="75"/>
    <x v="35"/>
    <x v="4191"/>
    <x v="33"/>
    <n v="23"/>
    <s v="n.a."/>
    <s v="n.a."/>
    <x v="758"/>
    <n v="0"/>
  </r>
  <r>
    <x v="75"/>
    <x v="36"/>
    <x v="4191"/>
    <x v="33"/>
    <n v="23"/>
    <s v="n.a."/>
    <s v="n.a."/>
    <x v="758"/>
    <n v="1"/>
  </r>
  <r>
    <x v="75"/>
    <x v="37"/>
    <x v="1252"/>
    <x v="33"/>
    <n v="23"/>
    <s v="n.a."/>
    <s v="n.a."/>
    <x v="1138"/>
    <n v="1"/>
  </r>
  <r>
    <x v="75"/>
    <x v="38"/>
    <x v="4192"/>
    <x v="33"/>
    <n v="20"/>
    <s v="n.a."/>
    <s v="n.a."/>
    <x v="1136"/>
    <n v="1"/>
  </r>
  <r>
    <x v="75"/>
    <x v="39"/>
    <x v="4193"/>
    <x v="33"/>
    <n v="23"/>
    <s v="n.a."/>
    <s v="n.a."/>
    <x v="781"/>
    <n v="-1"/>
  </r>
  <r>
    <x v="75"/>
    <x v="40"/>
    <x v="1263"/>
    <x v="33"/>
    <n v="21"/>
    <s v="n.a."/>
    <s v="n.a."/>
    <x v="1136"/>
    <n v="1"/>
  </r>
  <r>
    <x v="75"/>
    <x v="41"/>
    <x v="4192"/>
    <x v="33"/>
    <n v="21"/>
    <s v="n.a."/>
    <s v="n.a."/>
    <x v="781"/>
    <n v="-1"/>
  </r>
  <r>
    <x v="75"/>
    <x v="42"/>
    <x v="4191"/>
    <x v="33"/>
    <n v="25"/>
    <s v="n.a."/>
    <s v="n.a."/>
    <x v="1136"/>
    <n v="11"/>
  </r>
  <r>
    <x v="75"/>
    <x v="43"/>
    <x v="1253"/>
    <x v="33"/>
    <n v="27"/>
    <s v="n.a."/>
    <s v="n.a."/>
    <x v="1135"/>
    <n v="0"/>
  </r>
  <r>
    <x v="75"/>
    <x v="44"/>
    <x v="4194"/>
    <x v="33"/>
    <n v="25"/>
    <s v="n.a."/>
    <s v="n.a."/>
    <x v="1135"/>
    <n v="0"/>
  </r>
  <r>
    <x v="75"/>
    <x v="45"/>
    <x v="4195"/>
    <x v="33"/>
    <n v="22"/>
    <s v="n.a."/>
    <s v="n.a."/>
    <x v="1135"/>
    <n v="0"/>
  </r>
  <r>
    <x v="75"/>
    <x v="46"/>
    <x v="4195"/>
    <x v="33"/>
    <n v="22"/>
    <s v="n.a."/>
    <s v="n.a."/>
    <x v="1135"/>
    <n v="0"/>
  </r>
  <r>
    <x v="75"/>
    <x v="47"/>
    <x v="4195"/>
    <x v="33"/>
    <n v="22"/>
    <s v="n.a."/>
    <s v="n.a."/>
    <x v="1135"/>
    <n v="0"/>
  </r>
  <r>
    <x v="75"/>
    <x v="48"/>
    <x v="4195"/>
    <x v="33"/>
    <n v="22"/>
    <s v="n.a."/>
    <s v="n.a."/>
    <x v="1135"/>
    <n v="-3"/>
  </r>
  <r>
    <x v="75"/>
    <x v="49"/>
    <x v="4196"/>
    <x v="33"/>
    <n v="23"/>
    <s v="n.a."/>
    <s v="n.a."/>
    <x v="1131"/>
    <n v="0"/>
  </r>
  <r>
    <x v="75"/>
    <x v="50"/>
    <x v="4196"/>
    <x v="33"/>
    <n v="23"/>
    <s v="n.a."/>
    <s v="n.a."/>
    <x v="1131"/>
    <n v="0"/>
  </r>
  <r>
    <x v="75"/>
    <x v="51"/>
    <x v="1246"/>
    <x v="33"/>
    <n v="26"/>
    <s v="n.a."/>
    <s v="n.a."/>
    <x v="1131"/>
    <n v="-99"/>
  </r>
  <r>
    <x v="75"/>
    <x v="52"/>
    <x v="4197"/>
    <x v="33"/>
    <n v="25"/>
    <s v="n.a."/>
    <s v="n.a."/>
    <x v="1806"/>
    <n v="0"/>
  </r>
  <r>
    <x v="75"/>
    <x v="53"/>
    <x v="4198"/>
    <x v="33"/>
    <n v="24"/>
    <s v="n.a."/>
    <s v="n.a."/>
    <x v="1806"/>
    <n v="39"/>
  </r>
  <r>
    <x v="75"/>
    <x v="54"/>
    <x v="4199"/>
    <x v="33"/>
    <n v="26"/>
    <s v="n.a."/>
    <s v="n.a."/>
    <x v="2143"/>
    <n v="0"/>
  </r>
  <r>
    <x v="75"/>
    <x v="55"/>
    <x v="4199"/>
    <x v="33"/>
    <n v="26"/>
    <s v="n.a."/>
    <s v="n.a."/>
    <x v="2143"/>
    <n v="38"/>
  </r>
  <r>
    <x v="75"/>
    <x v="56"/>
    <x v="1261"/>
    <x v="33"/>
    <n v="47"/>
    <s v="n.a."/>
    <s v="n.a."/>
    <x v="761"/>
    <n v="3"/>
  </r>
  <r>
    <x v="75"/>
    <x v="57"/>
    <x v="1261"/>
    <x v="33"/>
    <n v="50"/>
    <s v="n.a."/>
    <s v="n.a."/>
    <x v="784"/>
    <n v="5"/>
  </r>
  <r>
    <x v="75"/>
    <x v="58"/>
    <x v="4200"/>
    <x v="33"/>
    <n v="50"/>
    <s v="n.a."/>
    <s v="n.a."/>
    <x v="3670"/>
    <n v="-12"/>
  </r>
  <r>
    <x v="75"/>
    <x v="59"/>
    <x v="4201"/>
    <x v="33"/>
    <n v="52"/>
    <s v="n.a."/>
    <s v="n.a."/>
    <x v="3671"/>
    <n v="11"/>
  </r>
  <r>
    <x v="75"/>
    <x v="60"/>
    <x v="4189"/>
    <x v="33"/>
    <n v="53"/>
    <s v="n.a."/>
    <s v="n.a."/>
    <x v="3672"/>
    <n v="-10"/>
  </r>
  <r>
    <x v="75"/>
    <x v="61"/>
    <x v="4202"/>
    <x v="33"/>
    <n v="54"/>
    <s v="n.a."/>
    <s v="n.a."/>
    <x v="2138"/>
    <n v="0"/>
  </r>
  <r>
    <x v="75"/>
    <x v="62"/>
    <x v="4202"/>
    <x v="33"/>
    <n v="54"/>
    <s v="n.a."/>
    <s v="n.a."/>
    <x v="2138"/>
    <n v="1"/>
  </r>
  <r>
    <x v="75"/>
    <x v="63"/>
    <x v="4201"/>
    <x v="33"/>
    <n v="54"/>
    <s v="n.a."/>
    <s v="n.a."/>
    <x v="2281"/>
    <n v="3"/>
  </r>
  <r>
    <x v="75"/>
    <x v="64"/>
    <x v="4201"/>
    <x v="33"/>
    <n v="57"/>
    <s v="n.a."/>
    <s v="n.a."/>
    <x v="3673"/>
    <n v="-7"/>
  </r>
  <r>
    <x v="75"/>
    <x v="65"/>
    <x v="4203"/>
    <x v="33"/>
    <n v="57"/>
    <s v="n.a."/>
    <s v="n.a."/>
    <x v="3674"/>
    <n v="14"/>
  </r>
  <r>
    <x v="75"/>
    <x v="66"/>
    <x v="4200"/>
    <x v="33"/>
    <n v="50"/>
    <s v="n.a."/>
    <s v="n.a."/>
    <x v="3670"/>
    <n v="7"/>
  </r>
  <r>
    <x v="75"/>
    <x v="67"/>
    <x v="4204"/>
    <x v="33"/>
    <n v="50"/>
    <s v="n.a."/>
    <s v="n.a."/>
    <x v="781"/>
    <n v="-2"/>
  </r>
  <r>
    <x v="75"/>
    <x v="68"/>
    <x v="4200"/>
    <x v="33"/>
    <n v="55"/>
    <s v="n.a."/>
    <s v="n.a."/>
    <x v="1138"/>
    <n v="10"/>
  </r>
  <r>
    <x v="75"/>
    <x v="69"/>
    <x v="4205"/>
    <x v="33"/>
    <n v="46"/>
    <s v="n.a."/>
    <s v="n.a."/>
    <x v="1132"/>
    <n v="-1"/>
  </r>
  <r>
    <x v="76"/>
    <x v="0"/>
    <x v="481"/>
    <x v="33"/>
    <n v="1407"/>
    <n v="-99"/>
    <n v="-713"/>
    <x v="461"/>
    <s v="n.a."/>
  </r>
  <r>
    <x v="76"/>
    <x v="1"/>
    <x v="481"/>
    <x v="33"/>
    <n v="1567"/>
    <n v="0"/>
    <n v="-49"/>
    <x v="461"/>
    <s v="n.a."/>
  </r>
  <r>
    <x v="76"/>
    <x v="2"/>
    <x v="481"/>
    <x v="33"/>
    <n v="1730"/>
    <n v="67"/>
    <n v="-774"/>
    <x v="461"/>
    <s v="n.a."/>
  </r>
  <r>
    <x v="76"/>
    <x v="3"/>
    <x v="481"/>
    <x v="33"/>
    <n v="1776"/>
    <n v="348"/>
    <n v="72"/>
    <x v="461"/>
    <s v="n.a."/>
  </r>
  <r>
    <x v="76"/>
    <x v="4"/>
    <x v="481"/>
    <x v="33"/>
    <n v="1653"/>
    <n v="63"/>
    <n v="-822"/>
    <x v="461"/>
    <s v="n.a."/>
  </r>
  <r>
    <x v="76"/>
    <x v="5"/>
    <x v="481"/>
    <x v="33"/>
    <n v="1685"/>
    <n v="102"/>
    <n v="-764"/>
    <x v="461"/>
    <s v="n.a."/>
  </r>
  <r>
    <x v="76"/>
    <x v="6"/>
    <x v="481"/>
    <x v="33"/>
    <n v="1623"/>
    <n v="14"/>
    <n v="1"/>
    <x v="461"/>
    <s v="n.a."/>
  </r>
  <r>
    <x v="76"/>
    <x v="7"/>
    <x v="481"/>
    <x v="33"/>
    <n v="973"/>
    <n v="45"/>
    <n v="1"/>
    <x v="461"/>
    <s v="n.a."/>
  </r>
  <r>
    <x v="76"/>
    <x v="8"/>
    <x v="481"/>
    <x v="33"/>
    <n v="929"/>
    <n v="107"/>
    <n v="-587"/>
    <x v="461"/>
    <s v="n.a."/>
  </r>
  <r>
    <x v="76"/>
    <x v="9"/>
    <x v="481"/>
    <x v="33"/>
    <n v="1437"/>
    <n v="24"/>
    <n v="-990"/>
    <x v="461"/>
    <s v="n.a."/>
  </r>
  <r>
    <x v="76"/>
    <x v="10"/>
    <x v="481"/>
    <x v="33"/>
    <n v="2018"/>
    <n v="-16"/>
    <n v="-997"/>
    <x v="461"/>
    <s v="n.a."/>
  </r>
  <r>
    <x v="76"/>
    <x v="11"/>
    <x v="481"/>
    <x v="33"/>
    <n v="1848"/>
    <n v="43"/>
    <n v="-1009"/>
    <x v="461"/>
    <s v="n.a."/>
  </r>
  <r>
    <x v="76"/>
    <x v="12"/>
    <x v="481"/>
    <x v="33"/>
    <n v="1848"/>
    <n v="144"/>
    <n v="-892"/>
    <x v="461"/>
    <s v="n.a."/>
  </r>
  <r>
    <x v="76"/>
    <x v="13"/>
    <x v="481"/>
    <x v="33"/>
    <n v="1536"/>
    <n v="18"/>
    <n v="-796"/>
    <x v="461"/>
    <s v="n.a."/>
  </r>
  <r>
    <x v="76"/>
    <x v="14"/>
    <x v="481"/>
    <x v="33"/>
    <n v="1389"/>
    <n v="114"/>
    <n v="13"/>
    <x v="461"/>
    <s v="n.a."/>
  </r>
  <r>
    <x v="76"/>
    <x v="15"/>
    <x v="481"/>
    <x v="33"/>
    <n v="952"/>
    <n v="-65"/>
    <n v="11"/>
    <x v="461"/>
    <s v="n.a."/>
  </r>
  <r>
    <x v="76"/>
    <x v="16"/>
    <x v="481"/>
    <x v="33"/>
    <n v="1150"/>
    <n v="44"/>
    <n v="6"/>
    <x v="461"/>
    <s v="n.a."/>
  </r>
  <r>
    <x v="76"/>
    <x v="17"/>
    <x v="481"/>
    <x v="33"/>
    <n v="804"/>
    <n v="3"/>
    <n v="4"/>
    <x v="461"/>
    <s v="n.a."/>
  </r>
  <r>
    <x v="76"/>
    <x v="18"/>
    <x v="481"/>
    <x v="33"/>
    <n v="738"/>
    <n v="5"/>
    <n v="-4"/>
    <x v="461"/>
    <s v="n.a."/>
  </r>
  <r>
    <x v="76"/>
    <x v="19"/>
    <x v="481"/>
    <x v="33"/>
    <n v="781"/>
    <n v="5"/>
    <n v="1"/>
    <x v="461"/>
    <s v="n.a."/>
  </r>
  <r>
    <x v="76"/>
    <x v="20"/>
    <x v="481"/>
    <x v="33"/>
    <n v="1229"/>
    <n v="-7"/>
    <n v="9"/>
    <x v="461"/>
    <s v="n.a."/>
  </r>
  <r>
    <x v="76"/>
    <x v="21"/>
    <x v="481"/>
    <x v="33"/>
    <n v="1362"/>
    <n v="-37"/>
    <n v="2"/>
    <x v="461"/>
    <s v="n.a."/>
  </r>
  <r>
    <x v="76"/>
    <x v="22"/>
    <x v="481"/>
    <x v="33"/>
    <n v="1350"/>
    <n v="-3"/>
    <n v="14"/>
    <x v="461"/>
    <s v="n.a."/>
  </r>
  <r>
    <x v="76"/>
    <x v="23"/>
    <x v="481"/>
    <x v="33"/>
    <n v="911"/>
    <n v="3"/>
    <n v="9"/>
    <x v="461"/>
    <s v="n.a."/>
  </r>
  <r>
    <x v="76"/>
    <x v="24"/>
    <x v="481"/>
    <x v="33"/>
    <n v="1141"/>
    <n v="19"/>
    <n v="-92"/>
    <x v="461"/>
    <s v="n.a."/>
  </r>
  <r>
    <x v="76"/>
    <x v="25"/>
    <x v="481"/>
    <x v="33"/>
    <n v="1030"/>
    <n v="25"/>
    <n v="26"/>
    <x v="461"/>
    <s v="n.a."/>
  </r>
  <r>
    <x v="76"/>
    <x v="26"/>
    <x v="481"/>
    <x v="33"/>
    <n v="979"/>
    <n v="72"/>
    <n v="-30"/>
    <x v="461"/>
    <s v="n.a."/>
  </r>
  <r>
    <x v="76"/>
    <x v="27"/>
    <x v="481"/>
    <x v="33"/>
    <n v="927"/>
    <n v="51"/>
    <n v="1"/>
    <x v="461"/>
    <s v="n.a."/>
  </r>
  <r>
    <x v="76"/>
    <x v="28"/>
    <x v="481"/>
    <x v="33"/>
    <n v="828"/>
    <n v="65"/>
    <n v="-61"/>
    <x v="461"/>
    <s v="n.a."/>
  </r>
  <r>
    <x v="76"/>
    <x v="29"/>
    <x v="481"/>
    <x v="33"/>
    <n v="897"/>
    <n v="19"/>
    <n v="-2"/>
    <x v="461"/>
    <s v="n.a."/>
  </r>
  <r>
    <x v="76"/>
    <x v="30"/>
    <x v="481"/>
    <x v="33"/>
    <n v="882"/>
    <n v="24"/>
    <n v="-6"/>
    <x v="461"/>
    <s v="n.a."/>
  </r>
  <r>
    <x v="76"/>
    <x v="31"/>
    <x v="481"/>
    <x v="33"/>
    <n v="865"/>
    <n v="55"/>
    <n v="3"/>
    <x v="461"/>
    <s v="n.a."/>
  </r>
  <r>
    <x v="76"/>
    <x v="32"/>
    <x v="481"/>
    <x v="33"/>
    <n v="806"/>
    <n v="-10"/>
    <n v="-6"/>
    <x v="461"/>
    <s v="n.a."/>
  </r>
  <r>
    <x v="76"/>
    <x v="33"/>
    <x v="481"/>
    <x v="33"/>
    <n v="833"/>
    <s v="n.a."/>
    <s v="n.a."/>
    <x v="461"/>
    <s v="n.a."/>
  </r>
  <r>
    <x v="76"/>
    <x v="34"/>
    <x v="481"/>
    <x v="33"/>
    <n v="821"/>
    <s v="n.a."/>
    <s v="n.a."/>
    <x v="461"/>
    <s v="n.a."/>
  </r>
  <r>
    <x v="76"/>
    <x v="35"/>
    <x v="481"/>
    <x v="33"/>
    <n v="821"/>
    <s v="n.a."/>
    <s v="n.a."/>
    <x v="461"/>
    <s v="n.a."/>
  </r>
  <r>
    <x v="76"/>
    <x v="36"/>
    <x v="481"/>
    <x v="33"/>
    <n v="1179"/>
    <s v="n.a."/>
    <s v="n.a."/>
    <x v="461"/>
    <s v="n.a."/>
  </r>
  <r>
    <x v="76"/>
    <x v="37"/>
    <x v="481"/>
    <x v="33"/>
    <n v="1179"/>
    <s v="n.a."/>
    <s v="n.a."/>
    <x v="461"/>
    <s v="n.a."/>
  </r>
  <r>
    <x v="76"/>
    <x v="38"/>
    <x v="481"/>
    <x v="33"/>
    <n v="1181"/>
    <s v="n.a."/>
    <s v="n.a."/>
    <x v="461"/>
    <s v="n.a."/>
  </r>
  <r>
    <x v="76"/>
    <x v="39"/>
    <x v="481"/>
    <x v="33"/>
    <n v="1319"/>
    <s v="n.a."/>
    <s v="n.a."/>
    <x v="461"/>
    <s v="n.a."/>
  </r>
  <r>
    <x v="76"/>
    <x v="40"/>
    <x v="481"/>
    <x v="33"/>
    <n v="1246"/>
    <s v="n.a."/>
    <s v="n.a."/>
    <x v="461"/>
    <s v="n.a."/>
  </r>
  <r>
    <x v="76"/>
    <x v="41"/>
    <x v="481"/>
    <x v="33"/>
    <n v="1134"/>
    <s v="n.a."/>
    <s v="n.a."/>
    <x v="461"/>
    <s v="n.a."/>
  </r>
  <r>
    <x v="76"/>
    <x v="42"/>
    <x v="481"/>
    <x v="33"/>
    <n v="1097"/>
    <s v="n.a."/>
    <s v="n.a."/>
    <x v="461"/>
    <s v="n.a."/>
  </r>
  <r>
    <x v="76"/>
    <x v="43"/>
    <x v="481"/>
    <x v="33"/>
    <n v="1342"/>
    <s v="n.a."/>
    <s v="n.a."/>
    <x v="461"/>
    <s v="n.a."/>
  </r>
  <r>
    <x v="76"/>
    <x v="44"/>
    <x v="481"/>
    <x v="33"/>
    <n v="1279"/>
    <s v="n.a."/>
    <s v="n.a."/>
    <x v="461"/>
    <s v="n.a."/>
  </r>
  <r>
    <x v="76"/>
    <x v="45"/>
    <x v="481"/>
    <x v="33"/>
    <n v="1172"/>
    <s v="n.a."/>
    <s v="n.a."/>
    <x v="461"/>
    <s v="n.a."/>
  </r>
  <r>
    <x v="76"/>
    <x v="46"/>
    <x v="481"/>
    <x v="33"/>
    <n v="1178"/>
    <s v="n.a."/>
    <s v="n.a."/>
    <x v="461"/>
    <s v="n.a."/>
  </r>
  <r>
    <x v="76"/>
    <x v="47"/>
    <x v="481"/>
    <x v="33"/>
    <n v="1149"/>
    <s v="n.a."/>
    <s v="n.a."/>
    <x v="461"/>
    <s v="n.a."/>
  </r>
  <r>
    <x v="76"/>
    <x v="48"/>
    <x v="481"/>
    <x v="33"/>
    <n v="1046"/>
    <s v="n.a."/>
    <s v="n.a."/>
    <x v="461"/>
    <s v="n.a."/>
  </r>
  <r>
    <x v="76"/>
    <x v="49"/>
    <x v="481"/>
    <x v="33"/>
    <n v="930"/>
    <s v="n.a."/>
    <s v="n.a."/>
    <x v="461"/>
    <s v="n.a."/>
  </r>
  <r>
    <x v="76"/>
    <x v="50"/>
    <x v="481"/>
    <x v="33"/>
    <n v="892"/>
    <s v="n.a."/>
    <s v="n.a."/>
    <x v="461"/>
    <s v="n.a."/>
  </r>
  <r>
    <x v="76"/>
    <x v="51"/>
    <x v="481"/>
    <x v="33"/>
    <n v="890"/>
    <s v="n.a."/>
    <s v="n.a."/>
    <x v="461"/>
    <s v="n.a."/>
  </r>
  <r>
    <x v="76"/>
    <x v="52"/>
    <x v="481"/>
    <x v="33"/>
    <n v="734"/>
    <s v="n.a."/>
    <s v="n.a."/>
    <x v="461"/>
    <s v="n.a."/>
  </r>
  <r>
    <x v="76"/>
    <x v="53"/>
    <x v="481"/>
    <x v="33"/>
    <n v="841"/>
    <s v="n.a."/>
    <s v="n.a."/>
    <x v="461"/>
    <s v="n.a."/>
  </r>
  <r>
    <x v="76"/>
    <x v="54"/>
    <x v="481"/>
    <x v="33"/>
    <n v="828"/>
    <s v="n.a."/>
    <s v="n.a."/>
    <x v="461"/>
    <s v="n.a."/>
  </r>
  <r>
    <x v="76"/>
    <x v="55"/>
    <x v="481"/>
    <x v="33"/>
    <n v="785"/>
    <s v="n.a."/>
    <s v="n.a."/>
    <x v="461"/>
    <s v="n.a."/>
  </r>
  <r>
    <x v="76"/>
    <x v="56"/>
    <x v="481"/>
    <x v="33"/>
    <n v="785"/>
    <s v="n.a."/>
    <s v="n.a."/>
    <x v="461"/>
    <s v="n.a."/>
  </r>
  <r>
    <x v="76"/>
    <x v="57"/>
    <x v="481"/>
    <x v="33"/>
    <n v="801"/>
    <s v="n.a."/>
    <s v="n.a."/>
    <x v="461"/>
    <s v="n.a."/>
  </r>
  <r>
    <x v="76"/>
    <x v="58"/>
    <x v="481"/>
    <x v="33"/>
    <n v="918"/>
    <s v="n.a."/>
    <s v="n.a."/>
    <x v="461"/>
    <s v="n.a."/>
  </r>
  <r>
    <x v="76"/>
    <x v="59"/>
    <x v="481"/>
    <x v="33"/>
    <n v="536"/>
    <s v="n.a."/>
    <s v="n.a."/>
    <x v="461"/>
    <s v="n.a."/>
  </r>
  <r>
    <x v="76"/>
    <x v="60"/>
    <x v="481"/>
    <x v="33"/>
    <n v="530"/>
    <s v="n.a."/>
    <s v="n.a."/>
    <x v="461"/>
    <s v="n.a."/>
  </r>
  <r>
    <x v="76"/>
    <x v="61"/>
    <x v="481"/>
    <x v="33"/>
    <n v="563"/>
    <s v="n.a."/>
    <s v="n.a."/>
    <x v="461"/>
    <s v="n.a."/>
  </r>
  <r>
    <x v="76"/>
    <x v="62"/>
    <x v="481"/>
    <x v="33"/>
    <n v="551"/>
    <s v="n.a."/>
    <s v="n.a."/>
    <x v="461"/>
    <s v="n.a."/>
  </r>
  <r>
    <x v="76"/>
    <x v="63"/>
    <x v="481"/>
    <x v="33"/>
    <n v="615"/>
    <s v="n.a."/>
    <s v="n.a."/>
    <x v="461"/>
    <s v="n.a."/>
  </r>
  <r>
    <x v="76"/>
    <x v="64"/>
    <x v="481"/>
    <x v="33"/>
    <n v="631"/>
    <s v="n.a."/>
    <s v="n.a."/>
    <x v="461"/>
    <s v="n.a."/>
  </r>
  <r>
    <x v="76"/>
    <x v="65"/>
    <x v="481"/>
    <x v="33"/>
    <n v="543"/>
    <s v="n.a."/>
    <s v="n.a."/>
    <x v="461"/>
    <s v="n.a."/>
  </r>
  <r>
    <x v="76"/>
    <x v="66"/>
    <x v="481"/>
    <x v="33"/>
    <n v="622"/>
    <s v="n.a."/>
    <s v="n.a."/>
    <x v="461"/>
    <s v="n.a."/>
  </r>
  <r>
    <x v="76"/>
    <x v="67"/>
    <x v="481"/>
    <x v="33"/>
    <n v="688"/>
    <s v="n.a."/>
    <s v="n.a."/>
    <x v="461"/>
    <s v="n.a."/>
  </r>
  <r>
    <x v="76"/>
    <x v="68"/>
    <x v="481"/>
    <x v="33"/>
    <n v="1024"/>
    <s v="n.a."/>
    <s v="n.a."/>
    <x v="461"/>
    <s v="n.a."/>
  </r>
  <r>
    <x v="76"/>
    <x v="69"/>
    <x v="481"/>
    <x v="33"/>
    <n v="895"/>
    <s v="n.a."/>
    <s v="n.a."/>
    <x v="461"/>
    <s v="n.a."/>
  </r>
  <r>
    <x v="77"/>
    <x v="0"/>
    <x v="2247"/>
    <x v="93"/>
    <n v="3549"/>
    <n v="-22"/>
    <n v="1"/>
    <x v="3675"/>
    <n v="35"/>
  </r>
  <r>
    <x v="77"/>
    <x v="1"/>
    <x v="4206"/>
    <x v="946"/>
    <n v="3571"/>
    <n v="-126"/>
    <n v="2"/>
    <x v="1799"/>
    <n v="38"/>
  </r>
  <r>
    <x v="77"/>
    <x v="2"/>
    <x v="4207"/>
    <x v="71"/>
    <n v="3693"/>
    <n v="45"/>
    <n v="17"/>
    <x v="1797"/>
    <n v="-20"/>
  </r>
  <r>
    <x v="77"/>
    <x v="3"/>
    <x v="4208"/>
    <x v="1748"/>
    <n v="3630"/>
    <n v="89"/>
    <n v="-9"/>
    <x v="184"/>
    <n v="10"/>
  </r>
  <r>
    <x v="77"/>
    <x v="4"/>
    <x v="50"/>
    <x v="963"/>
    <n v="3543"/>
    <n v="10"/>
    <n v="7"/>
    <x v="1886"/>
    <n v="44"/>
  </r>
  <r>
    <x v="77"/>
    <x v="5"/>
    <x v="4209"/>
    <x v="1526"/>
    <n v="3525"/>
    <n v="-36"/>
    <n v="-12"/>
    <x v="3672"/>
    <n v="1"/>
  </r>
  <r>
    <x v="77"/>
    <x v="6"/>
    <x v="2668"/>
    <x v="1749"/>
    <n v="3573"/>
    <n v="-37"/>
    <n v="10"/>
    <x v="3670"/>
    <n v="-5"/>
  </r>
  <r>
    <x v="77"/>
    <x v="7"/>
    <x v="4210"/>
    <x v="925"/>
    <n v="3600"/>
    <n v="193"/>
    <n v="5"/>
    <x v="784"/>
    <n v="13"/>
  </r>
  <r>
    <x v="77"/>
    <x v="8"/>
    <x v="4211"/>
    <x v="5"/>
    <n v="3396"/>
    <n v="59"/>
    <n v="12"/>
    <x v="757"/>
    <n v="7"/>
  </r>
  <r>
    <x v="77"/>
    <x v="9"/>
    <x v="4212"/>
    <x v="1750"/>
    <n v="3325"/>
    <n v="166"/>
    <n v="-1"/>
    <x v="1132"/>
    <n v="0"/>
  </r>
  <r>
    <x v="77"/>
    <x v="10"/>
    <x v="4213"/>
    <x v="940"/>
    <n v="3168"/>
    <n v="51"/>
    <n v="19"/>
    <x v="1132"/>
    <n v="1"/>
  </r>
  <r>
    <x v="77"/>
    <x v="11"/>
    <x v="4214"/>
    <x v="946"/>
    <n v="3098"/>
    <n v="-87"/>
    <n v="-12"/>
    <x v="1134"/>
    <n v="-1"/>
  </r>
  <r>
    <x v="77"/>
    <x v="12"/>
    <x v="4215"/>
    <x v="1751"/>
    <n v="3196"/>
    <n v="137"/>
    <n v="-10"/>
    <x v="1132"/>
    <n v="-64"/>
  </r>
  <r>
    <x v="77"/>
    <x v="13"/>
    <x v="4216"/>
    <x v="891"/>
    <n v="3070"/>
    <n v="-141"/>
    <n v="13"/>
    <x v="780"/>
    <n v="-34"/>
  </r>
  <r>
    <x v="77"/>
    <x v="14"/>
    <x v="4217"/>
    <x v="873"/>
    <n v="3198"/>
    <n v="342"/>
    <n v="13"/>
    <x v="3676"/>
    <n v="-63"/>
  </r>
  <r>
    <x v="77"/>
    <x v="15"/>
    <x v="2698"/>
    <x v="77"/>
    <n v="2849"/>
    <n v="-11"/>
    <n v="14"/>
    <x v="3677"/>
    <n v="33"/>
  </r>
  <r>
    <x v="77"/>
    <x v="16"/>
    <x v="4218"/>
    <x v="875"/>
    <n v="2846"/>
    <n v="27"/>
    <n v="12"/>
    <x v="3678"/>
    <n v="-45"/>
  </r>
  <r>
    <x v="77"/>
    <x v="17"/>
    <x v="4219"/>
    <x v="94"/>
    <n v="2808"/>
    <n v="31"/>
    <n v="12"/>
    <x v="3679"/>
    <n v="-27"/>
  </r>
  <r>
    <x v="77"/>
    <x v="18"/>
    <x v="4220"/>
    <x v="91"/>
    <n v="2765"/>
    <n v="-38"/>
    <n v="3"/>
    <x v="3680"/>
    <n v="49"/>
  </r>
  <r>
    <x v="77"/>
    <x v="19"/>
    <x v="4221"/>
    <x v="153"/>
    <n v="2800"/>
    <n v="7"/>
    <n v="10"/>
    <x v="194"/>
    <n v="38"/>
  </r>
  <r>
    <x v="77"/>
    <x v="20"/>
    <x v="4222"/>
    <x v="111"/>
    <n v="2783"/>
    <n v="54"/>
    <n v="-2"/>
    <x v="1808"/>
    <n v="70"/>
  </r>
  <r>
    <x v="77"/>
    <x v="21"/>
    <x v="4223"/>
    <x v="924"/>
    <n v="2730"/>
    <n v="-164"/>
    <n v="9"/>
    <x v="1837"/>
    <n v="-15"/>
  </r>
  <r>
    <x v="77"/>
    <x v="22"/>
    <x v="4224"/>
    <x v="1752"/>
    <n v="2885"/>
    <n v="-146"/>
    <n v="19"/>
    <x v="191"/>
    <n v="-8"/>
  </r>
  <r>
    <x v="77"/>
    <x v="23"/>
    <x v="4225"/>
    <x v="1753"/>
    <n v="3281"/>
    <n v="-232"/>
    <n v="23"/>
    <x v="2144"/>
    <n v="10"/>
  </r>
  <r>
    <x v="77"/>
    <x v="24"/>
    <x v="4226"/>
    <x v="1754"/>
    <n v="3490"/>
    <n v="-138"/>
    <n v="11"/>
    <x v="1796"/>
    <n v="8"/>
  </r>
  <r>
    <x v="77"/>
    <x v="25"/>
    <x v="4227"/>
    <x v="1085"/>
    <n v="3616"/>
    <n v="-27"/>
    <n v="0"/>
    <x v="2142"/>
    <n v="-1"/>
  </r>
  <r>
    <x v="77"/>
    <x v="26"/>
    <x v="4228"/>
    <x v="1755"/>
    <n v="3644"/>
    <n v="-79"/>
    <n v="8"/>
    <x v="1836"/>
    <n v="0"/>
  </r>
  <r>
    <x v="77"/>
    <x v="27"/>
    <x v="4229"/>
    <x v="15"/>
    <n v="3713"/>
    <n v="-86"/>
    <n v="10"/>
    <x v="1836"/>
    <n v="11"/>
  </r>
  <r>
    <x v="77"/>
    <x v="28"/>
    <x v="4230"/>
    <x v="884"/>
    <n v="3789"/>
    <n v="1"/>
    <n v="-5"/>
    <x v="1839"/>
    <n v="-30"/>
  </r>
  <r>
    <x v="77"/>
    <x v="29"/>
    <x v="4231"/>
    <x v="91"/>
    <n v="3793"/>
    <n v="13"/>
    <n v="-8"/>
    <x v="3681"/>
    <n v="-2"/>
  </r>
  <r>
    <x v="77"/>
    <x v="30"/>
    <x v="4232"/>
    <x v="1749"/>
    <n v="3788"/>
    <n v="-8"/>
    <n v="8"/>
    <x v="184"/>
    <n v="-34"/>
  </r>
  <r>
    <x v="77"/>
    <x v="31"/>
    <x v="4233"/>
    <x v="866"/>
    <n v="3788"/>
    <n v="-95"/>
    <n v="56"/>
    <x v="3200"/>
    <n v="44"/>
  </r>
  <r>
    <x v="77"/>
    <x v="32"/>
    <x v="4234"/>
    <x v="875"/>
    <n v="3827"/>
    <n v="-14"/>
    <n v="-23"/>
    <x v="1886"/>
    <n v="-4"/>
  </r>
  <r>
    <x v="77"/>
    <x v="33"/>
    <x v="1702"/>
    <x v="33"/>
    <n v="3864"/>
    <s v="n.a."/>
    <s v="n.a."/>
    <x v="780"/>
    <n v="-1"/>
  </r>
  <r>
    <x v="77"/>
    <x v="34"/>
    <x v="41"/>
    <x v="33"/>
    <n v="3802"/>
    <s v="n.a."/>
    <s v="n.a."/>
    <x v="190"/>
    <n v="12"/>
  </r>
  <r>
    <x v="77"/>
    <x v="35"/>
    <x v="4235"/>
    <x v="33"/>
    <n v="3783"/>
    <s v="n.a."/>
    <s v="n.a."/>
    <x v="1835"/>
    <n v="8"/>
  </r>
  <r>
    <x v="77"/>
    <x v="36"/>
    <x v="4236"/>
    <x v="33"/>
    <n v="3713"/>
    <s v="n.a."/>
    <s v="n.a."/>
    <x v="3682"/>
    <n v="26"/>
  </r>
  <r>
    <x v="77"/>
    <x v="37"/>
    <x v="2660"/>
    <x v="33"/>
    <n v="3717"/>
    <s v="n.a."/>
    <s v="n.a."/>
    <x v="3683"/>
    <n v="11"/>
  </r>
  <r>
    <x v="77"/>
    <x v="38"/>
    <x v="4237"/>
    <x v="33"/>
    <n v="3697"/>
    <s v="n.a."/>
    <s v="n.a."/>
    <x v="781"/>
    <n v="2"/>
  </r>
  <r>
    <x v="77"/>
    <x v="39"/>
    <x v="4238"/>
    <x v="33"/>
    <n v="3774"/>
    <s v="n.a."/>
    <s v="n.a."/>
    <x v="756"/>
    <n v="2"/>
  </r>
  <r>
    <x v="77"/>
    <x v="40"/>
    <x v="4239"/>
    <x v="33"/>
    <n v="3885"/>
    <s v="n.a."/>
    <s v="n.a."/>
    <x v="1129"/>
    <n v="-20"/>
  </r>
  <r>
    <x v="77"/>
    <x v="41"/>
    <x v="4240"/>
    <x v="33"/>
    <n v="3672"/>
    <s v="n.a."/>
    <s v="n.a."/>
    <x v="3684"/>
    <n v="2"/>
  </r>
  <r>
    <x v="77"/>
    <x v="42"/>
    <x v="4241"/>
    <x v="33"/>
    <n v="3672"/>
    <s v="n.a."/>
    <s v="n.a."/>
    <x v="3673"/>
    <n v="18"/>
  </r>
  <r>
    <x v="77"/>
    <x v="43"/>
    <x v="4242"/>
    <x v="33"/>
    <n v="3665"/>
    <s v="n.a."/>
    <s v="n.a."/>
    <x v="1129"/>
    <n v="-1"/>
  </r>
  <r>
    <x v="77"/>
    <x v="44"/>
    <x v="1278"/>
    <x v="33"/>
    <n v="3712"/>
    <s v="n.a."/>
    <s v="n.a."/>
    <x v="760"/>
    <n v="8"/>
  </r>
  <r>
    <x v="77"/>
    <x v="45"/>
    <x v="4243"/>
    <x v="33"/>
    <n v="3733"/>
    <s v="n.a."/>
    <s v="n.a."/>
    <x v="3210"/>
    <n v="-1"/>
  </r>
  <r>
    <x v="77"/>
    <x v="46"/>
    <x v="4244"/>
    <x v="33"/>
    <n v="3762"/>
    <s v="n.a."/>
    <s v="n.a."/>
    <x v="1135"/>
    <n v="0"/>
  </r>
  <r>
    <x v="77"/>
    <x v="47"/>
    <x v="4245"/>
    <x v="33"/>
    <n v="3768"/>
    <s v="n.a."/>
    <s v="n.a."/>
    <x v="1135"/>
    <n v="-1"/>
  </r>
  <r>
    <x v="77"/>
    <x v="48"/>
    <x v="4246"/>
    <x v="33"/>
    <n v="3766"/>
    <s v="n.a."/>
    <s v="n.a."/>
    <x v="1134"/>
    <n v="2"/>
  </r>
  <r>
    <x v="77"/>
    <x v="49"/>
    <x v="4238"/>
    <x v="33"/>
    <n v="3783"/>
    <s v="n.a."/>
    <s v="n.a."/>
    <x v="3210"/>
    <n v="-1"/>
  </r>
  <r>
    <x v="77"/>
    <x v="50"/>
    <x v="4247"/>
    <x v="33"/>
    <n v="4082"/>
    <s v="n.a."/>
    <s v="n.a."/>
    <x v="1135"/>
    <n v="0"/>
  </r>
  <r>
    <x v="77"/>
    <x v="51"/>
    <x v="4248"/>
    <x v="33"/>
    <n v="4090"/>
    <s v="n.a."/>
    <s v="n.a."/>
    <x v="1135"/>
    <n v="0"/>
  </r>
  <r>
    <x v="77"/>
    <x v="52"/>
    <x v="4249"/>
    <x v="33"/>
    <n v="4079"/>
    <s v="n.a."/>
    <s v="n.a."/>
    <x v="1135"/>
    <n v="0"/>
  </r>
  <r>
    <x v="77"/>
    <x v="53"/>
    <x v="4250"/>
    <x v="33"/>
    <n v="4083"/>
    <s v="n.a."/>
    <s v="n.a."/>
    <x v="1135"/>
    <n v="0"/>
  </r>
  <r>
    <x v="77"/>
    <x v="54"/>
    <x v="4251"/>
    <x v="33"/>
    <n v="4078"/>
    <s v="n.a."/>
    <s v="n.a."/>
    <x v="1135"/>
    <n v="-1"/>
  </r>
  <r>
    <x v="77"/>
    <x v="55"/>
    <x v="4252"/>
    <x v="33"/>
    <n v="4083"/>
    <s v="n.a."/>
    <s v="n.a."/>
    <x v="1134"/>
    <n v="0"/>
  </r>
  <r>
    <x v="77"/>
    <x v="56"/>
    <x v="4251"/>
    <x v="33"/>
    <n v="4077"/>
    <s v="n.a."/>
    <s v="n.a."/>
    <x v="1134"/>
    <n v="-1"/>
  </r>
  <r>
    <x v="77"/>
    <x v="57"/>
    <x v="4253"/>
    <x v="33"/>
    <n v="4165"/>
    <s v="n.a."/>
    <s v="n.a."/>
    <x v="1132"/>
    <n v="-1"/>
  </r>
  <r>
    <x v="77"/>
    <x v="58"/>
    <x v="4254"/>
    <x v="33"/>
    <n v="3965"/>
    <s v="n.a."/>
    <s v="n.a."/>
    <x v="1131"/>
    <n v="-1"/>
  </r>
  <r>
    <x v="77"/>
    <x v="59"/>
    <x v="1283"/>
    <x v="33"/>
    <n v="3952"/>
    <s v="n.a."/>
    <s v="n.a."/>
    <x v="1137"/>
    <n v="-2"/>
  </r>
  <r>
    <x v="77"/>
    <x v="60"/>
    <x v="4255"/>
    <x v="33"/>
    <n v="3960"/>
    <s v="n.a."/>
    <s v="n.a."/>
    <x v="1129"/>
    <n v="0"/>
  </r>
  <r>
    <x v="77"/>
    <x v="61"/>
    <x v="4256"/>
    <x v="33"/>
    <n v="4014"/>
    <s v="n.a."/>
    <s v="n.a."/>
    <x v="1129"/>
    <n v="-3"/>
  </r>
  <r>
    <x v="77"/>
    <x v="62"/>
    <x v="4257"/>
    <x v="33"/>
    <n v="4056"/>
    <s v="n.a."/>
    <s v="n.a."/>
    <x v="757"/>
    <n v="-7"/>
  </r>
  <r>
    <x v="77"/>
    <x v="63"/>
    <x v="4258"/>
    <x v="33"/>
    <n v="4099"/>
    <s v="n.a."/>
    <s v="n.a."/>
    <x v="785"/>
    <n v="-1"/>
  </r>
  <r>
    <x v="77"/>
    <x v="64"/>
    <x v="4259"/>
    <x v="33"/>
    <n v="4187"/>
    <s v="n.a."/>
    <s v="n.a."/>
    <x v="3670"/>
    <n v="-1"/>
  </r>
  <r>
    <x v="77"/>
    <x v="65"/>
    <x v="4260"/>
    <x v="33"/>
    <n v="4122"/>
    <s v="n.a."/>
    <s v="n.a."/>
    <x v="3672"/>
    <n v="-7"/>
  </r>
  <r>
    <x v="77"/>
    <x v="66"/>
    <x v="4261"/>
    <x v="33"/>
    <n v="4104"/>
    <s v="n.a."/>
    <s v="n.a."/>
    <x v="761"/>
    <n v="4"/>
  </r>
  <r>
    <x v="77"/>
    <x v="67"/>
    <x v="4262"/>
    <x v="33"/>
    <n v="4253"/>
    <s v="n.a."/>
    <s v="n.a."/>
    <x v="3683"/>
    <n v="14"/>
  </r>
  <r>
    <x v="77"/>
    <x v="68"/>
    <x v="4263"/>
    <x v="33"/>
    <n v="4563"/>
    <s v="n.a."/>
    <s v="n.a."/>
    <x v="760"/>
    <n v="2"/>
  </r>
  <r>
    <x v="77"/>
    <x v="69"/>
    <x v="4264"/>
    <x v="33"/>
    <n v="4725"/>
    <s v="n.a."/>
    <s v="n.a."/>
    <x v="1133"/>
    <n v="-6"/>
  </r>
  <r>
    <x v="78"/>
    <x v="0"/>
    <x v="4265"/>
    <x v="1756"/>
    <n v="8316"/>
    <n v="585"/>
    <n v="17"/>
    <x v="3685"/>
    <n v="897"/>
  </r>
  <r>
    <x v="78"/>
    <x v="1"/>
    <x v="4266"/>
    <x v="1757"/>
    <n v="10126"/>
    <n v="-897"/>
    <n v="37"/>
    <x v="3686"/>
    <n v="-3625"/>
  </r>
  <r>
    <x v="78"/>
    <x v="2"/>
    <x v="4267"/>
    <x v="1758"/>
    <n v="11026"/>
    <n v="555"/>
    <n v="-37"/>
    <x v="3687"/>
    <n v="2273"/>
  </r>
  <r>
    <x v="78"/>
    <x v="3"/>
    <x v="4268"/>
    <x v="283"/>
    <n v="10504"/>
    <n v="646"/>
    <n v="81"/>
    <x v="3688"/>
    <n v="22"/>
  </r>
  <r>
    <x v="78"/>
    <x v="4"/>
    <x v="4269"/>
    <x v="401"/>
    <n v="9788"/>
    <n v="-30"/>
    <n v="-29"/>
    <x v="3689"/>
    <n v="62"/>
  </r>
  <r>
    <x v="78"/>
    <x v="5"/>
    <x v="4270"/>
    <x v="1759"/>
    <n v="9849"/>
    <n v="-787"/>
    <n v="-35"/>
    <x v="3690"/>
    <n v="-1110"/>
  </r>
  <r>
    <x v="78"/>
    <x v="6"/>
    <x v="259"/>
    <x v="1760"/>
    <n v="11466"/>
    <n v="104"/>
    <n v="256"/>
    <x v="2065"/>
    <n v="-420"/>
  </r>
  <r>
    <x v="78"/>
    <x v="7"/>
    <x v="4271"/>
    <x v="539"/>
    <n v="11202"/>
    <n v="556"/>
    <n v="-16"/>
    <x v="3691"/>
    <n v="-406"/>
  </r>
  <r>
    <x v="78"/>
    <x v="8"/>
    <x v="4272"/>
    <x v="400"/>
    <n v="10661"/>
    <n v="-452"/>
    <n v="60"/>
    <x v="3692"/>
    <n v="513"/>
  </r>
  <r>
    <x v="78"/>
    <x v="9"/>
    <x v="4273"/>
    <x v="1761"/>
    <n v="11108"/>
    <n v="159"/>
    <n v="31"/>
    <x v="3693"/>
    <n v="1725"/>
  </r>
  <r>
    <x v="78"/>
    <x v="10"/>
    <x v="4274"/>
    <x v="1616"/>
    <n v="10966"/>
    <n v="270"/>
    <n v="-25"/>
    <x v="3694"/>
    <n v="-645"/>
  </r>
  <r>
    <x v="78"/>
    <x v="11"/>
    <x v="4275"/>
    <x v="436"/>
    <n v="10694"/>
    <n v="1087"/>
    <n v="27"/>
    <x v="3695"/>
    <n v="-2824"/>
  </r>
  <r>
    <x v="78"/>
    <x v="12"/>
    <x v="4276"/>
    <x v="585"/>
    <n v="9657"/>
    <n v="353"/>
    <n v="-519"/>
    <x v="3696"/>
    <n v="1359"/>
  </r>
  <r>
    <x v="78"/>
    <x v="13"/>
    <x v="4277"/>
    <x v="26"/>
    <n v="9835"/>
    <n v="-205"/>
    <n v="43"/>
    <x v="3697"/>
    <n v="534"/>
  </r>
  <r>
    <x v="78"/>
    <x v="14"/>
    <x v="4278"/>
    <x v="1762"/>
    <n v="10098"/>
    <n v="-11"/>
    <n v="167"/>
    <x v="1519"/>
    <n v="-1011"/>
  </r>
  <r>
    <x v="78"/>
    <x v="15"/>
    <x v="4279"/>
    <x v="1374"/>
    <n v="10031"/>
    <n v="-695"/>
    <n v="70"/>
    <x v="3698"/>
    <n v="1669"/>
  </r>
  <r>
    <x v="78"/>
    <x v="16"/>
    <x v="4280"/>
    <x v="1763"/>
    <n v="10656"/>
    <n v="573"/>
    <n v="90"/>
    <x v="3699"/>
    <n v="-8"/>
  </r>
  <r>
    <x v="78"/>
    <x v="17"/>
    <x v="4281"/>
    <x v="1764"/>
    <n v="10098"/>
    <n v="-604"/>
    <n v="-81"/>
    <x v="3700"/>
    <n v="1216"/>
  </r>
  <r>
    <x v="78"/>
    <x v="18"/>
    <x v="4282"/>
    <x v="665"/>
    <n v="10757"/>
    <n v="-995"/>
    <n v="-59"/>
    <x v="3701"/>
    <n v="567"/>
  </r>
  <r>
    <x v="78"/>
    <x v="19"/>
    <x v="4283"/>
    <x v="1765"/>
    <n v="12393"/>
    <n v="-434"/>
    <n v="92"/>
    <x v="3702"/>
    <n v="-1530"/>
  </r>
  <r>
    <x v="78"/>
    <x v="20"/>
    <x v="4284"/>
    <x v="1766"/>
    <n v="12882"/>
    <n v="897"/>
    <n v="-79"/>
    <x v="3515"/>
    <n v="1450"/>
  </r>
  <r>
    <x v="78"/>
    <x v="21"/>
    <x v="4285"/>
    <x v="1767"/>
    <n v="11782"/>
    <n v="-912"/>
    <n v="-423"/>
    <x v="2394"/>
    <n v="303"/>
  </r>
  <r>
    <x v="78"/>
    <x v="22"/>
    <x v="4286"/>
    <x v="1768"/>
    <n v="12114"/>
    <n v="-40"/>
    <n v="23"/>
    <x v="3703"/>
    <n v="-137"/>
  </r>
  <r>
    <x v="78"/>
    <x v="23"/>
    <x v="4287"/>
    <x v="1769"/>
    <n v="11928"/>
    <n v="128"/>
    <n v="17"/>
    <x v="3704"/>
    <n v="-380"/>
  </r>
  <r>
    <x v="78"/>
    <x v="24"/>
    <x v="4288"/>
    <x v="1770"/>
    <n v="12060"/>
    <n v="-65"/>
    <n v="115"/>
    <x v="3705"/>
    <n v="538"/>
  </r>
  <r>
    <x v="78"/>
    <x v="25"/>
    <x v="4289"/>
    <x v="1771"/>
    <n v="13023"/>
    <n v="604"/>
    <n v="45"/>
    <x v="3706"/>
    <n v="350"/>
  </r>
  <r>
    <x v="78"/>
    <x v="26"/>
    <x v="4290"/>
    <x v="467"/>
    <n v="12786"/>
    <n v="722"/>
    <n v="-787"/>
    <x v="3707"/>
    <n v="243"/>
  </r>
  <r>
    <x v="78"/>
    <x v="27"/>
    <x v="4291"/>
    <x v="1772"/>
    <n v="13531"/>
    <n v="-206"/>
    <n v="170"/>
    <x v="3708"/>
    <n v="507"/>
  </r>
  <r>
    <x v="78"/>
    <x v="28"/>
    <x v="4292"/>
    <x v="70"/>
    <n v="14280"/>
    <n v="726"/>
    <n v="1465"/>
    <x v="3407"/>
    <n v="-734"/>
  </r>
  <r>
    <x v="78"/>
    <x v="29"/>
    <x v="4293"/>
    <x v="1773"/>
    <n v="11846"/>
    <n v="522"/>
    <n v="267"/>
    <x v="3709"/>
    <n v="596"/>
  </r>
  <r>
    <x v="78"/>
    <x v="30"/>
    <x v="4294"/>
    <x v="869"/>
    <n v="11383"/>
    <n v="13"/>
    <n v="196"/>
    <x v="3710"/>
    <n v="-433"/>
  </r>
  <r>
    <x v="78"/>
    <x v="31"/>
    <x v="4295"/>
    <x v="1774"/>
    <n v="11953"/>
    <n v="281"/>
    <n v="117"/>
    <x v="3711"/>
    <n v="413"/>
  </r>
  <r>
    <x v="78"/>
    <x v="32"/>
    <x v="4296"/>
    <x v="609"/>
    <n v="11124"/>
    <n v="-345"/>
    <n v="345"/>
    <x v="1677"/>
    <n v="-599"/>
  </r>
  <r>
    <x v="78"/>
    <x v="33"/>
    <x v="4297"/>
    <x v="33"/>
    <n v="11585"/>
    <s v="n.a."/>
    <s v="n.a."/>
    <x v="3712"/>
    <n v="920"/>
  </r>
  <r>
    <x v="78"/>
    <x v="34"/>
    <x v="4298"/>
    <x v="33"/>
    <n v="12342"/>
    <s v="n.a."/>
    <s v="n.a."/>
    <x v="3713"/>
    <n v="-374"/>
  </r>
  <r>
    <x v="78"/>
    <x v="35"/>
    <x v="4299"/>
    <x v="33"/>
    <n v="12259"/>
    <s v="n.a."/>
    <s v="n.a."/>
    <x v="3714"/>
    <n v="340"/>
  </r>
  <r>
    <x v="78"/>
    <x v="36"/>
    <x v="4300"/>
    <x v="33"/>
    <n v="13579"/>
    <s v="n.a."/>
    <s v="n.a."/>
    <x v="3715"/>
    <n v="144"/>
  </r>
  <r>
    <x v="78"/>
    <x v="37"/>
    <x v="4301"/>
    <x v="33"/>
    <n v="15303"/>
    <s v="n.a."/>
    <s v="n.a."/>
    <x v="3716"/>
    <n v="1053"/>
  </r>
  <r>
    <x v="78"/>
    <x v="38"/>
    <x v="4302"/>
    <x v="33"/>
    <n v="14745"/>
    <s v="n.a."/>
    <s v="n.a."/>
    <x v="3717"/>
    <n v="-551"/>
  </r>
  <r>
    <x v="78"/>
    <x v="39"/>
    <x v="4303"/>
    <x v="33"/>
    <n v="14079"/>
    <s v="n.a."/>
    <s v="n.a."/>
    <x v="728"/>
    <n v="-93"/>
  </r>
  <r>
    <x v="78"/>
    <x v="40"/>
    <x v="4304"/>
    <x v="33"/>
    <n v="13499"/>
    <s v="n.a."/>
    <s v="n.a."/>
    <x v="3718"/>
    <n v="-211"/>
  </r>
  <r>
    <x v="78"/>
    <x v="41"/>
    <x v="4305"/>
    <x v="33"/>
    <n v="12475"/>
    <s v="n.a."/>
    <s v="n.a."/>
    <x v="3719"/>
    <n v="-856"/>
  </r>
  <r>
    <x v="78"/>
    <x v="42"/>
    <x v="4306"/>
    <x v="33"/>
    <n v="13231"/>
    <s v="n.a."/>
    <s v="n.a."/>
    <x v="3720"/>
    <n v="-746"/>
  </r>
  <r>
    <x v="78"/>
    <x v="43"/>
    <x v="4307"/>
    <x v="33"/>
    <n v="12993"/>
    <s v="n.a."/>
    <s v="n.a."/>
    <x v="3721"/>
    <n v="-550"/>
  </r>
  <r>
    <x v="78"/>
    <x v="44"/>
    <x v="4308"/>
    <x v="33"/>
    <n v="11521"/>
    <s v="n.a."/>
    <s v="n.a."/>
    <x v="3722"/>
    <n v="350"/>
  </r>
  <r>
    <x v="78"/>
    <x v="45"/>
    <x v="4309"/>
    <x v="33"/>
    <n v="5066"/>
    <s v="n.a."/>
    <s v="n.a."/>
    <x v="3723"/>
    <n v="-1926"/>
  </r>
  <r>
    <x v="78"/>
    <x v="46"/>
    <x v="4310"/>
    <x v="33"/>
    <n v="10282"/>
    <s v="n.a."/>
    <s v="n.a."/>
    <x v="3724"/>
    <n v="2002"/>
  </r>
  <r>
    <x v="78"/>
    <x v="47"/>
    <x v="4311"/>
    <x v="33"/>
    <n v="12903"/>
    <s v="n.a."/>
    <s v="n.a."/>
    <x v="3725"/>
    <n v="-327"/>
  </r>
  <r>
    <x v="78"/>
    <x v="48"/>
    <x v="4312"/>
    <x v="33"/>
    <n v="12528"/>
    <s v="n.a."/>
    <s v="n.a."/>
    <x v="3726"/>
    <n v="-2159"/>
  </r>
  <r>
    <x v="78"/>
    <x v="49"/>
    <x v="4313"/>
    <x v="33"/>
    <n v="11756"/>
    <s v="n.a."/>
    <s v="n.a."/>
    <x v="3727"/>
    <n v="-1044"/>
  </r>
  <r>
    <x v="78"/>
    <x v="50"/>
    <x v="4314"/>
    <x v="33"/>
    <n v="11410"/>
    <s v="n.a."/>
    <s v="n.a."/>
    <x v="3728"/>
    <n v="-116"/>
  </r>
  <r>
    <x v="78"/>
    <x v="51"/>
    <x v="4315"/>
    <x v="33"/>
    <n v="10736"/>
    <s v="n.a."/>
    <s v="n.a."/>
    <x v="3729"/>
    <n v="-212"/>
  </r>
  <r>
    <x v="78"/>
    <x v="52"/>
    <x v="4316"/>
    <x v="33"/>
    <n v="8208"/>
    <s v="n.a."/>
    <s v="n.a."/>
    <x v="3730"/>
    <n v="-889"/>
  </r>
  <r>
    <x v="78"/>
    <x v="53"/>
    <x v="4317"/>
    <x v="33"/>
    <n v="8435"/>
    <s v="n.a."/>
    <s v="n.a."/>
    <x v="3731"/>
    <n v="62"/>
  </r>
  <r>
    <x v="78"/>
    <x v="54"/>
    <x v="4318"/>
    <x v="33"/>
    <n v="9277"/>
    <s v="n.a."/>
    <s v="n.a."/>
    <x v="3732"/>
    <n v="-1867"/>
  </r>
  <r>
    <x v="78"/>
    <x v="55"/>
    <x v="4319"/>
    <x v="33"/>
    <n v="8208"/>
    <s v="n.a."/>
    <s v="n.a."/>
    <x v="3733"/>
    <n v="789"/>
  </r>
  <r>
    <x v="78"/>
    <x v="56"/>
    <x v="4320"/>
    <x v="33"/>
    <n v="7236"/>
    <s v="n.a."/>
    <s v="n.a."/>
    <x v="3734"/>
    <n v="-1109"/>
  </r>
  <r>
    <x v="78"/>
    <x v="57"/>
    <x v="4321"/>
    <x v="33"/>
    <n v="7236"/>
    <s v="n.a."/>
    <s v="n.a."/>
    <x v="2350"/>
    <n v="2180"/>
  </r>
  <r>
    <x v="78"/>
    <x v="58"/>
    <x v="4322"/>
    <x v="33"/>
    <n v="10186"/>
    <s v="n.a."/>
    <s v="n.a."/>
    <x v="3735"/>
    <n v="1587"/>
  </r>
  <r>
    <x v="78"/>
    <x v="59"/>
    <x v="4323"/>
    <x v="33"/>
    <n v="8327"/>
    <s v="n.a."/>
    <s v="n.a."/>
    <x v="3736"/>
    <n v="1098"/>
  </r>
  <r>
    <x v="78"/>
    <x v="60"/>
    <x v="4324"/>
    <x v="33"/>
    <n v="8618"/>
    <s v="n.a."/>
    <s v="n.a."/>
    <x v="3737"/>
    <n v="322"/>
  </r>
  <r>
    <x v="78"/>
    <x v="61"/>
    <x v="4325"/>
    <x v="33"/>
    <n v="8775"/>
    <s v="n.a."/>
    <s v="n.a."/>
    <x v="3738"/>
    <n v="1330"/>
  </r>
  <r>
    <x v="78"/>
    <x v="62"/>
    <x v="4326"/>
    <x v="33"/>
    <n v="8448"/>
    <s v="n.a."/>
    <s v="n.a."/>
    <x v="3739"/>
    <n v="344"/>
  </r>
  <r>
    <x v="78"/>
    <x v="63"/>
    <x v="4327"/>
    <x v="33"/>
    <n v="8826"/>
    <s v="n.a."/>
    <s v="n.a."/>
    <x v="3740"/>
    <n v="433"/>
  </r>
  <r>
    <x v="78"/>
    <x v="64"/>
    <x v="4328"/>
    <x v="33"/>
    <n v="8772"/>
    <s v="n.a."/>
    <s v="n.a."/>
    <x v="534"/>
    <n v="1192"/>
  </r>
  <r>
    <x v="78"/>
    <x v="65"/>
    <x v="4329"/>
    <x v="33"/>
    <n v="8874"/>
    <s v="n.a."/>
    <s v="n.a."/>
    <x v="3741"/>
    <n v="563"/>
  </r>
  <r>
    <x v="78"/>
    <x v="66"/>
    <x v="4330"/>
    <x v="33"/>
    <n v="9142"/>
    <s v="n.a."/>
    <s v="n.a."/>
    <x v="3742"/>
    <n v="-1320"/>
  </r>
  <r>
    <x v="78"/>
    <x v="67"/>
    <x v="4331"/>
    <x v="33"/>
    <n v="13312"/>
    <s v="n.a."/>
    <s v="n.a."/>
    <x v="3401"/>
    <n v="671"/>
  </r>
  <r>
    <x v="78"/>
    <x v="68"/>
    <x v="4332"/>
    <x v="33"/>
    <n v="11684"/>
    <s v="n.a."/>
    <s v="n.a."/>
    <x v="3716"/>
    <n v="306"/>
  </r>
  <r>
    <x v="78"/>
    <x v="69"/>
    <x v="4333"/>
    <x v="33"/>
    <n v="11266"/>
    <s v="n.a."/>
    <s v="n.a."/>
    <x v="2851"/>
    <n v="784"/>
  </r>
  <r>
    <x v="79"/>
    <x v="0"/>
    <x v="481"/>
    <x v="33"/>
    <n v="168"/>
    <n v="3"/>
    <n v="0"/>
    <x v="461"/>
    <s v="n.a."/>
  </r>
  <r>
    <x v="79"/>
    <x v="1"/>
    <x v="481"/>
    <x v="33"/>
    <n v="166"/>
    <n v="1"/>
    <n v="0"/>
    <x v="461"/>
    <s v="n.a."/>
  </r>
  <r>
    <x v="79"/>
    <x v="2"/>
    <x v="481"/>
    <x v="33"/>
    <n v="165"/>
    <n v="1"/>
    <n v="1"/>
    <x v="461"/>
    <s v="n.a."/>
  </r>
  <r>
    <x v="79"/>
    <x v="3"/>
    <x v="481"/>
    <x v="33"/>
    <n v="164"/>
    <n v="-1"/>
    <n v="0"/>
    <x v="461"/>
    <s v="n.a."/>
  </r>
  <r>
    <x v="79"/>
    <x v="4"/>
    <x v="481"/>
    <x v="33"/>
    <n v="165"/>
    <n v="0"/>
    <n v="1"/>
    <x v="461"/>
    <s v="n.a."/>
  </r>
  <r>
    <x v="79"/>
    <x v="5"/>
    <x v="481"/>
    <x v="33"/>
    <n v="164"/>
    <n v="0"/>
    <n v="0"/>
    <x v="461"/>
    <s v="n.a."/>
  </r>
  <r>
    <x v="79"/>
    <x v="6"/>
    <x v="481"/>
    <x v="33"/>
    <n v="162"/>
    <n v="-1"/>
    <n v="1"/>
    <x v="461"/>
    <s v="n.a."/>
  </r>
  <r>
    <x v="79"/>
    <x v="7"/>
    <x v="481"/>
    <x v="33"/>
    <n v="163"/>
    <n v="-2"/>
    <n v="0"/>
    <x v="461"/>
    <s v="n.a."/>
  </r>
  <r>
    <x v="79"/>
    <x v="8"/>
    <x v="481"/>
    <x v="33"/>
    <n v="164"/>
    <n v="-1"/>
    <n v="1"/>
    <x v="461"/>
    <s v="n.a."/>
  </r>
  <r>
    <x v="79"/>
    <x v="9"/>
    <x v="481"/>
    <x v="33"/>
    <n v="165"/>
    <n v="2"/>
    <n v="0"/>
    <x v="461"/>
    <s v="n.a."/>
  </r>
  <r>
    <x v="79"/>
    <x v="10"/>
    <x v="481"/>
    <x v="33"/>
    <n v="162"/>
    <n v="4"/>
    <n v="0"/>
    <x v="461"/>
    <s v="n.a."/>
  </r>
  <r>
    <x v="79"/>
    <x v="11"/>
    <x v="481"/>
    <x v="33"/>
    <n v="160"/>
    <n v="0"/>
    <n v="-2"/>
    <x v="461"/>
    <s v="n.a."/>
  </r>
  <r>
    <x v="79"/>
    <x v="12"/>
    <x v="481"/>
    <x v="33"/>
    <n v="159"/>
    <n v="0"/>
    <n v="1"/>
    <x v="461"/>
    <s v="n.a."/>
  </r>
  <r>
    <x v="79"/>
    <x v="13"/>
    <x v="481"/>
    <x v="33"/>
    <n v="160"/>
    <n v="2"/>
    <n v="1"/>
    <x v="461"/>
    <s v="n.a."/>
  </r>
  <r>
    <x v="79"/>
    <x v="14"/>
    <x v="481"/>
    <x v="33"/>
    <n v="160"/>
    <n v="1"/>
    <n v="1"/>
    <x v="461"/>
    <s v="n.a."/>
  </r>
  <r>
    <x v="79"/>
    <x v="15"/>
    <x v="481"/>
    <x v="33"/>
    <n v="157"/>
    <n v="1"/>
    <n v="1"/>
    <x v="461"/>
    <s v="n.a."/>
  </r>
  <r>
    <x v="79"/>
    <x v="16"/>
    <x v="481"/>
    <x v="33"/>
    <n v="154"/>
    <n v="1"/>
    <n v="1"/>
    <x v="461"/>
    <s v="n.a."/>
  </r>
  <r>
    <x v="79"/>
    <x v="17"/>
    <x v="481"/>
    <x v="33"/>
    <n v="151"/>
    <n v="2"/>
    <n v="1"/>
    <x v="461"/>
    <s v="n.a."/>
  </r>
  <r>
    <x v="79"/>
    <x v="18"/>
    <x v="481"/>
    <x v="33"/>
    <n v="148"/>
    <n v="-3"/>
    <n v="-1"/>
    <x v="461"/>
    <s v="n.a."/>
  </r>
  <r>
    <x v="79"/>
    <x v="19"/>
    <x v="481"/>
    <x v="33"/>
    <n v="153"/>
    <n v="0"/>
    <n v="0"/>
    <x v="461"/>
    <s v="n.a."/>
  </r>
  <r>
    <x v="79"/>
    <x v="20"/>
    <x v="481"/>
    <x v="33"/>
    <n v="153"/>
    <n v="49"/>
    <n v="-1"/>
    <x v="461"/>
    <s v="n.a."/>
  </r>
  <r>
    <x v="79"/>
    <x v="21"/>
    <x v="481"/>
    <x v="33"/>
    <n v="106"/>
    <n v="0"/>
    <n v="0"/>
    <x v="461"/>
    <s v="n.a."/>
  </r>
  <r>
    <x v="79"/>
    <x v="22"/>
    <x v="481"/>
    <x v="33"/>
    <n v="107"/>
    <n v="1"/>
    <n v="1"/>
    <x v="461"/>
    <s v="n.a."/>
  </r>
  <r>
    <x v="79"/>
    <x v="23"/>
    <x v="481"/>
    <x v="33"/>
    <n v="104"/>
    <n v="4"/>
    <n v="1"/>
    <x v="461"/>
    <s v="n.a."/>
  </r>
  <r>
    <x v="79"/>
    <x v="24"/>
    <x v="481"/>
    <x v="33"/>
    <n v="99"/>
    <n v="-3"/>
    <n v="0"/>
    <x v="461"/>
    <s v="n.a."/>
  </r>
  <r>
    <x v="79"/>
    <x v="25"/>
    <x v="481"/>
    <x v="33"/>
    <n v="103"/>
    <n v="1"/>
    <n v="-1"/>
    <x v="461"/>
    <s v="n.a."/>
  </r>
  <r>
    <x v="79"/>
    <x v="26"/>
    <x v="481"/>
    <x v="33"/>
    <n v="101"/>
    <n v="1"/>
    <n v="0"/>
    <x v="461"/>
    <s v="n.a."/>
  </r>
  <r>
    <x v="79"/>
    <x v="27"/>
    <x v="481"/>
    <x v="33"/>
    <n v="100"/>
    <n v="1"/>
    <n v="0"/>
    <x v="461"/>
    <s v="n.a."/>
  </r>
  <r>
    <x v="79"/>
    <x v="28"/>
    <x v="481"/>
    <x v="33"/>
    <n v="99"/>
    <n v="0"/>
    <n v="-3"/>
    <x v="461"/>
    <s v="n.a."/>
  </r>
  <r>
    <x v="79"/>
    <x v="29"/>
    <x v="481"/>
    <x v="33"/>
    <n v="99"/>
    <n v="1"/>
    <n v="2"/>
    <x v="461"/>
    <s v="n.a."/>
  </r>
  <r>
    <x v="79"/>
    <x v="30"/>
    <x v="481"/>
    <x v="33"/>
    <n v="98"/>
    <n v="-1"/>
    <n v="0"/>
    <x v="461"/>
    <s v="n.a."/>
  </r>
  <r>
    <x v="79"/>
    <x v="31"/>
    <x v="481"/>
    <x v="33"/>
    <n v="99"/>
    <n v="1"/>
    <n v="1"/>
    <x v="461"/>
    <s v="n.a."/>
  </r>
  <r>
    <x v="79"/>
    <x v="32"/>
    <x v="481"/>
    <x v="33"/>
    <n v="94"/>
    <n v="-1015"/>
    <n v="-16"/>
    <x v="461"/>
    <s v="n.a."/>
  </r>
  <r>
    <x v="79"/>
    <x v="33"/>
    <x v="481"/>
    <x v="33"/>
    <n v="1127"/>
    <s v="n.a."/>
    <s v="n.a."/>
    <x v="461"/>
    <s v="n.a."/>
  </r>
  <r>
    <x v="79"/>
    <x v="34"/>
    <x v="481"/>
    <x v="33"/>
    <n v="93"/>
    <s v="n.a."/>
    <s v="n.a."/>
    <x v="461"/>
    <s v="n.a."/>
  </r>
  <r>
    <x v="79"/>
    <x v="35"/>
    <x v="481"/>
    <x v="33"/>
    <n v="94"/>
    <s v="n.a."/>
    <s v="n.a."/>
    <x v="461"/>
    <s v="n.a."/>
  </r>
  <r>
    <x v="79"/>
    <x v="36"/>
    <x v="481"/>
    <x v="33"/>
    <n v="93"/>
    <s v="n.a."/>
    <s v="n.a."/>
    <x v="461"/>
    <s v="n.a."/>
  </r>
  <r>
    <x v="79"/>
    <x v="37"/>
    <x v="481"/>
    <x v="33"/>
    <n v="92"/>
    <s v="n.a."/>
    <s v="n.a."/>
    <x v="461"/>
    <s v="n.a."/>
  </r>
  <r>
    <x v="79"/>
    <x v="38"/>
    <x v="481"/>
    <x v="33"/>
    <n v="92"/>
    <s v="n.a."/>
    <s v="n.a."/>
    <x v="461"/>
    <s v="n.a."/>
  </r>
  <r>
    <x v="79"/>
    <x v="39"/>
    <x v="481"/>
    <x v="33"/>
    <n v="96"/>
    <s v="n.a."/>
    <s v="n.a."/>
    <x v="461"/>
    <s v="n.a."/>
  </r>
  <r>
    <x v="79"/>
    <x v="40"/>
    <x v="481"/>
    <x v="33"/>
    <n v="96"/>
    <s v="n.a."/>
    <s v="n.a."/>
    <x v="461"/>
    <s v="n.a."/>
  </r>
  <r>
    <x v="79"/>
    <x v="41"/>
    <x v="481"/>
    <x v="33"/>
    <n v="96"/>
    <s v="n.a."/>
    <s v="n.a."/>
    <x v="461"/>
    <s v="n.a."/>
  </r>
  <r>
    <x v="79"/>
    <x v="42"/>
    <x v="481"/>
    <x v="33"/>
    <n v="95"/>
    <s v="n.a."/>
    <s v="n.a."/>
    <x v="461"/>
    <s v="n.a."/>
  </r>
  <r>
    <x v="79"/>
    <x v="43"/>
    <x v="481"/>
    <x v="33"/>
    <n v="94"/>
    <s v="n.a."/>
    <s v="n.a."/>
    <x v="461"/>
    <s v="n.a."/>
  </r>
  <r>
    <x v="79"/>
    <x v="44"/>
    <x v="481"/>
    <x v="33"/>
    <n v="2225"/>
    <s v="n.a."/>
    <s v="n.a."/>
    <x v="461"/>
    <s v="n.a."/>
  </r>
  <r>
    <x v="79"/>
    <x v="45"/>
    <x v="481"/>
    <x v="33"/>
    <n v="2232"/>
    <s v="n.a."/>
    <s v="n.a."/>
    <x v="461"/>
    <s v="n.a."/>
  </r>
  <r>
    <x v="79"/>
    <x v="46"/>
    <x v="481"/>
    <x v="33"/>
    <n v="2244"/>
    <s v="n.a."/>
    <s v="n.a."/>
    <x v="461"/>
    <s v="n.a."/>
  </r>
  <r>
    <x v="79"/>
    <x v="47"/>
    <x v="481"/>
    <x v="33"/>
    <n v="2249"/>
    <s v="n.a."/>
    <s v="n.a."/>
    <x v="461"/>
    <s v="n.a."/>
  </r>
  <r>
    <x v="79"/>
    <x v="48"/>
    <x v="481"/>
    <x v="33"/>
    <n v="2249"/>
    <s v="n.a."/>
    <s v="n.a."/>
    <x v="461"/>
    <s v="n.a."/>
  </r>
  <r>
    <x v="79"/>
    <x v="49"/>
    <x v="481"/>
    <x v="33"/>
    <n v="2254"/>
    <s v="n.a."/>
    <s v="n.a."/>
    <x v="461"/>
    <s v="n.a."/>
  </r>
  <r>
    <x v="79"/>
    <x v="50"/>
    <x v="481"/>
    <x v="33"/>
    <n v="2258"/>
    <s v="n.a."/>
    <s v="n.a."/>
    <x v="461"/>
    <s v="n.a."/>
  </r>
  <r>
    <x v="79"/>
    <x v="51"/>
    <x v="481"/>
    <x v="33"/>
    <n v="2256"/>
    <s v="n.a."/>
    <s v="n.a."/>
    <x v="461"/>
    <s v="n.a."/>
  </r>
  <r>
    <x v="79"/>
    <x v="52"/>
    <x v="481"/>
    <x v="33"/>
    <n v="2245"/>
    <s v="n.a."/>
    <s v="n.a."/>
    <x v="461"/>
    <s v="n.a."/>
  </r>
  <r>
    <x v="79"/>
    <x v="53"/>
    <x v="481"/>
    <x v="33"/>
    <n v="2249"/>
    <s v="n.a."/>
    <s v="n.a."/>
    <x v="461"/>
    <s v="n.a."/>
  </r>
  <r>
    <x v="79"/>
    <x v="54"/>
    <x v="481"/>
    <x v="33"/>
    <n v="2249"/>
    <s v="n.a."/>
    <s v="n.a."/>
    <x v="461"/>
    <s v="n.a."/>
  </r>
  <r>
    <x v="79"/>
    <x v="55"/>
    <x v="481"/>
    <x v="33"/>
    <n v="2248"/>
    <s v="n.a."/>
    <s v="n.a."/>
    <x v="461"/>
    <s v="n.a."/>
  </r>
  <r>
    <x v="79"/>
    <x v="56"/>
    <x v="481"/>
    <x v="33"/>
    <n v="2242"/>
    <s v="n.a."/>
    <s v="n.a."/>
    <x v="461"/>
    <s v="n.a."/>
  </r>
  <r>
    <x v="79"/>
    <x v="57"/>
    <x v="481"/>
    <x v="33"/>
    <n v="2242"/>
    <s v="n.a."/>
    <s v="n.a."/>
    <x v="461"/>
    <s v="n.a."/>
  </r>
  <r>
    <x v="79"/>
    <x v="58"/>
    <x v="481"/>
    <x v="33"/>
    <n v="2242"/>
    <s v="n.a."/>
    <s v="n.a."/>
    <x v="461"/>
    <s v="n.a."/>
  </r>
  <r>
    <x v="79"/>
    <x v="59"/>
    <x v="481"/>
    <x v="33"/>
    <n v="2244"/>
    <s v="n.a."/>
    <s v="n.a."/>
    <x v="461"/>
    <s v="n.a."/>
  </r>
  <r>
    <x v="79"/>
    <x v="60"/>
    <x v="481"/>
    <x v="33"/>
    <n v="2244"/>
    <s v="n.a."/>
    <s v="n.a."/>
    <x v="461"/>
    <s v="n.a."/>
  </r>
  <r>
    <x v="79"/>
    <x v="61"/>
    <x v="481"/>
    <x v="33"/>
    <n v="2243"/>
    <s v="n.a."/>
    <s v="n.a."/>
    <x v="461"/>
    <s v="n.a."/>
  </r>
  <r>
    <x v="79"/>
    <x v="62"/>
    <x v="481"/>
    <x v="33"/>
    <n v="2238"/>
    <s v="n.a."/>
    <s v="n.a."/>
    <x v="461"/>
    <s v="n.a."/>
  </r>
  <r>
    <x v="79"/>
    <x v="63"/>
    <x v="481"/>
    <x v="33"/>
    <n v="2238"/>
    <s v="n.a."/>
    <s v="n.a."/>
    <x v="461"/>
    <s v="n.a."/>
  </r>
  <r>
    <x v="79"/>
    <x v="64"/>
    <x v="481"/>
    <x v="33"/>
    <n v="2351"/>
    <s v="n.a."/>
    <s v="n.a."/>
    <x v="461"/>
    <s v="n.a."/>
  </r>
  <r>
    <x v="79"/>
    <x v="65"/>
    <x v="481"/>
    <x v="33"/>
    <n v="2235"/>
    <s v="n.a."/>
    <s v="n.a."/>
    <x v="461"/>
    <s v="n.a."/>
  </r>
  <r>
    <x v="79"/>
    <x v="66"/>
    <x v="481"/>
    <x v="33"/>
    <n v="2231"/>
    <s v="n.a."/>
    <s v="n.a."/>
    <x v="461"/>
    <s v="n.a."/>
  </r>
  <r>
    <x v="79"/>
    <x v="67"/>
    <x v="481"/>
    <x v="33"/>
    <n v="2236"/>
    <s v="n.a."/>
    <s v="n.a."/>
    <x v="461"/>
    <s v="n.a."/>
  </r>
  <r>
    <x v="79"/>
    <x v="68"/>
    <x v="481"/>
    <x v="33"/>
    <n v="2207"/>
    <s v="n.a."/>
    <s v="n.a."/>
    <x v="461"/>
    <s v="n.a."/>
  </r>
  <r>
    <x v="79"/>
    <x v="69"/>
    <x v="481"/>
    <x v="33"/>
    <n v="2192"/>
    <s v="n.a."/>
    <s v="n.a."/>
    <x v="461"/>
    <s v="n.a."/>
  </r>
  <r>
    <x v="80"/>
    <x v="0"/>
    <x v="4334"/>
    <x v="1775"/>
    <n v="38433"/>
    <n v="922"/>
    <n v="-790"/>
    <x v="3743"/>
    <n v="4224"/>
  </r>
  <r>
    <x v="80"/>
    <x v="1"/>
    <x v="4335"/>
    <x v="1776"/>
    <n v="40171"/>
    <n v="-1192"/>
    <n v="-120"/>
    <x v="3744"/>
    <n v="-5755"/>
  </r>
  <r>
    <x v="80"/>
    <x v="2"/>
    <x v="4336"/>
    <x v="1777"/>
    <n v="41688"/>
    <n v="1325"/>
    <n v="-692"/>
    <x v="3745"/>
    <n v="3119"/>
  </r>
  <r>
    <x v="80"/>
    <x v="3"/>
    <x v="4337"/>
    <x v="1778"/>
    <n v="40390"/>
    <n v="1691"/>
    <n v="-221"/>
    <x v="3746"/>
    <n v="100"/>
  </r>
  <r>
    <x v="80"/>
    <x v="4"/>
    <x v="4338"/>
    <x v="1779"/>
    <n v="39174"/>
    <n v="380"/>
    <n v="-736"/>
    <x v="3747"/>
    <n v="1166"/>
  </r>
  <r>
    <x v="80"/>
    <x v="5"/>
    <x v="4339"/>
    <x v="1780"/>
    <n v="38815"/>
    <n v="26"/>
    <n v="-1103"/>
    <x v="3748"/>
    <n v="-1111"/>
  </r>
  <r>
    <x v="80"/>
    <x v="6"/>
    <x v="4340"/>
    <x v="1102"/>
    <n v="39976"/>
    <n v="500"/>
    <n v="333"/>
    <x v="3749"/>
    <n v="-397"/>
  </r>
  <r>
    <x v="80"/>
    <x v="7"/>
    <x v="4341"/>
    <x v="412"/>
    <n v="38649"/>
    <n v="1051"/>
    <n v="205"/>
    <x v="3750"/>
    <n v="-971"/>
  </r>
  <r>
    <x v="80"/>
    <x v="8"/>
    <x v="4342"/>
    <x v="1194"/>
    <n v="37413"/>
    <n v="19"/>
    <n v="-631"/>
    <x v="3751"/>
    <n v="346"/>
  </r>
  <r>
    <x v="80"/>
    <x v="9"/>
    <x v="4343"/>
    <x v="1781"/>
    <n v="38211"/>
    <n v="326"/>
    <n v="-1010"/>
    <x v="3752"/>
    <n v="3033"/>
  </r>
  <r>
    <x v="80"/>
    <x v="10"/>
    <x v="4344"/>
    <x v="1782"/>
    <n v="38629"/>
    <n v="345"/>
    <n v="-1227"/>
    <x v="3753"/>
    <n v="-1462"/>
  </r>
  <r>
    <x v="80"/>
    <x v="11"/>
    <x v="4345"/>
    <x v="42"/>
    <n v="38299"/>
    <n v="2005"/>
    <n v="-1632"/>
    <x v="3754"/>
    <n v="-2826"/>
  </r>
  <r>
    <x v="80"/>
    <x v="12"/>
    <x v="4346"/>
    <x v="1783"/>
    <n v="36713"/>
    <n v="364"/>
    <n v="-1686"/>
    <x v="3755"/>
    <n v="1074"/>
  </r>
  <r>
    <x v="80"/>
    <x v="13"/>
    <x v="4347"/>
    <x v="1784"/>
    <n v="36988"/>
    <n v="525"/>
    <n v="-769"/>
    <x v="3756"/>
    <n v="737"/>
  </r>
  <r>
    <x v="80"/>
    <x v="14"/>
    <x v="4348"/>
    <x v="1785"/>
    <n v="36504"/>
    <n v="999"/>
    <n v="389"/>
    <x v="3757"/>
    <n v="-1783"/>
  </r>
  <r>
    <x v="80"/>
    <x v="15"/>
    <x v="4349"/>
    <x v="1786"/>
    <n v="35011"/>
    <n v="319"/>
    <n v="222"/>
    <x v="1922"/>
    <n v="1662"/>
  </r>
  <r>
    <x v="80"/>
    <x v="16"/>
    <x v="4350"/>
    <x v="1787"/>
    <n v="34685"/>
    <n v="665"/>
    <n v="118"/>
    <x v="3758"/>
    <n v="123"/>
  </r>
  <r>
    <x v="80"/>
    <x v="17"/>
    <x v="4351"/>
    <x v="1788"/>
    <n v="33925"/>
    <n v="-496"/>
    <n v="-52"/>
    <x v="3759"/>
    <n v="1271"/>
  </r>
  <r>
    <x v="80"/>
    <x v="18"/>
    <x v="4352"/>
    <x v="1789"/>
    <n v="34289"/>
    <n v="-870"/>
    <n v="-298"/>
    <x v="3760"/>
    <n v="404"/>
  </r>
  <r>
    <x v="80"/>
    <x v="19"/>
    <x v="4353"/>
    <x v="1790"/>
    <n v="36019"/>
    <n v="433"/>
    <n v="69"/>
    <x v="3761"/>
    <n v="-1998"/>
  </r>
  <r>
    <x v="80"/>
    <x v="20"/>
    <x v="4354"/>
    <x v="1791"/>
    <n v="36083"/>
    <n v="1251"/>
    <n v="-258"/>
    <x v="3762"/>
    <n v="2049"/>
  </r>
  <r>
    <x v="80"/>
    <x v="21"/>
    <x v="4355"/>
    <x v="1792"/>
    <n v="35007"/>
    <n v="-982"/>
    <n v="-537"/>
    <x v="3763"/>
    <n v="-1424"/>
  </r>
  <r>
    <x v="80"/>
    <x v="22"/>
    <x v="4356"/>
    <x v="1793"/>
    <n v="35521"/>
    <n v="99"/>
    <n v="216"/>
    <x v="3764"/>
    <n v="-1143"/>
  </r>
  <r>
    <x v="80"/>
    <x v="23"/>
    <x v="4357"/>
    <x v="1090"/>
    <n v="34739"/>
    <n v="-241"/>
    <n v="-529"/>
    <x v="3765"/>
    <n v="118"/>
  </r>
  <r>
    <x v="80"/>
    <x v="24"/>
    <x v="4358"/>
    <x v="110"/>
    <n v="35886"/>
    <n v="-300"/>
    <n v="-203"/>
    <x v="3766"/>
    <n v="1541"/>
  </r>
  <r>
    <x v="80"/>
    <x v="25"/>
    <x v="4359"/>
    <x v="446"/>
    <n v="37321"/>
    <n v="635"/>
    <n v="-21"/>
    <x v="3767"/>
    <n v="546"/>
  </r>
  <r>
    <x v="80"/>
    <x v="26"/>
    <x v="4360"/>
    <x v="1794"/>
    <n v="37094"/>
    <n v="1060"/>
    <n v="-980"/>
    <x v="3768"/>
    <n v="-848"/>
  </r>
  <r>
    <x v="80"/>
    <x v="27"/>
    <x v="4361"/>
    <x v="1795"/>
    <n v="37687"/>
    <n v="-208"/>
    <n v="358"/>
    <x v="3769"/>
    <n v="1570"/>
  </r>
  <r>
    <x v="80"/>
    <x v="28"/>
    <x v="4362"/>
    <x v="1796"/>
    <n v="38269"/>
    <n v="1011"/>
    <n v="1007"/>
    <x v="3770"/>
    <n v="-62"/>
  </r>
  <r>
    <x v="80"/>
    <x v="29"/>
    <x v="4363"/>
    <x v="1106"/>
    <n v="36059"/>
    <n v="959"/>
    <n v="254"/>
    <x v="3771"/>
    <n v="-1149"/>
  </r>
  <r>
    <x v="80"/>
    <x v="30"/>
    <x v="4364"/>
    <x v="1797"/>
    <n v="35449"/>
    <n v="156"/>
    <n v="234"/>
    <x v="3772"/>
    <n v="-1216"/>
  </r>
  <r>
    <x v="80"/>
    <x v="31"/>
    <x v="4365"/>
    <x v="805"/>
    <n v="35943"/>
    <n v="-21"/>
    <n v="617"/>
    <x v="3773"/>
    <n v="1055"/>
  </r>
  <r>
    <x v="80"/>
    <x v="32"/>
    <x v="4366"/>
    <x v="1798"/>
    <n v="35229"/>
    <n v="-1114"/>
    <n v="-73"/>
    <x v="3774"/>
    <n v="-1428"/>
  </r>
  <r>
    <x v="80"/>
    <x v="33"/>
    <x v="4367"/>
    <x v="33"/>
    <n v="37191"/>
    <s v="n.a."/>
    <s v="n.a."/>
    <x v="3775"/>
    <n v="1459"/>
  </r>
  <r>
    <x v="80"/>
    <x v="34"/>
    <x v="4368"/>
    <x v="33"/>
    <n v="37090"/>
    <s v="n.a."/>
    <s v="n.a."/>
    <x v="3776"/>
    <n v="-2061"/>
  </r>
  <r>
    <x v="80"/>
    <x v="35"/>
    <x v="4369"/>
    <x v="33"/>
    <n v="36323"/>
    <s v="n.a."/>
    <s v="n.a."/>
    <x v="3777"/>
    <n v="-627"/>
  </r>
  <r>
    <x v="80"/>
    <x v="36"/>
    <x v="4370"/>
    <x v="33"/>
    <n v="37574"/>
    <s v="n.a."/>
    <s v="n.a."/>
    <x v="3778"/>
    <n v="923"/>
  </r>
  <r>
    <x v="80"/>
    <x v="37"/>
    <x v="4371"/>
    <x v="33"/>
    <n v="39821"/>
    <s v="n.a."/>
    <s v="n.a."/>
    <x v="3779"/>
    <n v="1279"/>
  </r>
  <r>
    <x v="80"/>
    <x v="38"/>
    <x v="4372"/>
    <x v="33"/>
    <n v="39765"/>
    <s v="n.a."/>
    <s v="n.a."/>
    <x v="3780"/>
    <n v="-345"/>
  </r>
  <r>
    <x v="80"/>
    <x v="39"/>
    <x v="4373"/>
    <x v="33"/>
    <n v="39734"/>
    <s v="n.a."/>
    <s v="n.a."/>
    <x v="3781"/>
    <n v="320"/>
  </r>
  <r>
    <x v="80"/>
    <x v="40"/>
    <x v="4374"/>
    <x v="33"/>
    <n v="38902"/>
    <s v="n.a."/>
    <s v="n.a."/>
    <x v="3782"/>
    <n v="-184"/>
  </r>
  <r>
    <x v="80"/>
    <x v="41"/>
    <x v="4375"/>
    <x v="33"/>
    <n v="37444"/>
    <s v="n.a."/>
    <s v="n.a."/>
    <x v="3783"/>
    <n v="-659"/>
  </r>
  <r>
    <x v="80"/>
    <x v="42"/>
    <x v="4376"/>
    <x v="33"/>
    <n v="38675"/>
    <s v="n.a."/>
    <s v="n.a."/>
    <x v="3784"/>
    <n v="-293"/>
  </r>
  <r>
    <x v="80"/>
    <x v="43"/>
    <x v="4377"/>
    <x v="33"/>
    <n v="38625"/>
    <s v="n.a."/>
    <s v="n.a."/>
    <x v="3785"/>
    <n v="-6236"/>
  </r>
  <r>
    <x v="80"/>
    <x v="44"/>
    <x v="4378"/>
    <x v="33"/>
    <n v="39500"/>
    <s v="n.a."/>
    <s v="n.a."/>
    <x v="3786"/>
    <n v="-3938"/>
  </r>
  <r>
    <x v="80"/>
    <x v="45"/>
    <x v="4379"/>
    <x v="33"/>
    <n v="32930"/>
    <s v="n.a."/>
    <s v="n.a."/>
    <x v="3787"/>
    <n v="942"/>
  </r>
  <r>
    <x v="80"/>
    <x v="46"/>
    <x v="4380"/>
    <x v="33"/>
    <n v="38274"/>
    <s v="n.a."/>
    <s v="n.a."/>
    <x v="3788"/>
    <n v="2057"/>
  </r>
  <r>
    <x v="80"/>
    <x v="47"/>
    <x v="4381"/>
    <x v="33"/>
    <n v="40591"/>
    <s v="n.a."/>
    <s v="n.a."/>
    <x v="3789"/>
    <n v="-821"/>
  </r>
  <r>
    <x v="80"/>
    <x v="48"/>
    <x v="4382"/>
    <x v="33"/>
    <n v="41415"/>
    <s v="n.a."/>
    <s v="n.a."/>
    <x v="3790"/>
    <n v="-2008"/>
  </r>
  <r>
    <x v="80"/>
    <x v="49"/>
    <x v="4383"/>
    <x v="33"/>
    <n v="41136"/>
    <s v="n.a."/>
    <s v="n.a."/>
    <x v="3791"/>
    <n v="-354"/>
  </r>
  <r>
    <x v="80"/>
    <x v="50"/>
    <x v="4384"/>
    <x v="33"/>
    <n v="41523"/>
    <s v="n.a."/>
    <s v="n.a."/>
    <x v="3792"/>
    <n v="-2258"/>
  </r>
  <r>
    <x v="80"/>
    <x v="51"/>
    <x v="4385"/>
    <x v="33"/>
    <n v="40932"/>
    <s v="n.a."/>
    <s v="n.a."/>
    <x v="3793"/>
    <n v="-1504"/>
  </r>
  <r>
    <x v="80"/>
    <x v="52"/>
    <x v="4386"/>
    <x v="33"/>
    <n v="37875"/>
    <s v="n.a."/>
    <s v="n.a."/>
    <x v="3794"/>
    <n v="-1239"/>
  </r>
  <r>
    <x v="80"/>
    <x v="53"/>
    <x v="4387"/>
    <x v="33"/>
    <n v="36787"/>
    <s v="n.a."/>
    <s v="n.a."/>
    <x v="3795"/>
    <n v="444"/>
  </r>
  <r>
    <x v="80"/>
    <x v="54"/>
    <x v="4388"/>
    <x v="33"/>
    <n v="37740"/>
    <s v="n.a."/>
    <s v="n.a."/>
    <x v="3796"/>
    <n v="-2433"/>
  </r>
  <r>
    <x v="80"/>
    <x v="55"/>
    <x v="4389"/>
    <x v="33"/>
    <n v="36011"/>
    <s v="n.a."/>
    <s v="n.a."/>
    <x v="3797"/>
    <n v="787"/>
  </r>
  <r>
    <x v="80"/>
    <x v="56"/>
    <x v="4390"/>
    <x v="33"/>
    <n v="35653"/>
    <s v="n.a."/>
    <s v="n.a."/>
    <x v="3798"/>
    <n v="-1130"/>
  </r>
  <r>
    <x v="80"/>
    <x v="57"/>
    <x v="4391"/>
    <x v="33"/>
    <n v="35743"/>
    <s v="n.a."/>
    <s v="n.a."/>
    <x v="3799"/>
    <n v="3288"/>
  </r>
  <r>
    <x v="80"/>
    <x v="58"/>
    <x v="4392"/>
    <x v="33"/>
    <n v="38998"/>
    <s v="n.a."/>
    <s v="n.a."/>
    <x v="3800"/>
    <n v="363"/>
  </r>
  <r>
    <x v="80"/>
    <x v="59"/>
    <x v="4393"/>
    <x v="33"/>
    <n v="36925"/>
    <s v="n.a."/>
    <s v="n.a."/>
    <x v="3801"/>
    <n v="730"/>
  </r>
  <r>
    <x v="80"/>
    <x v="60"/>
    <x v="4394"/>
    <x v="33"/>
    <n v="37559"/>
    <s v="n.a."/>
    <s v="n.a."/>
    <x v="3802"/>
    <n v="442"/>
  </r>
  <r>
    <x v="80"/>
    <x v="61"/>
    <x v="4395"/>
    <x v="33"/>
    <n v="38061"/>
    <s v="n.a."/>
    <s v="n.a."/>
    <x v="3803"/>
    <n v="1011"/>
  </r>
  <r>
    <x v="80"/>
    <x v="62"/>
    <x v="4396"/>
    <x v="33"/>
    <n v="37834"/>
    <s v="n.a."/>
    <s v="n.a."/>
    <x v="3804"/>
    <n v="395"/>
  </r>
  <r>
    <x v="80"/>
    <x v="63"/>
    <x v="4397"/>
    <x v="33"/>
    <n v="38987"/>
    <s v="n.a."/>
    <s v="n.a."/>
    <x v="3805"/>
    <n v="1313"/>
  </r>
  <r>
    <x v="80"/>
    <x v="64"/>
    <x v="4398"/>
    <x v="33"/>
    <n v="38487"/>
    <s v="n.a."/>
    <s v="n.a."/>
    <x v="3806"/>
    <n v="993"/>
  </r>
  <r>
    <x v="80"/>
    <x v="65"/>
    <x v="4399"/>
    <x v="33"/>
    <n v="37712"/>
    <s v="n.a."/>
    <s v="n.a."/>
    <x v="3807"/>
    <n v="-640"/>
  </r>
  <r>
    <x v="80"/>
    <x v="66"/>
    <x v="4400"/>
    <x v="33"/>
    <n v="37276"/>
    <s v="n.a."/>
    <s v="n.a."/>
    <x v="3808"/>
    <n v="-6378"/>
  </r>
  <r>
    <x v="80"/>
    <x v="67"/>
    <x v="4401"/>
    <x v="33"/>
    <n v="41734"/>
    <s v="n.a."/>
    <s v="n.a."/>
    <x v="3809"/>
    <n v="-120"/>
  </r>
  <r>
    <x v="80"/>
    <x v="68"/>
    <x v="4402"/>
    <x v="33"/>
    <n v="40736"/>
    <s v="n.a."/>
    <s v="n.a."/>
    <x v="3810"/>
    <n v="1109"/>
  </r>
  <r>
    <x v="80"/>
    <x v="69"/>
    <x v="4403"/>
    <x v="33"/>
    <n v="38764"/>
    <s v="n.a."/>
    <s v="n.a."/>
    <x v="3811"/>
    <n v="3371"/>
  </r>
  <r>
    <x v="81"/>
    <x v="0"/>
    <x v="4404"/>
    <x v="1799"/>
    <n v="65605"/>
    <n v="4570"/>
    <n v="-1038"/>
    <x v="3812"/>
    <n v="-1234"/>
  </r>
  <r>
    <x v="81"/>
    <x v="1"/>
    <x v="4405"/>
    <x v="1800"/>
    <n v="62296"/>
    <n v="2719"/>
    <n v="29"/>
    <x v="3813"/>
    <n v="1674"/>
  </r>
  <r>
    <x v="81"/>
    <x v="2"/>
    <x v="4406"/>
    <x v="1801"/>
    <n v="59301"/>
    <n v="-4397"/>
    <n v="791"/>
    <x v="3814"/>
    <n v="-782"/>
  </r>
  <r>
    <x v="81"/>
    <x v="3"/>
    <x v="4407"/>
    <x v="1802"/>
    <n v="62159"/>
    <n v="9370"/>
    <n v="-444"/>
    <x v="3815"/>
    <n v="640"/>
  </r>
  <r>
    <x v="81"/>
    <x v="4"/>
    <x v="4408"/>
    <x v="1803"/>
    <n v="53365"/>
    <n v="-847"/>
    <n v="839"/>
    <x v="3816"/>
    <n v="-1185"/>
  </r>
  <r>
    <x v="81"/>
    <x v="5"/>
    <x v="4409"/>
    <x v="1804"/>
    <n v="52964"/>
    <n v="-5195"/>
    <n v="-1518"/>
    <x v="3817"/>
    <n v="1646"/>
  </r>
  <r>
    <x v="81"/>
    <x v="6"/>
    <x v="4410"/>
    <x v="1805"/>
    <n v="60422"/>
    <n v="710"/>
    <n v="153"/>
    <x v="2080"/>
    <n v="511"/>
  </r>
  <r>
    <x v="81"/>
    <x v="7"/>
    <x v="4411"/>
    <x v="1806"/>
    <n v="60190"/>
    <n v="-2337"/>
    <n v="-716"/>
    <x v="3818"/>
    <n v="-722"/>
  </r>
  <r>
    <x v="81"/>
    <x v="8"/>
    <x v="4412"/>
    <x v="1807"/>
    <n v="61746"/>
    <n v="2752"/>
    <n v="765"/>
    <x v="3819"/>
    <n v="390"/>
  </r>
  <r>
    <x v="81"/>
    <x v="9"/>
    <x v="4413"/>
    <x v="1808"/>
    <n v="58781"/>
    <n v="-3859"/>
    <n v="546"/>
    <x v="3820"/>
    <n v="1060"/>
  </r>
  <r>
    <x v="81"/>
    <x v="10"/>
    <x v="4414"/>
    <x v="1809"/>
    <n v="60726"/>
    <n v="3022"/>
    <n v="-1785"/>
    <x v="3821"/>
    <n v="-1155"/>
  </r>
  <r>
    <x v="81"/>
    <x v="11"/>
    <x v="4415"/>
    <x v="1810"/>
    <n v="60170"/>
    <n v="-5253"/>
    <n v="-196"/>
    <x v="3822"/>
    <n v="104"/>
  </r>
  <r>
    <x v="81"/>
    <x v="12"/>
    <x v="4416"/>
    <x v="1811"/>
    <n v="63736"/>
    <n v="-989"/>
    <n v="-534"/>
    <x v="3823"/>
    <n v="28"/>
  </r>
  <r>
    <x v="81"/>
    <x v="13"/>
    <x v="4417"/>
    <x v="227"/>
    <n v="65492"/>
    <n v="1837"/>
    <n v="556"/>
    <x v="3824"/>
    <n v="-868"/>
  </r>
  <r>
    <x v="81"/>
    <x v="14"/>
    <x v="4418"/>
    <x v="1812"/>
    <n v="64880"/>
    <n v="-5076"/>
    <n v="253"/>
    <x v="3825"/>
    <n v="2846"/>
  </r>
  <r>
    <x v="81"/>
    <x v="15"/>
    <x v="2140"/>
    <x v="1813"/>
    <n v="67700"/>
    <n v="9240"/>
    <n v="1388"/>
    <x v="3826"/>
    <n v="-2407"/>
  </r>
  <r>
    <x v="81"/>
    <x v="16"/>
    <x v="4419"/>
    <x v="1774"/>
    <n v="56505"/>
    <n v="59"/>
    <n v="265"/>
    <x v="3827"/>
    <n v="635"/>
  </r>
  <r>
    <x v="81"/>
    <x v="17"/>
    <x v="4420"/>
    <x v="1814"/>
    <n v="57719"/>
    <n v="-3699"/>
    <n v="713"/>
    <x v="3828"/>
    <n v="84"/>
  </r>
  <r>
    <x v="81"/>
    <x v="18"/>
    <x v="4421"/>
    <x v="1815"/>
    <n v="60473"/>
    <n v="3874"/>
    <n v="-2309"/>
    <x v="3829"/>
    <n v="-693"/>
  </r>
  <r>
    <x v="81"/>
    <x v="19"/>
    <x v="4422"/>
    <x v="1816"/>
    <n v="58654"/>
    <n v="-354"/>
    <n v="382"/>
    <x v="3830"/>
    <n v="-672"/>
  </r>
  <r>
    <x v="81"/>
    <x v="20"/>
    <x v="4423"/>
    <x v="1364"/>
    <n v="59508"/>
    <n v="-289"/>
    <n v="-784"/>
    <x v="3831"/>
    <n v="335"/>
  </r>
  <r>
    <x v="81"/>
    <x v="21"/>
    <x v="4424"/>
    <x v="1817"/>
    <n v="58902"/>
    <n v="11566"/>
    <n v="177"/>
    <x v="3832"/>
    <n v="-4229"/>
  </r>
  <r>
    <x v="81"/>
    <x v="22"/>
    <x v="4425"/>
    <x v="1558"/>
    <n v="47143"/>
    <n v="-428"/>
    <n v="1497"/>
    <x v="3833"/>
    <n v="1105"/>
  </r>
  <r>
    <x v="81"/>
    <x v="23"/>
    <x v="4426"/>
    <x v="962"/>
    <n v="45182"/>
    <n v="93"/>
    <n v="1370"/>
    <x v="3834"/>
    <n v="-490"/>
  </r>
  <r>
    <x v="81"/>
    <x v="24"/>
    <x v="4427"/>
    <x v="116"/>
    <n v="44199"/>
    <n v="-436"/>
    <n v="-504"/>
    <x v="3835"/>
    <n v="-317"/>
  </r>
  <r>
    <x v="81"/>
    <x v="25"/>
    <x v="4428"/>
    <x v="1818"/>
    <n v="43528"/>
    <n v="2948"/>
    <n v="-739"/>
    <x v="3836"/>
    <n v="-2175"/>
  </r>
  <r>
    <x v="81"/>
    <x v="26"/>
    <x v="4429"/>
    <x v="1819"/>
    <n v="41327"/>
    <n v="952"/>
    <n v="-284"/>
    <x v="3837"/>
    <n v="1552"/>
  </r>
  <r>
    <x v="81"/>
    <x v="27"/>
    <x v="4430"/>
    <x v="1820"/>
    <n v="41003"/>
    <n v="-4137"/>
    <n v="51"/>
    <x v="3838"/>
    <n v="386"/>
  </r>
  <r>
    <x v="81"/>
    <x v="28"/>
    <x v="4431"/>
    <x v="216"/>
    <n v="43939"/>
    <n v="66"/>
    <n v="142"/>
    <x v="3839"/>
    <n v="2898"/>
  </r>
  <r>
    <x v="81"/>
    <x v="29"/>
    <x v="4432"/>
    <x v="1821"/>
    <n v="43224"/>
    <n v="-328"/>
    <n v="-654"/>
    <x v="3840"/>
    <n v="-1908"/>
  </r>
  <r>
    <x v="81"/>
    <x v="30"/>
    <x v="4433"/>
    <x v="1822"/>
    <n v="47474"/>
    <n v="-4"/>
    <n v="258"/>
    <x v="3841"/>
    <n v="-911"/>
  </r>
  <r>
    <x v="81"/>
    <x v="31"/>
    <x v="4434"/>
    <x v="1823"/>
    <n v="46720"/>
    <n v="-1022"/>
    <n v="1476"/>
    <x v="3842"/>
    <n v="781"/>
  </r>
  <r>
    <x v="81"/>
    <x v="32"/>
    <x v="4435"/>
    <x v="1824"/>
    <n v="45894"/>
    <n v="-1446"/>
    <n v="-485"/>
    <x v="3843"/>
    <n v="-479"/>
  </r>
  <r>
    <x v="81"/>
    <x v="33"/>
    <x v="4436"/>
    <x v="33"/>
    <n v="48832"/>
    <s v="n.a."/>
    <s v="n.a."/>
    <x v="3844"/>
    <n v="505"/>
  </r>
  <r>
    <x v="81"/>
    <x v="34"/>
    <x v="4437"/>
    <x v="33"/>
    <n v="44811"/>
    <s v="n.a."/>
    <s v="n.a."/>
    <x v="3845"/>
    <n v="303"/>
  </r>
  <r>
    <x v="81"/>
    <x v="35"/>
    <x v="4438"/>
    <x v="33"/>
    <n v="46979"/>
    <s v="n.a."/>
    <s v="n.a."/>
    <x v="3846"/>
    <n v="6"/>
  </r>
  <r>
    <x v="81"/>
    <x v="36"/>
    <x v="4439"/>
    <x v="33"/>
    <n v="47220"/>
    <s v="n.a."/>
    <s v="n.a."/>
    <x v="1196"/>
    <n v="175"/>
  </r>
  <r>
    <x v="81"/>
    <x v="37"/>
    <x v="4440"/>
    <x v="33"/>
    <n v="45104"/>
    <s v="n.a."/>
    <s v="n.a."/>
    <x v="3847"/>
    <n v="2060"/>
  </r>
  <r>
    <x v="81"/>
    <x v="38"/>
    <x v="4441"/>
    <x v="33"/>
    <n v="47148"/>
    <s v="n.a."/>
    <s v="n.a."/>
    <x v="3848"/>
    <n v="1687"/>
  </r>
  <r>
    <x v="81"/>
    <x v="39"/>
    <x v="4442"/>
    <x v="33"/>
    <n v="48888"/>
    <s v="n.a."/>
    <s v="n.a."/>
    <x v="3849"/>
    <n v="370"/>
  </r>
  <r>
    <x v="81"/>
    <x v="40"/>
    <x v="4443"/>
    <x v="33"/>
    <n v="47265"/>
    <s v="n.a."/>
    <s v="n.a."/>
    <x v="3850"/>
    <n v="-1032"/>
  </r>
  <r>
    <x v="81"/>
    <x v="41"/>
    <x v="4444"/>
    <x v="33"/>
    <n v="49127"/>
    <s v="n.a."/>
    <s v="n.a."/>
    <x v="3851"/>
    <n v="-2184"/>
  </r>
  <r>
    <x v="81"/>
    <x v="42"/>
    <x v="4445"/>
    <x v="33"/>
    <n v="49907"/>
    <s v="n.a."/>
    <s v="n.a."/>
    <x v="3852"/>
    <n v="-953"/>
  </r>
  <r>
    <x v="81"/>
    <x v="43"/>
    <x v="4446"/>
    <x v="33"/>
    <n v="47988"/>
    <s v="n.a."/>
    <s v="n.a."/>
    <x v="3853"/>
    <n v="-584"/>
  </r>
  <r>
    <x v="81"/>
    <x v="44"/>
    <x v="4447"/>
    <x v="33"/>
    <n v="48826"/>
    <s v="n.a."/>
    <s v="n.a."/>
    <x v="3854"/>
    <n v="-494"/>
  </r>
  <r>
    <x v="81"/>
    <x v="45"/>
    <x v="4448"/>
    <x v="33"/>
    <n v="47425"/>
    <s v="n.a."/>
    <s v="n.a."/>
    <x v="3855"/>
    <n v="1660"/>
  </r>
  <r>
    <x v="81"/>
    <x v="46"/>
    <x v="4449"/>
    <x v="33"/>
    <n v="45652"/>
    <s v="n.a."/>
    <s v="n.a."/>
    <x v="3856"/>
    <n v="509"/>
  </r>
  <r>
    <x v="81"/>
    <x v="47"/>
    <x v="4450"/>
    <x v="33"/>
    <n v="44475"/>
    <s v="n.a."/>
    <s v="n.a."/>
    <x v="3857"/>
    <n v="-296"/>
  </r>
  <r>
    <x v="81"/>
    <x v="48"/>
    <x v="4451"/>
    <x v="33"/>
    <n v="43372"/>
    <s v="n.a."/>
    <s v="n.a."/>
    <x v="3858"/>
    <n v="1358"/>
  </r>
  <r>
    <x v="81"/>
    <x v="49"/>
    <x v="4452"/>
    <x v="33"/>
    <n v="38744"/>
    <s v="n.a."/>
    <s v="n.a."/>
    <x v="3859"/>
    <n v="1141"/>
  </r>
  <r>
    <x v="81"/>
    <x v="50"/>
    <x v="4453"/>
    <x v="33"/>
    <n v="39170"/>
    <s v="n.a."/>
    <s v="n.a."/>
    <x v="3860"/>
    <n v="262"/>
  </r>
  <r>
    <x v="81"/>
    <x v="51"/>
    <x v="4454"/>
    <x v="33"/>
    <n v="38652"/>
    <s v="n.a."/>
    <s v="n.a."/>
    <x v="3687"/>
    <n v="-294"/>
  </r>
  <r>
    <x v="81"/>
    <x v="52"/>
    <x v="4455"/>
    <x v="33"/>
    <n v="37179"/>
    <s v="n.a."/>
    <s v="n.a."/>
    <x v="3861"/>
    <n v="-419"/>
  </r>
  <r>
    <x v="81"/>
    <x v="53"/>
    <x v="4456"/>
    <x v="33"/>
    <n v="37022"/>
    <s v="n.a."/>
    <s v="n.a."/>
    <x v="3862"/>
    <n v="1445"/>
  </r>
  <r>
    <x v="81"/>
    <x v="54"/>
    <x v="4457"/>
    <x v="33"/>
    <n v="35964"/>
    <s v="n.a."/>
    <s v="n.a."/>
    <x v="3863"/>
    <n v="-156"/>
  </r>
  <r>
    <x v="81"/>
    <x v="55"/>
    <x v="4458"/>
    <x v="33"/>
    <n v="34184"/>
    <s v="n.a."/>
    <s v="n.a."/>
    <x v="2986"/>
    <n v="-308"/>
  </r>
  <r>
    <x v="81"/>
    <x v="56"/>
    <x v="4459"/>
    <x v="33"/>
    <n v="33101"/>
    <s v="n.a."/>
    <s v="n.a."/>
    <x v="3864"/>
    <n v="-1806"/>
  </r>
  <r>
    <x v="81"/>
    <x v="57"/>
    <x v="4460"/>
    <x v="33"/>
    <n v="31852"/>
    <s v="n.a."/>
    <s v="n.a."/>
    <x v="3865"/>
    <n v="1744"/>
  </r>
  <r>
    <x v="81"/>
    <x v="58"/>
    <x v="4461"/>
    <x v="33"/>
    <n v="32349"/>
    <s v="n.a."/>
    <s v="n.a."/>
    <x v="3866"/>
    <n v="-2210"/>
  </r>
  <r>
    <x v="81"/>
    <x v="59"/>
    <x v="4462"/>
    <x v="33"/>
    <n v="30988"/>
    <s v="n.a."/>
    <s v="n.a."/>
    <x v="3867"/>
    <n v="1222"/>
  </r>
  <r>
    <x v="81"/>
    <x v="60"/>
    <x v="4463"/>
    <x v="33"/>
    <n v="31065"/>
    <s v="n.a."/>
    <s v="n.a."/>
    <x v="3868"/>
    <n v="574"/>
  </r>
  <r>
    <x v="81"/>
    <x v="61"/>
    <x v="4464"/>
    <x v="33"/>
    <n v="31474"/>
    <s v="n.a."/>
    <s v="n.a."/>
    <x v="3869"/>
    <n v="-870"/>
  </r>
  <r>
    <x v="81"/>
    <x v="62"/>
    <x v="4465"/>
    <x v="33"/>
    <n v="34162"/>
    <s v="n.a."/>
    <s v="n.a."/>
    <x v="432"/>
    <n v="-380"/>
  </r>
  <r>
    <x v="81"/>
    <x v="63"/>
    <x v="3740"/>
    <x v="33"/>
    <n v="34678"/>
    <s v="n.a."/>
    <s v="n.a."/>
    <x v="3092"/>
    <n v="-1023"/>
  </r>
  <r>
    <x v="81"/>
    <x v="64"/>
    <x v="4466"/>
    <x v="33"/>
    <n v="32866"/>
    <s v="n.a."/>
    <s v="n.a."/>
    <x v="3870"/>
    <n v="388"/>
  </r>
  <r>
    <x v="81"/>
    <x v="65"/>
    <x v="4467"/>
    <x v="33"/>
    <n v="33743"/>
    <s v="n.a."/>
    <s v="n.a."/>
    <x v="3871"/>
    <n v="1832"/>
  </r>
  <r>
    <x v="81"/>
    <x v="66"/>
    <x v="618"/>
    <x v="33"/>
    <n v="36935"/>
    <s v="n.a."/>
    <s v="n.a."/>
    <x v="3872"/>
    <n v="2270"/>
  </r>
  <r>
    <x v="81"/>
    <x v="67"/>
    <x v="4468"/>
    <x v="33"/>
    <n v="40647"/>
    <s v="n.a."/>
    <s v="n.a."/>
    <x v="3873"/>
    <n v="349"/>
  </r>
  <r>
    <x v="81"/>
    <x v="68"/>
    <x v="4469"/>
    <x v="33"/>
    <n v="38422"/>
    <s v="n.a."/>
    <s v="n.a."/>
    <x v="2900"/>
    <n v="-349"/>
  </r>
  <r>
    <x v="81"/>
    <x v="69"/>
    <x v="4470"/>
    <x v="33"/>
    <n v="39473"/>
    <s v="n.a."/>
    <s v="n.a."/>
    <x v="3873"/>
    <n v="-230"/>
  </r>
  <r>
    <x v="82"/>
    <x v="0"/>
    <x v="4471"/>
    <x v="1825"/>
    <n v="13202"/>
    <n v="702"/>
    <n v="3"/>
    <x v="3874"/>
    <n v="39"/>
  </r>
  <r>
    <x v="82"/>
    <x v="1"/>
    <x v="4472"/>
    <x v="1826"/>
    <n v="12582"/>
    <n v="388"/>
    <n v="28"/>
    <x v="1164"/>
    <n v="139"/>
  </r>
  <r>
    <x v="82"/>
    <x v="2"/>
    <x v="4473"/>
    <x v="282"/>
    <n v="12088"/>
    <n v="217"/>
    <n v="133"/>
    <x v="3875"/>
    <n v="-154"/>
  </r>
  <r>
    <x v="82"/>
    <x v="3"/>
    <x v="4474"/>
    <x v="1827"/>
    <n v="12890"/>
    <n v="-65"/>
    <n v="-113"/>
    <x v="3876"/>
    <n v="-83"/>
  </r>
  <r>
    <x v="82"/>
    <x v="4"/>
    <x v="4475"/>
    <x v="1828"/>
    <n v="13237"/>
    <n v="193"/>
    <n v="320"/>
    <x v="3877"/>
    <n v="184"/>
  </r>
  <r>
    <x v="82"/>
    <x v="5"/>
    <x v="4476"/>
    <x v="1829"/>
    <n v="12931"/>
    <n v="1253"/>
    <n v="-220"/>
    <x v="3878"/>
    <n v="53"/>
  </r>
  <r>
    <x v="82"/>
    <x v="6"/>
    <x v="4477"/>
    <x v="1819"/>
    <n v="11745"/>
    <n v="353"/>
    <n v="94"/>
    <x v="3875"/>
    <n v="2151"/>
  </r>
  <r>
    <x v="82"/>
    <x v="7"/>
    <x v="4478"/>
    <x v="1830"/>
    <n v="11245"/>
    <n v="1033"/>
    <n v="-28"/>
    <x v="793"/>
    <n v="37"/>
  </r>
  <r>
    <x v="82"/>
    <x v="8"/>
    <x v="4479"/>
    <x v="1115"/>
    <n v="10681"/>
    <n v="220"/>
    <n v="208"/>
    <x v="3879"/>
    <n v="4"/>
  </r>
  <r>
    <x v="82"/>
    <x v="9"/>
    <x v="4480"/>
    <x v="1831"/>
    <n v="9252"/>
    <n v="-322"/>
    <n v="65"/>
    <x v="3880"/>
    <n v="-31"/>
  </r>
  <r>
    <x v="82"/>
    <x v="10"/>
    <x v="4481"/>
    <x v="1832"/>
    <n v="9487"/>
    <n v="-23"/>
    <n v="-88"/>
    <x v="1617"/>
    <n v="-364"/>
  </r>
  <r>
    <x v="82"/>
    <x v="11"/>
    <x v="2204"/>
    <x v="1833"/>
    <n v="9577"/>
    <n v="-193"/>
    <n v="126"/>
    <x v="3881"/>
    <n v="-470"/>
  </r>
  <r>
    <x v="82"/>
    <x v="12"/>
    <x v="4482"/>
    <x v="1368"/>
    <n v="9598"/>
    <n v="349"/>
    <n v="-89"/>
    <x v="3882"/>
    <n v="464"/>
  </r>
  <r>
    <x v="82"/>
    <x v="13"/>
    <x v="4483"/>
    <x v="1834"/>
    <n v="9459"/>
    <n v="775"/>
    <n v="-33"/>
    <x v="3883"/>
    <n v="-1046"/>
  </r>
  <r>
    <x v="82"/>
    <x v="14"/>
    <x v="4484"/>
    <x v="1835"/>
    <n v="8636"/>
    <n v="692"/>
    <n v="75"/>
    <x v="3884"/>
    <n v="-1142"/>
  </r>
  <r>
    <x v="82"/>
    <x v="15"/>
    <x v="4485"/>
    <x v="1836"/>
    <n v="7847"/>
    <n v="-931"/>
    <n v="106"/>
    <x v="3885"/>
    <n v="1002"/>
  </r>
  <r>
    <x v="82"/>
    <x v="16"/>
    <x v="4486"/>
    <x v="1837"/>
    <n v="8635"/>
    <n v="402"/>
    <n v="155"/>
    <x v="3886"/>
    <n v="-105"/>
  </r>
  <r>
    <x v="82"/>
    <x v="17"/>
    <x v="4487"/>
    <x v="1838"/>
    <n v="8129"/>
    <n v="173"/>
    <n v="46"/>
    <x v="3887"/>
    <n v="-343"/>
  </r>
  <r>
    <x v="82"/>
    <x v="18"/>
    <x v="4488"/>
    <x v="1839"/>
    <n v="7951"/>
    <n v="545"/>
    <n v="-82"/>
    <x v="3888"/>
    <n v="-11"/>
  </r>
  <r>
    <x v="82"/>
    <x v="19"/>
    <x v="4489"/>
    <x v="26"/>
    <n v="7478"/>
    <n v="238"/>
    <n v="45"/>
    <x v="3889"/>
    <n v="91"/>
  </r>
  <r>
    <x v="82"/>
    <x v="20"/>
    <x v="1649"/>
    <x v="1840"/>
    <n v="7274"/>
    <n v="490"/>
    <n v="-139"/>
    <x v="3890"/>
    <n v="1688"/>
  </r>
  <r>
    <x v="82"/>
    <x v="21"/>
    <x v="4490"/>
    <x v="1841"/>
    <n v="6900"/>
    <n v="1218"/>
    <n v="29"/>
    <x v="3891"/>
    <n v="431"/>
  </r>
  <r>
    <x v="82"/>
    <x v="22"/>
    <x v="4491"/>
    <x v="1842"/>
    <n v="5856"/>
    <n v="-102"/>
    <n v="110"/>
    <x v="817"/>
    <n v="13"/>
  </r>
  <r>
    <x v="82"/>
    <x v="23"/>
    <x v="4492"/>
    <x v="1747"/>
    <n v="5836"/>
    <n v="52"/>
    <n v="-16"/>
    <x v="3892"/>
    <n v="-29"/>
  </r>
  <r>
    <x v="82"/>
    <x v="24"/>
    <x v="4493"/>
    <x v="1843"/>
    <n v="5731"/>
    <n v="44"/>
    <n v="58"/>
    <x v="2271"/>
    <n v="34"/>
  </r>
  <r>
    <x v="82"/>
    <x v="25"/>
    <x v="4494"/>
    <x v="1844"/>
    <n v="5675"/>
    <n v="860"/>
    <n v="-49"/>
    <x v="2034"/>
    <n v="56"/>
  </r>
  <r>
    <x v="82"/>
    <x v="26"/>
    <x v="870"/>
    <x v="2"/>
    <n v="4928"/>
    <n v="189"/>
    <n v="-36"/>
    <x v="2030"/>
    <n v="16"/>
  </r>
  <r>
    <x v="82"/>
    <x v="27"/>
    <x v="4495"/>
    <x v="95"/>
    <n v="4718"/>
    <n v="32"/>
    <n v="96"/>
    <x v="810"/>
    <n v="4"/>
  </r>
  <r>
    <x v="82"/>
    <x v="28"/>
    <x v="4496"/>
    <x v="109"/>
    <n v="4655"/>
    <n v="323"/>
    <n v="260"/>
    <x v="3893"/>
    <n v="-1010"/>
  </r>
  <r>
    <x v="82"/>
    <x v="29"/>
    <x v="4497"/>
    <x v="1845"/>
    <n v="4492"/>
    <n v="-59"/>
    <n v="-7"/>
    <x v="4"/>
    <n v="977"/>
  </r>
  <r>
    <x v="82"/>
    <x v="30"/>
    <x v="4498"/>
    <x v="1088"/>
    <n v="4654"/>
    <n v="302"/>
    <n v="87"/>
    <x v="3894"/>
    <n v="-73"/>
  </r>
  <r>
    <x v="82"/>
    <x v="31"/>
    <x v="4499"/>
    <x v="892"/>
    <n v="4289"/>
    <n v="30"/>
    <n v="533"/>
    <x v="3895"/>
    <n v="39"/>
  </r>
  <r>
    <x v="82"/>
    <x v="32"/>
    <x v="4500"/>
    <x v="128"/>
    <n v="4270"/>
    <n v="319"/>
    <n v="-95"/>
    <x v="808"/>
    <n v="-55"/>
  </r>
  <r>
    <x v="82"/>
    <x v="33"/>
    <x v="4501"/>
    <x v="33"/>
    <n v="4157"/>
    <s v="n.a."/>
    <s v="n.a."/>
    <x v="280"/>
    <n v="-285"/>
  </r>
  <r>
    <x v="82"/>
    <x v="34"/>
    <x v="884"/>
    <x v="33"/>
    <n v="4017"/>
    <s v="n.a."/>
    <s v="n.a."/>
    <x v="3896"/>
    <n v="128"/>
  </r>
  <r>
    <x v="82"/>
    <x v="35"/>
    <x v="4502"/>
    <x v="33"/>
    <n v="3947"/>
    <s v="n.a."/>
    <s v="n.a."/>
    <x v="906"/>
    <n v="-48"/>
  </r>
  <r>
    <x v="82"/>
    <x v="36"/>
    <x v="4503"/>
    <x v="33"/>
    <n v="3607"/>
    <s v="n.a."/>
    <s v="n.a."/>
    <x v="304"/>
    <n v="51"/>
  </r>
  <r>
    <x v="82"/>
    <x v="37"/>
    <x v="4504"/>
    <x v="33"/>
    <n v="4416"/>
    <s v="n.a."/>
    <s v="n.a."/>
    <x v="39"/>
    <n v="368"/>
  </r>
  <r>
    <x v="82"/>
    <x v="38"/>
    <x v="4505"/>
    <x v="33"/>
    <n v="4675"/>
    <s v="n.a."/>
    <s v="n.a."/>
    <x v="1873"/>
    <n v="-89"/>
  </r>
  <r>
    <x v="82"/>
    <x v="39"/>
    <x v="4506"/>
    <x v="33"/>
    <n v="4652"/>
    <s v="n.a."/>
    <s v="n.a."/>
    <x v="276"/>
    <n v="-97"/>
  </r>
  <r>
    <x v="82"/>
    <x v="40"/>
    <x v="4507"/>
    <x v="33"/>
    <n v="4537"/>
    <s v="n.a."/>
    <s v="n.a."/>
    <x v="817"/>
    <n v="-327"/>
  </r>
  <r>
    <x v="82"/>
    <x v="41"/>
    <x v="4508"/>
    <x v="33"/>
    <n v="4509"/>
    <s v="n.a."/>
    <s v="n.a."/>
    <x v="3897"/>
    <n v="-80"/>
  </r>
  <r>
    <x v="82"/>
    <x v="42"/>
    <x v="4509"/>
    <x v="33"/>
    <n v="4604"/>
    <s v="n.a."/>
    <s v="n.a."/>
    <x v="3898"/>
    <n v="100"/>
  </r>
  <r>
    <x v="82"/>
    <x v="43"/>
    <x v="4510"/>
    <x v="33"/>
    <n v="4887"/>
    <s v="n.a."/>
    <s v="n.a."/>
    <x v="38"/>
    <n v="153"/>
  </r>
  <r>
    <x v="82"/>
    <x v="44"/>
    <x v="4511"/>
    <x v="33"/>
    <n v="4840"/>
    <s v="n.a."/>
    <s v="n.a."/>
    <x v="298"/>
    <n v="-75"/>
  </r>
  <r>
    <x v="82"/>
    <x v="45"/>
    <x v="1709"/>
    <x v="33"/>
    <n v="4787"/>
    <s v="n.a."/>
    <s v="n.a."/>
    <x v="303"/>
    <n v="3"/>
  </r>
  <r>
    <x v="82"/>
    <x v="46"/>
    <x v="4512"/>
    <x v="33"/>
    <n v="4885"/>
    <s v="n.a."/>
    <s v="n.a."/>
    <x v="2047"/>
    <n v="-90"/>
  </r>
  <r>
    <x v="82"/>
    <x v="47"/>
    <x v="4513"/>
    <x v="33"/>
    <n v="5102"/>
    <s v="n.a."/>
    <s v="n.a."/>
    <x v="301"/>
    <n v="-62"/>
  </r>
  <r>
    <x v="82"/>
    <x v="48"/>
    <x v="4514"/>
    <x v="33"/>
    <n v="5066"/>
    <s v="n.a."/>
    <s v="n.a."/>
    <x v="1854"/>
    <n v="50"/>
  </r>
  <r>
    <x v="82"/>
    <x v="49"/>
    <x v="4515"/>
    <x v="33"/>
    <n v="5048"/>
    <s v="n.a."/>
    <s v="n.a."/>
    <x v="3899"/>
    <n v="-412"/>
  </r>
  <r>
    <x v="82"/>
    <x v="50"/>
    <x v="4516"/>
    <x v="33"/>
    <n v="5104"/>
    <s v="n.a."/>
    <s v="n.a."/>
    <x v="3900"/>
    <n v="-28"/>
  </r>
  <r>
    <x v="82"/>
    <x v="51"/>
    <x v="4517"/>
    <x v="33"/>
    <n v="5308"/>
    <s v="n.a."/>
    <s v="n.a."/>
    <x v="3901"/>
    <n v="-531"/>
  </r>
  <r>
    <x v="82"/>
    <x v="52"/>
    <x v="4518"/>
    <x v="33"/>
    <n v="5207"/>
    <s v="n.a."/>
    <s v="n.a."/>
    <x v="3902"/>
    <n v="250"/>
  </r>
  <r>
    <x v="82"/>
    <x v="53"/>
    <x v="4519"/>
    <x v="33"/>
    <n v="5359"/>
    <s v="n.a."/>
    <s v="n.a."/>
    <x v="3903"/>
    <n v="-640"/>
  </r>
  <r>
    <x v="82"/>
    <x v="54"/>
    <x v="4520"/>
    <x v="33"/>
    <n v="5412"/>
    <s v="n.a."/>
    <s v="n.a."/>
    <x v="210"/>
    <n v="-371"/>
  </r>
  <r>
    <x v="82"/>
    <x v="55"/>
    <x v="2104"/>
    <x v="33"/>
    <n v="5370"/>
    <s v="n.a."/>
    <s v="n.a."/>
    <x v="3904"/>
    <n v="-446"/>
  </r>
  <r>
    <x v="82"/>
    <x v="56"/>
    <x v="4521"/>
    <x v="33"/>
    <n v="5730"/>
    <s v="n.a."/>
    <s v="n.a."/>
    <x v="3905"/>
    <n v="-30"/>
  </r>
  <r>
    <x v="82"/>
    <x v="57"/>
    <x v="4522"/>
    <x v="33"/>
    <n v="5443"/>
    <s v="n.a."/>
    <s v="n.a."/>
    <x v="3906"/>
    <n v="699"/>
  </r>
  <r>
    <x v="82"/>
    <x v="58"/>
    <x v="4523"/>
    <x v="33"/>
    <n v="5328"/>
    <s v="n.a."/>
    <s v="n.a."/>
    <x v="3907"/>
    <n v="-366"/>
  </r>
  <r>
    <x v="82"/>
    <x v="59"/>
    <x v="4524"/>
    <x v="33"/>
    <n v="5451"/>
    <s v="n.a."/>
    <s v="n.a."/>
    <x v="3908"/>
    <n v="754"/>
  </r>
  <r>
    <x v="82"/>
    <x v="60"/>
    <x v="4525"/>
    <x v="33"/>
    <n v="5744"/>
    <s v="n.a."/>
    <s v="n.a."/>
    <x v="3909"/>
    <n v="346"/>
  </r>
  <r>
    <x v="82"/>
    <x v="61"/>
    <x v="4526"/>
    <x v="33"/>
    <n v="5477"/>
    <s v="n.a."/>
    <s v="n.a."/>
    <x v="8"/>
    <n v="-280"/>
  </r>
  <r>
    <x v="82"/>
    <x v="62"/>
    <x v="4527"/>
    <x v="33"/>
    <n v="6033"/>
    <s v="n.a."/>
    <s v="n.a."/>
    <x v="3910"/>
    <n v="-214"/>
  </r>
  <r>
    <x v="82"/>
    <x v="63"/>
    <x v="4528"/>
    <x v="33"/>
    <n v="5497"/>
    <s v="n.a."/>
    <s v="n.a."/>
    <x v="3911"/>
    <n v="-902"/>
  </r>
  <r>
    <x v="82"/>
    <x v="64"/>
    <x v="4529"/>
    <x v="33"/>
    <n v="5564"/>
    <s v="n.a."/>
    <s v="n.a."/>
    <x v="3912"/>
    <n v="1101"/>
  </r>
  <r>
    <x v="82"/>
    <x v="65"/>
    <x v="4530"/>
    <x v="33"/>
    <n v="5864"/>
    <s v="n.a."/>
    <s v="n.a."/>
    <x v="3913"/>
    <n v="-185"/>
  </r>
  <r>
    <x v="82"/>
    <x v="66"/>
    <x v="4531"/>
    <x v="33"/>
    <n v="5917"/>
    <s v="n.a."/>
    <s v="n.a."/>
    <x v="3914"/>
    <n v="487"/>
  </r>
  <r>
    <x v="82"/>
    <x v="67"/>
    <x v="4532"/>
    <x v="33"/>
    <n v="6198"/>
    <s v="n.a."/>
    <s v="n.a."/>
    <x v="10"/>
    <n v="362"/>
  </r>
  <r>
    <x v="82"/>
    <x v="68"/>
    <x v="4533"/>
    <x v="33"/>
    <n v="6837"/>
    <s v="n.a."/>
    <s v="n.a."/>
    <x v="31"/>
    <n v="238"/>
  </r>
  <r>
    <x v="82"/>
    <x v="69"/>
    <x v="4534"/>
    <x v="33"/>
    <n v="6443"/>
    <s v="n.a."/>
    <s v="n.a."/>
    <x v="3915"/>
    <n v="43"/>
  </r>
  <r>
    <x v="83"/>
    <x v="0"/>
    <x v="4535"/>
    <x v="1846"/>
    <n v="79616"/>
    <n v="5281"/>
    <n v="-1035"/>
    <x v="3916"/>
    <n v="-1153"/>
  </r>
  <r>
    <x v="83"/>
    <x v="1"/>
    <x v="4536"/>
    <x v="1847"/>
    <n v="75676"/>
    <n v="3078"/>
    <n v="59"/>
    <x v="3174"/>
    <n v="1736"/>
  </r>
  <r>
    <x v="83"/>
    <x v="2"/>
    <x v="4537"/>
    <x v="1848"/>
    <n v="72434"/>
    <n v="-4202"/>
    <n v="933"/>
    <x v="3917"/>
    <n v="-928"/>
  </r>
  <r>
    <x v="83"/>
    <x v="3"/>
    <x v="4538"/>
    <x v="1849"/>
    <n v="76104"/>
    <n v="9346"/>
    <n v="-560"/>
    <x v="3918"/>
    <n v="736"/>
  </r>
  <r>
    <x v="83"/>
    <x v="4"/>
    <x v="4539"/>
    <x v="1173"/>
    <n v="67619"/>
    <n v="-701"/>
    <n v="1166"/>
    <x v="1911"/>
    <n v="-1020"/>
  </r>
  <r>
    <x v="83"/>
    <x v="5"/>
    <x v="4540"/>
    <x v="1850"/>
    <n v="66946"/>
    <n v="-3871"/>
    <n v="-1743"/>
    <x v="3919"/>
    <n v="1652"/>
  </r>
  <r>
    <x v="83"/>
    <x v="6"/>
    <x v="4541"/>
    <x v="1851"/>
    <n v="73179"/>
    <n v="1202"/>
    <n v="252"/>
    <x v="3920"/>
    <n v="2474"/>
  </r>
  <r>
    <x v="83"/>
    <x v="7"/>
    <x v="4542"/>
    <x v="1852"/>
    <n v="72291"/>
    <n v="-1364"/>
    <n v="-743"/>
    <x v="3921"/>
    <n v="-628"/>
  </r>
  <r>
    <x v="83"/>
    <x v="8"/>
    <x v="4543"/>
    <x v="1853"/>
    <n v="73340"/>
    <n v="2955"/>
    <n v="986"/>
    <x v="3922"/>
    <n v="530"/>
  </r>
  <r>
    <x v="83"/>
    <x v="9"/>
    <x v="4544"/>
    <x v="1854"/>
    <n v="68957"/>
    <n v="-4137"/>
    <n v="613"/>
    <x v="3923"/>
    <n v="1209"/>
  </r>
  <r>
    <x v="83"/>
    <x v="10"/>
    <x v="4545"/>
    <x v="1855"/>
    <n v="71093"/>
    <n v="2973"/>
    <n v="-1884"/>
    <x v="3924"/>
    <n v="-1499"/>
  </r>
  <r>
    <x v="83"/>
    <x v="11"/>
    <x v="4546"/>
    <x v="1856"/>
    <n v="70662"/>
    <n v="-5443"/>
    <n v="-67"/>
    <x v="3925"/>
    <n v="-756"/>
  </r>
  <r>
    <x v="83"/>
    <x v="12"/>
    <x v="4547"/>
    <x v="1857"/>
    <n v="74242"/>
    <n v="-634"/>
    <n v="-649"/>
    <x v="3926"/>
    <n v="432"/>
  </r>
  <r>
    <x v="83"/>
    <x v="13"/>
    <x v="4548"/>
    <x v="1169"/>
    <n v="75871"/>
    <n v="2652"/>
    <n v="526"/>
    <x v="3927"/>
    <n v="-2018"/>
  </r>
  <r>
    <x v="83"/>
    <x v="14"/>
    <x v="4549"/>
    <x v="1858"/>
    <n v="74397"/>
    <n v="-4359"/>
    <n v="330"/>
    <x v="3928"/>
    <n v="1842"/>
  </r>
  <r>
    <x v="83"/>
    <x v="15"/>
    <x v="4550"/>
    <x v="1859"/>
    <n v="76383"/>
    <n v="8319"/>
    <n v="1505"/>
    <x v="3929"/>
    <n v="-1391"/>
  </r>
  <r>
    <x v="83"/>
    <x v="16"/>
    <x v="4551"/>
    <x v="1860"/>
    <n v="65964"/>
    <n v="398"/>
    <n v="414"/>
    <x v="3930"/>
    <n v="560"/>
  </r>
  <r>
    <x v="83"/>
    <x v="17"/>
    <x v="4552"/>
    <x v="1861"/>
    <n v="66747"/>
    <n v="-3427"/>
    <n v="764"/>
    <x v="3931"/>
    <n v="-264"/>
  </r>
  <r>
    <x v="83"/>
    <x v="18"/>
    <x v="4553"/>
    <x v="1862"/>
    <n v="69219"/>
    <n v="4352"/>
    <n v="-2401"/>
    <x v="3932"/>
    <n v="-615"/>
  </r>
  <r>
    <x v="83"/>
    <x v="19"/>
    <x v="4554"/>
    <x v="1863"/>
    <n v="67001"/>
    <n v="-162"/>
    <n v="429"/>
    <x v="3933"/>
    <n v="-783"/>
  </r>
  <r>
    <x v="83"/>
    <x v="20"/>
    <x v="4555"/>
    <x v="1864"/>
    <n v="67742"/>
    <n v="156"/>
    <n v="-932"/>
    <x v="3934"/>
    <n v="1967"/>
  </r>
  <r>
    <x v="83"/>
    <x v="21"/>
    <x v="4556"/>
    <x v="1865"/>
    <n v="66790"/>
    <n v="12743"/>
    <n v="208"/>
    <x v="3935"/>
    <n v="-3680"/>
  </r>
  <r>
    <x v="83"/>
    <x v="22"/>
    <x v="4557"/>
    <x v="872"/>
    <n v="54051"/>
    <n v="-532"/>
    <n v="1626"/>
    <x v="3936"/>
    <n v="1235"/>
  </r>
  <r>
    <x v="83"/>
    <x v="23"/>
    <x v="4558"/>
    <x v="1866"/>
    <n v="51993"/>
    <n v="125"/>
    <n v="1367"/>
    <x v="3937"/>
    <n v="-485"/>
  </r>
  <r>
    <x v="83"/>
    <x v="24"/>
    <x v="4559"/>
    <x v="1867"/>
    <n v="50910"/>
    <n v="-515"/>
    <n v="-444"/>
    <x v="3938"/>
    <n v="-281"/>
  </r>
  <r>
    <x v="83"/>
    <x v="25"/>
    <x v="4560"/>
    <x v="1868"/>
    <n v="50289"/>
    <n v="3844"/>
    <n v="-796"/>
    <x v="3939"/>
    <n v="-2296"/>
  </r>
  <r>
    <x v="83"/>
    <x v="26"/>
    <x v="4561"/>
    <x v="1869"/>
    <n v="47315"/>
    <n v="1194"/>
    <n v="-327"/>
    <x v="3940"/>
    <n v="1808"/>
  </r>
  <r>
    <x v="83"/>
    <x v="27"/>
    <x v="4562"/>
    <x v="1870"/>
    <n v="46737"/>
    <n v="-4029"/>
    <n v="148"/>
    <x v="3941"/>
    <n v="454"/>
  </r>
  <r>
    <x v="83"/>
    <x v="28"/>
    <x v="4563"/>
    <x v="1871"/>
    <n v="49532"/>
    <n v="468"/>
    <n v="396"/>
    <x v="3942"/>
    <n v="1890"/>
  </r>
  <r>
    <x v="83"/>
    <x v="29"/>
    <x v="4564"/>
    <x v="1872"/>
    <n v="48582"/>
    <n v="-360"/>
    <n v="-666"/>
    <x v="3943"/>
    <n v="-915"/>
  </r>
  <r>
    <x v="83"/>
    <x v="30"/>
    <x v="4565"/>
    <x v="1559"/>
    <n v="52980"/>
    <n v="346"/>
    <n v="343"/>
    <x v="3944"/>
    <n v="-830"/>
  </r>
  <r>
    <x v="83"/>
    <x v="31"/>
    <x v="4566"/>
    <x v="1873"/>
    <n v="51813"/>
    <n v="-1207"/>
    <n v="2029"/>
    <x v="3945"/>
    <n v="1025"/>
  </r>
  <r>
    <x v="83"/>
    <x v="32"/>
    <x v="4567"/>
    <x v="1874"/>
    <n v="51162"/>
    <n v="-1004"/>
    <n v="-593"/>
    <x v="3946"/>
    <n v="-691"/>
  </r>
  <r>
    <x v="83"/>
    <x v="33"/>
    <x v="4568"/>
    <x v="33"/>
    <n v="53879"/>
    <s v="n.a."/>
    <s v="n.a."/>
    <x v="3947"/>
    <n v="260"/>
  </r>
  <r>
    <x v="83"/>
    <x v="34"/>
    <x v="4569"/>
    <x v="33"/>
    <n v="49632"/>
    <s v="n.a."/>
    <s v="n.a."/>
    <x v="3948"/>
    <n v="192"/>
  </r>
  <r>
    <x v="83"/>
    <x v="35"/>
    <x v="4570"/>
    <x v="33"/>
    <n v="51842"/>
    <s v="n.a."/>
    <s v="n.a."/>
    <x v="3949"/>
    <n v="-51"/>
  </r>
  <r>
    <x v="83"/>
    <x v="36"/>
    <x v="4571"/>
    <x v="33"/>
    <n v="51715"/>
    <s v="n.a."/>
    <s v="n.a."/>
    <x v="3950"/>
    <n v="463"/>
  </r>
  <r>
    <x v="83"/>
    <x v="37"/>
    <x v="4572"/>
    <x v="33"/>
    <n v="50417"/>
    <s v="n.a."/>
    <s v="n.a."/>
    <x v="3951"/>
    <n v="1828"/>
  </r>
  <r>
    <x v="83"/>
    <x v="38"/>
    <x v="4573"/>
    <x v="33"/>
    <n v="52745"/>
    <s v="n.a."/>
    <s v="n.a."/>
    <x v="3952"/>
    <n v="2373"/>
  </r>
  <r>
    <x v="83"/>
    <x v="39"/>
    <x v="4574"/>
    <x v="33"/>
    <n v="54393"/>
    <s v="n.a."/>
    <s v="n.a."/>
    <x v="3730"/>
    <n v="311"/>
  </r>
  <r>
    <x v="83"/>
    <x v="40"/>
    <x v="4575"/>
    <x v="33"/>
    <n v="52640"/>
    <s v="n.a."/>
    <s v="n.a."/>
    <x v="3953"/>
    <n v="-1444"/>
  </r>
  <r>
    <x v="83"/>
    <x v="41"/>
    <x v="4576"/>
    <x v="33"/>
    <n v="54452"/>
    <s v="n.a."/>
    <s v="n.a."/>
    <x v="3954"/>
    <n v="-2303"/>
  </r>
  <r>
    <x v="83"/>
    <x v="42"/>
    <x v="4577"/>
    <x v="33"/>
    <n v="54978"/>
    <s v="n.a."/>
    <s v="n.a."/>
    <x v="3955"/>
    <n v="-785"/>
  </r>
  <r>
    <x v="83"/>
    <x v="43"/>
    <x v="4578"/>
    <x v="33"/>
    <n v="53314"/>
    <s v="n.a."/>
    <s v="n.a."/>
    <x v="3956"/>
    <n v="-379"/>
  </r>
  <r>
    <x v="83"/>
    <x v="44"/>
    <x v="4579"/>
    <x v="33"/>
    <n v="54016"/>
    <s v="n.a."/>
    <s v="n.a."/>
    <x v="3957"/>
    <n v="-473"/>
  </r>
  <r>
    <x v="83"/>
    <x v="45"/>
    <x v="4580"/>
    <x v="33"/>
    <n v="52542"/>
    <s v="n.a."/>
    <s v="n.a."/>
    <x v="3958"/>
    <n v="1648"/>
  </r>
  <r>
    <x v="83"/>
    <x v="46"/>
    <x v="4581"/>
    <x v="33"/>
    <n v="50830"/>
    <s v="n.a."/>
    <s v="n.a."/>
    <x v="3959"/>
    <n v="415"/>
  </r>
  <r>
    <x v="83"/>
    <x v="47"/>
    <x v="4582"/>
    <x v="33"/>
    <n v="49865"/>
    <s v="n.a."/>
    <s v="n.a."/>
    <x v="3960"/>
    <n v="-317"/>
  </r>
  <r>
    <x v="83"/>
    <x v="48"/>
    <x v="4583"/>
    <x v="33"/>
    <n v="48698"/>
    <s v="n.a."/>
    <s v="n.a."/>
    <x v="3961"/>
    <n v="1366"/>
  </r>
  <r>
    <x v="83"/>
    <x v="49"/>
    <x v="4584"/>
    <x v="33"/>
    <n v="44045"/>
    <s v="n.a."/>
    <s v="n.a."/>
    <x v="3962"/>
    <n v="716"/>
  </r>
  <r>
    <x v="83"/>
    <x v="50"/>
    <x v="4585"/>
    <x v="33"/>
    <n v="44525"/>
    <s v="n.a."/>
    <s v="n.a."/>
    <x v="3963"/>
    <n v="258"/>
  </r>
  <r>
    <x v="83"/>
    <x v="51"/>
    <x v="4586"/>
    <x v="33"/>
    <n v="44192"/>
    <s v="n.a."/>
    <s v="n.a."/>
    <x v="3964"/>
    <n v="-927"/>
  </r>
  <r>
    <x v="83"/>
    <x v="52"/>
    <x v="4587"/>
    <x v="33"/>
    <n v="42630"/>
    <s v="n.a."/>
    <s v="n.a."/>
    <x v="3965"/>
    <n v="-161"/>
  </r>
  <r>
    <x v="83"/>
    <x v="53"/>
    <x v="4588"/>
    <x v="33"/>
    <n v="42590"/>
    <s v="n.a."/>
    <s v="n.a."/>
    <x v="3966"/>
    <n v="709"/>
  </r>
  <r>
    <x v="83"/>
    <x v="54"/>
    <x v="4589"/>
    <x v="33"/>
    <n v="41576"/>
    <s v="n.a."/>
    <s v="n.a."/>
    <x v="3967"/>
    <n v="-508"/>
  </r>
  <r>
    <x v="83"/>
    <x v="55"/>
    <x v="4590"/>
    <x v="33"/>
    <n v="39740"/>
    <s v="n.a."/>
    <s v="n.a."/>
    <x v="3968"/>
    <n v="-753"/>
  </r>
  <r>
    <x v="83"/>
    <x v="56"/>
    <x v="4591"/>
    <x v="33"/>
    <n v="38993"/>
    <s v="n.a."/>
    <s v="n.a."/>
    <x v="3969"/>
    <n v="-1840"/>
  </r>
  <r>
    <x v="83"/>
    <x v="57"/>
    <x v="4592"/>
    <x v="33"/>
    <n v="37436"/>
    <s v="n.a."/>
    <s v="n.a."/>
    <x v="3970"/>
    <n v="2506"/>
  </r>
  <r>
    <x v="83"/>
    <x v="58"/>
    <x v="4593"/>
    <x v="33"/>
    <n v="37814"/>
    <s v="n.a."/>
    <s v="n.a."/>
    <x v="3962"/>
    <n v="-2563"/>
  </r>
  <r>
    <x v="83"/>
    <x v="59"/>
    <x v="4594"/>
    <x v="33"/>
    <n v="36572"/>
    <s v="n.a."/>
    <s v="n.a."/>
    <x v="3971"/>
    <n v="1936"/>
  </r>
  <r>
    <x v="83"/>
    <x v="60"/>
    <x v="4595"/>
    <x v="33"/>
    <n v="36927"/>
    <s v="n.a."/>
    <s v="n.a."/>
    <x v="3972"/>
    <n v="925"/>
  </r>
  <r>
    <x v="83"/>
    <x v="61"/>
    <x v="4596"/>
    <x v="33"/>
    <n v="37064"/>
    <s v="n.a."/>
    <s v="n.a."/>
    <x v="3973"/>
    <n v="-1038"/>
  </r>
  <r>
    <x v="83"/>
    <x v="62"/>
    <x v="4597"/>
    <x v="33"/>
    <n v="40303"/>
    <s v="n.a."/>
    <s v="n.a."/>
    <x v="3974"/>
    <n v="-636"/>
  </r>
  <r>
    <x v="83"/>
    <x v="63"/>
    <x v="4598"/>
    <x v="33"/>
    <n v="40282"/>
    <s v="n.a."/>
    <s v="n.a."/>
    <x v="3975"/>
    <n v="-1946"/>
  </r>
  <r>
    <x v="83"/>
    <x v="64"/>
    <x v="4599"/>
    <x v="33"/>
    <n v="38547"/>
    <s v="n.a."/>
    <s v="n.a."/>
    <x v="3976"/>
    <n v="1618"/>
  </r>
  <r>
    <x v="83"/>
    <x v="65"/>
    <x v="4600"/>
    <x v="33"/>
    <n v="39704"/>
    <s v="n.a."/>
    <s v="n.a."/>
    <x v="3977"/>
    <n v="1599"/>
  </r>
  <r>
    <x v="83"/>
    <x v="66"/>
    <x v="4601"/>
    <x v="33"/>
    <n v="42961"/>
    <s v="n.a."/>
    <s v="n.a."/>
    <x v="426"/>
    <n v="2729"/>
  </r>
  <r>
    <x v="83"/>
    <x v="67"/>
    <x v="4602"/>
    <x v="33"/>
    <n v="46972"/>
    <s v="n.a."/>
    <s v="n.a."/>
    <x v="3978"/>
    <n v="552"/>
  </r>
  <r>
    <x v="83"/>
    <x v="68"/>
    <x v="4603"/>
    <x v="33"/>
    <n v="45375"/>
    <s v="n.a."/>
    <s v="n.a."/>
    <x v="3979"/>
    <n v="-90"/>
  </r>
  <r>
    <x v="83"/>
    <x v="69"/>
    <x v="4604"/>
    <x v="33"/>
    <n v="46018"/>
    <s v="n.a."/>
    <s v="n.a."/>
    <x v="3980"/>
    <n v="-175"/>
  </r>
  <r>
    <x v="84"/>
    <x v="0"/>
    <x v="4605"/>
    <x v="1875"/>
    <n v="7737453"/>
    <n v="-61275"/>
    <n v="11434"/>
    <x v="3981"/>
    <n v="23727"/>
  </r>
  <r>
    <x v="84"/>
    <x v="1"/>
    <x v="4606"/>
    <x v="1876"/>
    <n v="7764571"/>
    <n v="24432"/>
    <n v="32636"/>
    <x v="3982"/>
    <n v="-22851"/>
  </r>
  <r>
    <x v="84"/>
    <x v="2"/>
    <x v="4607"/>
    <x v="1877"/>
    <n v="7760013"/>
    <n v="47265"/>
    <n v="40855"/>
    <x v="3983"/>
    <n v="24192"/>
  </r>
  <r>
    <x v="84"/>
    <x v="3"/>
    <x v="4608"/>
    <x v="1878"/>
    <n v="7644332"/>
    <n v="44165"/>
    <n v="-48918"/>
    <x v="3984"/>
    <n v="1861"/>
  </r>
  <r>
    <x v="84"/>
    <x v="4"/>
    <x v="4609"/>
    <x v="1879"/>
    <n v="7626086"/>
    <n v="-3940"/>
    <n v="50828"/>
    <x v="3985"/>
    <n v="7304"/>
  </r>
  <r>
    <x v="84"/>
    <x v="5"/>
    <x v="4610"/>
    <x v="1880"/>
    <n v="7558318"/>
    <n v="134103"/>
    <n v="-80084"/>
    <x v="3986"/>
    <n v="2927"/>
  </r>
  <r>
    <x v="84"/>
    <x v="6"/>
    <x v="4611"/>
    <x v="1881"/>
    <n v="7537337"/>
    <n v="-58690"/>
    <n v="22851"/>
    <x v="3987"/>
    <n v="-14567"/>
  </r>
  <r>
    <x v="84"/>
    <x v="7"/>
    <x v="4612"/>
    <x v="1882"/>
    <n v="7579719"/>
    <n v="126023"/>
    <n v="-2570"/>
    <x v="3988"/>
    <n v="17335"/>
  </r>
  <r>
    <x v="84"/>
    <x v="8"/>
    <x v="4613"/>
    <x v="1883"/>
    <n v="7444270"/>
    <n v="105049"/>
    <n v="116349"/>
    <x v="3989"/>
    <n v="66394"/>
  </r>
  <r>
    <x v="84"/>
    <x v="9"/>
    <x v="4614"/>
    <x v="1884"/>
    <n v="7221538"/>
    <n v="-3640"/>
    <n v="5926"/>
    <x v="3990"/>
    <n v="42558"/>
  </r>
  <r>
    <x v="84"/>
    <x v="10"/>
    <x v="4615"/>
    <x v="1885"/>
    <n v="7242215"/>
    <n v="-41477"/>
    <n v="-96288"/>
    <x v="3991"/>
    <n v="24868"/>
  </r>
  <r>
    <x v="84"/>
    <x v="11"/>
    <x v="4616"/>
    <x v="1886"/>
    <n v="7376134"/>
    <n v="-34565"/>
    <n v="44656"/>
    <x v="3992"/>
    <n v="9444"/>
  </r>
  <r>
    <x v="84"/>
    <x v="12"/>
    <x v="4617"/>
    <x v="1887"/>
    <n v="7352905"/>
    <n v="84315"/>
    <n v="-112830"/>
    <x v="3993"/>
    <n v="5216"/>
  </r>
  <r>
    <x v="84"/>
    <x v="13"/>
    <x v="4618"/>
    <x v="1888"/>
    <n v="7441766"/>
    <n v="62566"/>
    <n v="54006"/>
    <x v="3994"/>
    <n v="13500"/>
  </r>
  <r>
    <x v="84"/>
    <x v="14"/>
    <x v="4619"/>
    <x v="1889"/>
    <n v="7297799"/>
    <n v="22995"/>
    <n v="73818"/>
    <x v="3995"/>
    <n v="69358"/>
  </r>
  <r>
    <x v="84"/>
    <x v="15"/>
    <x v="4620"/>
    <x v="1890"/>
    <n v="7184133"/>
    <n v="52581"/>
    <n v="91706"/>
    <x v="3996"/>
    <n v="10405"/>
  </r>
  <r>
    <x v="84"/>
    <x v="16"/>
    <x v="4621"/>
    <x v="1891"/>
    <n v="7070622"/>
    <n v="7777"/>
    <n v="80833"/>
    <x v="3997"/>
    <n v="83536"/>
  </r>
  <r>
    <x v="84"/>
    <x v="17"/>
    <x v="4622"/>
    <x v="1892"/>
    <n v="6979209"/>
    <n v="43835"/>
    <n v="51333"/>
    <x v="3998"/>
    <n v="-9615"/>
  </r>
  <r>
    <x v="84"/>
    <x v="18"/>
    <x v="4623"/>
    <x v="1893"/>
    <n v="6883168"/>
    <n v="82392"/>
    <n v="-111498"/>
    <x v="3999"/>
    <n v="-12168"/>
  </r>
  <r>
    <x v="84"/>
    <x v="19"/>
    <x v="4624"/>
    <x v="1894"/>
    <n v="6945711"/>
    <n v="45298"/>
    <n v="39367"/>
    <x v="4000"/>
    <n v="2619"/>
  </r>
  <r>
    <x v="84"/>
    <x v="20"/>
    <x v="4625"/>
    <x v="1895"/>
    <n v="6842248"/>
    <n v="87179"/>
    <n v="-61904"/>
    <x v="4001"/>
    <n v="30384"/>
  </r>
  <r>
    <x v="84"/>
    <x v="21"/>
    <x v="4626"/>
    <x v="1896"/>
    <n v="6835731"/>
    <n v="66890"/>
    <n v="5186"/>
    <x v="4002"/>
    <n v="-29066"/>
  </r>
  <r>
    <x v="84"/>
    <x v="22"/>
    <x v="4627"/>
    <x v="1897"/>
    <n v="6780760"/>
    <n v="7879"/>
    <n v="137964"/>
    <x v="4003"/>
    <n v="16120"/>
  </r>
  <r>
    <x v="84"/>
    <x v="23"/>
    <x v="4628"/>
    <x v="1898"/>
    <n v="6582758"/>
    <n v="104123"/>
    <n v="160271"/>
    <x v="4004"/>
    <n v="30218"/>
  </r>
  <r>
    <x v="84"/>
    <x v="24"/>
    <x v="4629"/>
    <x v="1899"/>
    <n v="6372547"/>
    <n v="11878"/>
    <n v="-51608"/>
    <x v="4005"/>
    <n v="-26350"/>
  </r>
  <r>
    <x v="84"/>
    <x v="25"/>
    <x v="4630"/>
    <x v="1900"/>
    <n v="6385523"/>
    <n v="7225"/>
    <n v="-141772"/>
    <x v="4006"/>
    <n v="23815"/>
  </r>
  <r>
    <x v="84"/>
    <x v="26"/>
    <x v="4631"/>
    <x v="1901"/>
    <n v="6523830"/>
    <n v="8637"/>
    <n v="-27667"/>
    <x v="4007"/>
    <n v="38494"/>
  </r>
  <r>
    <x v="84"/>
    <x v="27"/>
    <x v="4632"/>
    <x v="1902"/>
    <n v="6533441"/>
    <n v="-9222"/>
    <n v="-19259"/>
    <x v="4008"/>
    <n v="32721"/>
  </r>
  <r>
    <x v="84"/>
    <x v="28"/>
    <x v="4633"/>
    <x v="1903"/>
    <n v="6538323"/>
    <n v="70773"/>
    <n v="-45767"/>
    <x v="4009"/>
    <n v="55753"/>
  </r>
  <r>
    <x v="84"/>
    <x v="29"/>
    <x v="4634"/>
    <x v="1904"/>
    <n v="6503543"/>
    <n v="55575"/>
    <n v="-67370"/>
    <x v="4010"/>
    <n v="-18690"/>
  </r>
  <r>
    <x v="84"/>
    <x v="30"/>
    <x v="4635"/>
    <x v="1905"/>
    <n v="6541499"/>
    <n v="114731"/>
    <n v="20464"/>
    <x v="4011"/>
    <n v="-43435"/>
  </r>
  <r>
    <x v="84"/>
    <x v="31"/>
    <x v="4636"/>
    <x v="1906"/>
    <n v="6457866"/>
    <n v="94182"/>
    <n v="122518"/>
    <x v="4012"/>
    <n v="-3518"/>
  </r>
  <r>
    <x v="84"/>
    <x v="32"/>
    <x v="4637"/>
    <x v="1907"/>
    <n v="6242112"/>
    <n v="50047"/>
    <n v="-107487"/>
    <x v="4013"/>
    <n v="26864"/>
  </r>
  <r>
    <x v="84"/>
    <x v="33"/>
    <x v="4638"/>
    <x v="33"/>
    <n v="6318389"/>
    <s v="n.a."/>
    <s v="n.a."/>
    <x v="4014"/>
    <n v="-7802"/>
  </r>
  <r>
    <x v="84"/>
    <x v="34"/>
    <x v="4639"/>
    <x v="33"/>
    <n v="6195594"/>
    <s v="n.a."/>
    <s v="n.a."/>
    <x v="4015"/>
    <n v="43508"/>
  </r>
  <r>
    <x v="84"/>
    <x v="35"/>
    <x v="4640"/>
    <x v="33"/>
    <n v="6233283"/>
    <s v="n.a."/>
    <s v="n.a."/>
    <x v="4016"/>
    <n v="3071"/>
  </r>
  <r>
    <x v="84"/>
    <x v="36"/>
    <x v="4641"/>
    <x v="33"/>
    <n v="6185546"/>
    <s v="n.a."/>
    <s v="n.a."/>
    <x v="4017"/>
    <n v="-17731"/>
  </r>
  <r>
    <x v="84"/>
    <x v="37"/>
    <x v="4642"/>
    <x v="33"/>
    <n v="6284835"/>
    <s v="n.a."/>
    <s v="n.a."/>
    <x v="4018"/>
    <n v="-8188"/>
  </r>
  <r>
    <x v="84"/>
    <x v="38"/>
    <x v="4643"/>
    <x v="33"/>
    <n v="6517787"/>
    <s v="n.a."/>
    <s v="n.a."/>
    <x v="4019"/>
    <n v="46730"/>
  </r>
  <r>
    <x v="84"/>
    <x v="39"/>
    <x v="4644"/>
    <x v="33"/>
    <n v="6553479"/>
    <s v="n.a."/>
    <s v="n.a."/>
    <x v="4020"/>
    <n v="-7166"/>
  </r>
  <r>
    <x v="84"/>
    <x v="40"/>
    <x v="4645"/>
    <x v="33"/>
    <n v="6471363"/>
    <s v="n.a."/>
    <s v="n.a."/>
    <x v="4021"/>
    <n v="-17488"/>
  </r>
  <r>
    <x v="84"/>
    <x v="41"/>
    <x v="4646"/>
    <x v="33"/>
    <n v="6449674"/>
    <s v="n.a."/>
    <s v="n.a."/>
    <x v="4022"/>
    <n v="-73725"/>
  </r>
  <r>
    <x v="84"/>
    <x v="42"/>
    <x v="4647"/>
    <x v="33"/>
    <n v="6405773"/>
    <s v="n.a."/>
    <s v="n.a."/>
    <x v="4023"/>
    <n v="-20319"/>
  </r>
  <r>
    <x v="84"/>
    <x v="43"/>
    <x v="4648"/>
    <x v="33"/>
    <n v="6548542"/>
    <s v="n.a."/>
    <s v="n.a."/>
    <x v="4024"/>
    <n v="-18154"/>
  </r>
  <r>
    <x v="84"/>
    <x v="44"/>
    <x v="4649"/>
    <x v="33"/>
    <n v="6634640"/>
    <s v="n.a."/>
    <s v="n.a."/>
    <x v="4025"/>
    <n v="27526"/>
  </r>
  <r>
    <x v="84"/>
    <x v="45"/>
    <x v="4650"/>
    <x v="33"/>
    <n v="6611235"/>
    <s v="n.a."/>
    <s v="n.a."/>
    <x v="4026"/>
    <n v="9114"/>
  </r>
  <r>
    <x v="84"/>
    <x v="46"/>
    <x v="4651"/>
    <x v="33"/>
    <n v="6704352"/>
    <s v="n.a."/>
    <s v="n.a."/>
    <x v="4027"/>
    <n v="14815"/>
  </r>
  <r>
    <x v="84"/>
    <x v="47"/>
    <x v="4652"/>
    <x v="33"/>
    <n v="6665766"/>
    <s v="n.a."/>
    <s v="n.a."/>
    <x v="4028"/>
    <n v="10938"/>
  </r>
  <r>
    <x v="84"/>
    <x v="48"/>
    <x v="4653"/>
    <x v="33"/>
    <n v="6648085"/>
    <s v="n.a."/>
    <s v="n.a."/>
    <x v="4029"/>
    <n v="32470"/>
  </r>
  <r>
    <x v="84"/>
    <x v="49"/>
    <x v="4654"/>
    <x v="33"/>
    <n v="6596607"/>
    <s v="n.a."/>
    <s v="n.a."/>
    <x v="4030"/>
    <n v="6119"/>
  </r>
  <r>
    <x v="84"/>
    <x v="50"/>
    <x v="4655"/>
    <x v="33"/>
    <n v="6611156"/>
    <s v="n.a."/>
    <s v="n.a."/>
    <x v="4031"/>
    <n v="128"/>
  </r>
  <r>
    <x v="84"/>
    <x v="51"/>
    <x v="4656"/>
    <x v="33"/>
    <n v="6599485"/>
    <s v="n.a."/>
    <s v="n.a."/>
    <x v="4032"/>
    <n v="-1416"/>
  </r>
  <r>
    <x v="84"/>
    <x v="52"/>
    <x v="4657"/>
    <x v="33"/>
    <n v="6549488"/>
    <s v="n.a."/>
    <s v="n.a."/>
    <x v="4033"/>
    <n v="39158"/>
  </r>
  <r>
    <x v="84"/>
    <x v="53"/>
    <x v="4658"/>
    <x v="33"/>
    <n v="6217630"/>
    <s v="n.a."/>
    <s v="n.a."/>
    <x v="4034"/>
    <n v="-18541"/>
  </r>
  <r>
    <x v="84"/>
    <x v="54"/>
    <x v="4659"/>
    <x v="33"/>
    <n v="6135407"/>
    <s v="n.a."/>
    <s v="n.a."/>
    <x v="4035"/>
    <n v="-59816"/>
  </r>
  <r>
    <x v="84"/>
    <x v="55"/>
    <x v="4660"/>
    <x v="33"/>
    <n v="6026659"/>
    <s v="n.a."/>
    <s v="n.a."/>
    <x v="4036"/>
    <n v="-66100"/>
  </r>
  <r>
    <x v="84"/>
    <x v="56"/>
    <x v="4661"/>
    <x v="33"/>
    <n v="6031759"/>
    <s v="n.a."/>
    <s v="n.a."/>
    <x v="4037"/>
    <n v="22616"/>
  </r>
  <r>
    <x v="84"/>
    <x v="57"/>
    <x v="4662"/>
    <x v="33"/>
    <n v="6071520"/>
    <s v="n.a."/>
    <s v="n.a."/>
    <x v="4038"/>
    <n v="-11676"/>
  </r>
  <r>
    <x v="84"/>
    <x v="58"/>
    <x v="4663"/>
    <x v="33"/>
    <n v="6012401"/>
    <s v="n.a."/>
    <s v="n.a."/>
    <x v="4039"/>
    <n v="10854"/>
  </r>
  <r>
    <x v="84"/>
    <x v="59"/>
    <x v="4664"/>
    <x v="33"/>
    <n v="5992415"/>
    <s v="n.a."/>
    <s v="n.a."/>
    <x v="4040"/>
    <n v="12610"/>
  </r>
  <r>
    <x v="84"/>
    <x v="60"/>
    <x v="4665"/>
    <x v="33"/>
    <n v="6023591"/>
    <s v="n.a."/>
    <s v="n.a."/>
    <x v="4041"/>
    <n v="-5833"/>
  </r>
  <r>
    <x v="84"/>
    <x v="61"/>
    <x v="4666"/>
    <x v="33"/>
    <n v="6011049"/>
    <s v="n.a."/>
    <s v="n.a."/>
    <x v="4042"/>
    <n v="-31366"/>
  </r>
  <r>
    <x v="84"/>
    <x v="62"/>
    <x v="4667"/>
    <x v="33"/>
    <n v="5994176"/>
    <s v="n.a."/>
    <s v="n.a."/>
    <x v="4043"/>
    <n v="10170"/>
  </r>
  <r>
    <x v="84"/>
    <x v="63"/>
    <x v="4668"/>
    <x v="33"/>
    <n v="6007640"/>
    <s v="n.a."/>
    <s v="n.a."/>
    <x v="4044"/>
    <n v="-7005"/>
  </r>
  <r>
    <x v="84"/>
    <x v="64"/>
    <x v="4669"/>
    <x v="33"/>
    <n v="5966298"/>
    <s v="n.a."/>
    <s v="n.a."/>
    <x v="4045"/>
    <n v="75638"/>
  </r>
  <r>
    <x v="84"/>
    <x v="65"/>
    <x v="4670"/>
    <x v="33"/>
    <n v="5965445"/>
    <s v="n.a."/>
    <s v="n.a."/>
    <x v="4046"/>
    <n v="77717"/>
  </r>
  <r>
    <x v="84"/>
    <x v="66"/>
    <x v="4671"/>
    <x v="33"/>
    <n v="5966985"/>
    <s v="n.a."/>
    <s v="n.a."/>
    <x v="4047"/>
    <n v="144211"/>
  </r>
  <r>
    <x v="84"/>
    <x v="67"/>
    <x v="4672"/>
    <x v="33"/>
    <n v="6173708"/>
    <s v="n.a."/>
    <s v="n.a."/>
    <x v="4048"/>
    <n v="-8939"/>
  </r>
  <r>
    <x v="84"/>
    <x v="68"/>
    <x v="4673"/>
    <x v="33"/>
    <n v="6425488"/>
    <s v="n.a."/>
    <s v="n.a."/>
    <x v="4049"/>
    <n v="30380"/>
  </r>
  <r>
    <x v="84"/>
    <x v="69"/>
    <x v="4674"/>
    <x v="33"/>
    <n v="6261205"/>
    <s v="n.a."/>
    <s v="n.a."/>
    <x v="4050"/>
    <n v="-10494"/>
  </r>
  <r>
    <x v="85"/>
    <x v="0"/>
    <x v="4675"/>
    <x v="203"/>
    <n v="45181"/>
    <n v="356"/>
    <n v="-1275"/>
    <x v="4051"/>
    <n v="-1579"/>
  </r>
  <r>
    <x v="85"/>
    <x v="1"/>
    <x v="4676"/>
    <x v="1908"/>
    <n v="45312"/>
    <n v="527"/>
    <n v="1345"/>
    <x v="4052"/>
    <n v="-780"/>
  </r>
  <r>
    <x v="85"/>
    <x v="2"/>
    <x v="4677"/>
    <x v="1909"/>
    <n v="42478"/>
    <n v="-294"/>
    <n v="-2807"/>
    <x v="4053"/>
    <n v="503"/>
  </r>
  <r>
    <x v="85"/>
    <x v="3"/>
    <x v="4678"/>
    <x v="1910"/>
    <n v="45460"/>
    <n v="1317"/>
    <n v="-97"/>
    <x v="4054"/>
    <n v="-2045"/>
  </r>
  <r>
    <x v="85"/>
    <x v="4"/>
    <x v="4679"/>
    <x v="460"/>
    <n v="41648"/>
    <n v="2879"/>
    <n v="-1872"/>
    <x v="4055"/>
    <n v="538"/>
  </r>
  <r>
    <x v="85"/>
    <x v="5"/>
    <x v="4680"/>
    <x v="472"/>
    <n v="41896"/>
    <n v="2878"/>
    <n v="-460"/>
    <x v="4056"/>
    <n v="-3479"/>
  </r>
  <r>
    <x v="85"/>
    <x v="6"/>
    <x v="4681"/>
    <x v="1911"/>
    <n v="41137"/>
    <n v="1202"/>
    <n v="368"/>
    <x v="4057"/>
    <n v="2849"/>
  </r>
  <r>
    <x v="85"/>
    <x v="7"/>
    <x v="4682"/>
    <x v="1912"/>
    <n v="39608"/>
    <n v="1879"/>
    <n v="12"/>
    <x v="4058"/>
    <n v="-1100"/>
  </r>
  <r>
    <x v="85"/>
    <x v="8"/>
    <x v="4683"/>
    <x v="1913"/>
    <n v="37832"/>
    <n v="-130"/>
    <n v="-1572"/>
    <x v="4059"/>
    <n v="-3757"/>
  </r>
  <r>
    <x v="85"/>
    <x v="9"/>
    <x v="4684"/>
    <x v="1914"/>
    <n v="41148"/>
    <n v="-1401"/>
    <n v="-8403"/>
    <x v="4060"/>
    <n v="-4251"/>
  </r>
  <r>
    <x v="85"/>
    <x v="10"/>
    <x v="4685"/>
    <x v="1915"/>
    <n v="53776"/>
    <n v="5213"/>
    <n v="-3225"/>
    <x v="4061"/>
    <n v="10108"/>
  </r>
  <r>
    <x v="85"/>
    <x v="11"/>
    <x v="4686"/>
    <x v="1916"/>
    <n v="63314"/>
    <n v="-1069"/>
    <n v="349"/>
    <x v="4062"/>
    <n v="-990"/>
  </r>
  <r>
    <x v="85"/>
    <x v="12"/>
    <x v="4687"/>
    <x v="1917"/>
    <n v="66239"/>
    <n v="6431"/>
    <n v="-446"/>
    <x v="4063"/>
    <n v="1813"/>
  </r>
  <r>
    <x v="85"/>
    <x v="13"/>
    <x v="4688"/>
    <x v="1918"/>
    <n v="55291"/>
    <n v="-882"/>
    <n v="-280"/>
    <x v="4064"/>
    <n v="-3676"/>
  </r>
  <r>
    <x v="85"/>
    <x v="14"/>
    <x v="4689"/>
    <x v="1767"/>
    <n v="57430"/>
    <n v="-3734"/>
    <n v="53"/>
    <x v="4065"/>
    <n v="3125"/>
  </r>
  <r>
    <x v="85"/>
    <x v="15"/>
    <x v="4690"/>
    <x v="1919"/>
    <n v="60972"/>
    <n v="3659"/>
    <n v="649"/>
    <x v="4066"/>
    <n v="1869"/>
  </r>
  <r>
    <x v="85"/>
    <x v="16"/>
    <x v="4691"/>
    <x v="1920"/>
    <n v="59192"/>
    <n v="-7617"/>
    <n v="-622"/>
    <x v="4067"/>
    <n v="220"/>
  </r>
  <r>
    <x v="85"/>
    <x v="17"/>
    <x v="4692"/>
    <x v="1921"/>
    <n v="66870"/>
    <n v="9195"/>
    <n v="348"/>
    <x v="4068"/>
    <n v="-6"/>
  </r>
  <r>
    <x v="85"/>
    <x v="18"/>
    <x v="4693"/>
    <x v="1922"/>
    <n v="59020"/>
    <n v="2830"/>
    <n v="-690"/>
    <x v="4069"/>
    <n v="-431"/>
  </r>
  <r>
    <x v="85"/>
    <x v="19"/>
    <x v="4694"/>
    <x v="1597"/>
    <n v="55688"/>
    <n v="3742"/>
    <n v="-72"/>
    <x v="4070"/>
    <n v="-1156"/>
  </r>
  <r>
    <x v="85"/>
    <x v="20"/>
    <x v="4695"/>
    <x v="1923"/>
    <n v="51445"/>
    <n v="4541"/>
    <n v="-121"/>
    <x v="4071"/>
    <n v="3899"/>
  </r>
  <r>
    <x v="85"/>
    <x v="21"/>
    <x v="4696"/>
    <x v="1924"/>
    <n v="46856"/>
    <n v="-14298"/>
    <n v="516"/>
    <x v="4072"/>
    <n v="1090"/>
  </r>
  <r>
    <x v="85"/>
    <x v="22"/>
    <x v="4697"/>
    <x v="1925"/>
    <n v="60034"/>
    <n v="6119"/>
    <n v="1126"/>
    <x v="4073"/>
    <n v="1265"/>
  </r>
  <r>
    <x v="85"/>
    <x v="23"/>
    <x v="4698"/>
    <x v="1926"/>
    <n v="53389"/>
    <n v="889"/>
    <n v="289"/>
    <x v="4074"/>
    <n v="-405"/>
  </r>
  <r>
    <x v="85"/>
    <x v="24"/>
    <x v="4699"/>
    <x v="1927"/>
    <n v="53833"/>
    <n v="7900"/>
    <n v="59"/>
    <x v="4075"/>
    <n v="982"/>
  </r>
  <r>
    <x v="85"/>
    <x v="25"/>
    <x v="4700"/>
    <x v="1928"/>
    <n v="47747"/>
    <n v="846"/>
    <n v="-364"/>
    <x v="4076"/>
    <n v="846"/>
  </r>
  <r>
    <x v="85"/>
    <x v="26"/>
    <x v="4701"/>
    <x v="1929"/>
    <n v="45612"/>
    <n v="-6896"/>
    <n v="-194"/>
    <x v="4077"/>
    <n v="887"/>
  </r>
  <r>
    <x v="85"/>
    <x v="27"/>
    <x v="4702"/>
    <x v="1930"/>
    <n v="51019"/>
    <n v="3960"/>
    <n v="607"/>
    <x v="4078"/>
    <n v="3253"/>
  </r>
  <r>
    <x v="85"/>
    <x v="28"/>
    <x v="4703"/>
    <x v="1931"/>
    <n v="49201"/>
    <n v="6258"/>
    <n v="-600"/>
    <x v="4079"/>
    <n v="4965"/>
  </r>
  <r>
    <x v="85"/>
    <x v="29"/>
    <x v="4704"/>
    <x v="1932"/>
    <n v="42550"/>
    <n v="7952"/>
    <n v="182"/>
    <x v="4080"/>
    <n v="772"/>
  </r>
  <r>
    <x v="85"/>
    <x v="30"/>
    <x v="4705"/>
    <x v="768"/>
    <n v="33031"/>
    <n v="1823"/>
    <n v="-1136"/>
    <x v="4081"/>
    <n v="-1442"/>
  </r>
  <r>
    <x v="85"/>
    <x v="31"/>
    <x v="4706"/>
    <x v="1933"/>
    <n v="33744"/>
    <n v="836"/>
    <n v="737"/>
    <x v="4082"/>
    <n v="476"/>
  </r>
  <r>
    <x v="85"/>
    <x v="32"/>
    <x v="4707"/>
    <x v="1934"/>
    <n v="32613"/>
    <n v="-194"/>
    <n v="-441"/>
    <x v="4083"/>
    <n v="-1752"/>
  </r>
  <r>
    <x v="85"/>
    <x v="33"/>
    <x v="4708"/>
    <x v="33"/>
    <n v="33200"/>
    <s v="n.a."/>
    <s v="n.a."/>
    <x v="4084"/>
    <n v="-1229"/>
  </r>
  <r>
    <x v="85"/>
    <x v="34"/>
    <x v="4709"/>
    <x v="33"/>
    <n v="35359"/>
    <s v="n.a."/>
    <s v="n.a."/>
    <x v="4085"/>
    <n v="-322"/>
  </r>
  <r>
    <x v="85"/>
    <x v="35"/>
    <x v="4710"/>
    <x v="33"/>
    <n v="33247"/>
    <s v="n.a."/>
    <s v="n.a."/>
    <x v="4086"/>
    <n v="1451"/>
  </r>
  <r>
    <x v="85"/>
    <x v="36"/>
    <x v="4711"/>
    <x v="33"/>
    <n v="34152"/>
    <s v="n.a."/>
    <s v="n.a."/>
    <x v="2710"/>
    <n v="-552"/>
  </r>
  <r>
    <x v="85"/>
    <x v="37"/>
    <x v="4712"/>
    <x v="33"/>
    <n v="35217"/>
    <s v="n.a."/>
    <s v="n.a."/>
    <x v="4087"/>
    <n v="-1234"/>
  </r>
  <r>
    <x v="85"/>
    <x v="38"/>
    <x v="4713"/>
    <x v="33"/>
    <n v="34278"/>
    <s v="n.a."/>
    <s v="n.a."/>
    <x v="4088"/>
    <n v="-1805"/>
  </r>
  <r>
    <x v="85"/>
    <x v="39"/>
    <x v="4714"/>
    <x v="33"/>
    <n v="36124"/>
    <s v="n.a."/>
    <s v="n.a."/>
    <x v="4089"/>
    <n v="-3367"/>
  </r>
  <r>
    <x v="85"/>
    <x v="40"/>
    <x v="2163"/>
    <x v="33"/>
    <n v="36676"/>
    <s v="n.a."/>
    <s v="n.a."/>
    <x v="4090"/>
    <n v="-615"/>
  </r>
  <r>
    <x v="85"/>
    <x v="41"/>
    <x v="4715"/>
    <x v="33"/>
    <n v="35451"/>
    <s v="n.a."/>
    <s v="n.a."/>
    <x v="4091"/>
    <n v="-905"/>
  </r>
  <r>
    <x v="85"/>
    <x v="42"/>
    <x v="4716"/>
    <x v="33"/>
    <n v="36832"/>
    <s v="n.a."/>
    <s v="n.a."/>
    <x v="4092"/>
    <n v="-145"/>
  </r>
  <r>
    <x v="85"/>
    <x v="43"/>
    <x v="4717"/>
    <x v="33"/>
    <n v="35460"/>
    <s v="n.a."/>
    <s v="n.a."/>
    <x v="4093"/>
    <n v="1726"/>
  </r>
  <r>
    <x v="85"/>
    <x v="44"/>
    <x v="4718"/>
    <x v="33"/>
    <n v="32735"/>
    <s v="n.a."/>
    <s v="n.a."/>
    <x v="4094"/>
    <n v="562"/>
  </r>
  <r>
    <x v="85"/>
    <x v="45"/>
    <x v="4719"/>
    <x v="33"/>
    <n v="33986"/>
    <s v="n.a."/>
    <s v="n.a."/>
    <x v="4095"/>
    <n v="252"/>
  </r>
  <r>
    <x v="85"/>
    <x v="46"/>
    <x v="3559"/>
    <x v="33"/>
    <n v="34045"/>
    <s v="n.a."/>
    <s v="n.a."/>
    <x v="4096"/>
    <n v="-1526"/>
  </r>
  <r>
    <x v="85"/>
    <x v="47"/>
    <x v="4720"/>
    <x v="33"/>
    <n v="32739"/>
    <s v="n.a."/>
    <s v="n.a."/>
    <x v="4097"/>
    <n v="1609"/>
  </r>
  <r>
    <x v="85"/>
    <x v="48"/>
    <x v="4721"/>
    <x v="33"/>
    <n v="33911"/>
    <s v="n.a."/>
    <s v="n.a."/>
    <x v="4098"/>
    <n v="946"/>
  </r>
  <r>
    <x v="85"/>
    <x v="49"/>
    <x v="4722"/>
    <x v="33"/>
    <n v="32366"/>
    <s v="n.a."/>
    <s v="n.a."/>
    <x v="4099"/>
    <n v="-1671"/>
  </r>
  <r>
    <x v="85"/>
    <x v="50"/>
    <x v="4723"/>
    <x v="33"/>
    <n v="30656"/>
    <s v="n.a."/>
    <s v="n.a."/>
    <x v="4100"/>
    <n v="-556"/>
  </r>
  <r>
    <x v="85"/>
    <x v="51"/>
    <x v="4724"/>
    <x v="33"/>
    <n v="30426"/>
    <s v="n.a."/>
    <s v="n.a."/>
    <x v="4101"/>
    <n v="-50"/>
  </r>
  <r>
    <x v="85"/>
    <x v="52"/>
    <x v="4725"/>
    <x v="33"/>
    <n v="29725"/>
    <s v="n.a."/>
    <s v="n.a."/>
    <x v="416"/>
    <n v="-673"/>
  </r>
  <r>
    <x v="85"/>
    <x v="53"/>
    <x v="4726"/>
    <x v="33"/>
    <n v="26409"/>
    <s v="n.a."/>
    <s v="n.a."/>
    <x v="4102"/>
    <n v="-362"/>
  </r>
  <r>
    <x v="85"/>
    <x v="54"/>
    <x v="4727"/>
    <x v="33"/>
    <n v="25793"/>
    <s v="n.a."/>
    <s v="n.a."/>
    <x v="4103"/>
    <n v="-363"/>
  </r>
  <r>
    <x v="85"/>
    <x v="55"/>
    <x v="4728"/>
    <x v="33"/>
    <n v="31840"/>
    <s v="n.a."/>
    <s v="n.a."/>
    <x v="4104"/>
    <n v="-2827"/>
  </r>
  <r>
    <x v="85"/>
    <x v="56"/>
    <x v="4729"/>
    <x v="33"/>
    <n v="26170"/>
    <s v="n.a."/>
    <s v="n.a."/>
    <x v="1484"/>
    <n v="-2393"/>
  </r>
  <r>
    <x v="85"/>
    <x v="57"/>
    <x v="4730"/>
    <x v="33"/>
    <n v="26162"/>
    <s v="n.a."/>
    <s v="n.a."/>
    <x v="1482"/>
    <n v="-726"/>
  </r>
  <r>
    <x v="85"/>
    <x v="58"/>
    <x v="4731"/>
    <x v="33"/>
    <n v="15644"/>
    <s v="n.a."/>
    <s v="n.a."/>
    <x v="4105"/>
    <n v="-7365"/>
  </r>
  <r>
    <x v="85"/>
    <x v="59"/>
    <x v="4732"/>
    <x v="33"/>
    <n v="18822"/>
    <s v="n.a."/>
    <s v="n.a."/>
    <x v="4106"/>
    <n v="1699"/>
  </r>
  <r>
    <x v="85"/>
    <x v="60"/>
    <x v="4733"/>
    <x v="33"/>
    <n v="19963"/>
    <s v="n.a."/>
    <s v="n.a."/>
    <x v="4107"/>
    <n v="528"/>
  </r>
  <r>
    <x v="85"/>
    <x v="61"/>
    <x v="4734"/>
    <x v="33"/>
    <n v="25153"/>
    <s v="n.a."/>
    <s v="n.a."/>
    <x v="4108"/>
    <n v="166"/>
  </r>
  <r>
    <x v="85"/>
    <x v="62"/>
    <x v="4735"/>
    <x v="33"/>
    <n v="24896"/>
    <s v="n.a."/>
    <s v="n.a."/>
    <x v="4109"/>
    <n v="-2031"/>
  </r>
  <r>
    <x v="85"/>
    <x v="63"/>
    <x v="4736"/>
    <x v="33"/>
    <n v="32914"/>
    <s v="n.a."/>
    <s v="n.a."/>
    <x v="4110"/>
    <n v="6163"/>
  </r>
  <r>
    <x v="85"/>
    <x v="64"/>
    <x v="4737"/>
    <x v="33"/>
    <n v="29302"/>
    <s v="n.a."/>
    <s v="n.a."/>
    <x v="4111"/>
    <n v="2253"/>
  </r>
  <r>
    <x v="85"/>
    <x v="65"/>
    <x v="4738"/>
    <x v="33"/>
    <n v="34301"/>
    <s v="n.a."/>
    <s v="n.a."/>
    <x v="4112"/>
    <n v="3195"/>
  </r>
  <r>
    <x v="85"/>
    <x v="66"/>
    <x v="4739"/>
    <x v="33"/>
    <n v="38689"/>
    <s v="n.a."/>
    <s v="n.a."/>
    <x v="4113"/>
    <n v="5547"/>
  </r>
  <r>
    <x v="85"/>
    <x v="67"/>
    <x v="4740"/>
    <x v="33"/>
    <n v="30536"/>
    <s v="n.a."/>
    <s v="n.a."/>
    <x v="4114"/>
    <n v="1075"/>
  </r>
  <r>
    <x v="85"/>
    <x v="68"/>
    <x v="3547"/>
    <x v="33"/>
    <n v="45983"/>
    <s v="n.a."/>
    <s v="n.a."/>
    <x v="4115"/>
    <n v="569"/>
  </r>
  <r>
    <x v="85"/>
    <x v="69"/>
    <x v="4741"/>
    <x v="33"/>
    <n v="43040"/>
    <s v="n.a."/>
    <s v="n.a."/>
    <x v="4116"/>
    <n v="144"/>
  </r>
  <r>
    <x v="86"/>
    <x v="0"/>
    <x v="4742"/>
    <x v="1935"/>
    <n v="22437"/>
    <n v="-265"/>
    <n v="-66"/>
    <x v="4117"/>
    <n v="-343"/>
  </r>
  <r>
    <x v="86"/>
    <x v="1"/>
    <x v="4743"/>
    <x v="1936"/>
    <n v="22809"/>
    <n v="180"/>
    <n v="-9"/>
    <x v="4118"/>
    <n v="2307"/>
  </r>
  <r>
    <x v="86"/>
    <x v="2"/>
    <x v="4744"/>
    <x v="1937"/>
    <n v="22268"/>
    <n v="1553"/>
    <n v="-12"/>
    <x v="4119"/>
    <n v="127"/>
  </r>
  <r>
    <x v="86"/>
    <x v="3"/>
    <x v="4745"/>
    <x v="1938"/>
    <n v="20458"/>
    <n v="-901"/>
    <n v="-160"/>
    <x v="4120"/>
    <n v="-2880"/>
  </r>
  <r>
    <x v="86"/>
    <x v="4"/>
    <x v="4746"/>
    <x v="1939"/>
    <n v="21503"/>
    <n v="209"/>
    <n v="217"/>
    <x v="4121"/>
    <n v="3087"/>
  </r>
  <r>
    <x v="86"/>
    <x v="5"/>
    <x v="4747"/>
    <x v="1940"/>
    <n v="20631"/>
    <n v="1765"/>
    <n v="-278"/>
    <x v="4122"/>
    <n v="93"/>
  </r>
  <r>
    <x v="86"/>
    <x v="6"/>
    <x v="4748"/>
    <x v="1941"/>
    <n v="19450"/>
    <n v="-826"/>
    <n v="114"/>
    <x v="4123"/>
    <n v="-263"/>
  </r>
  <r>
    <x v="86"/>
    <x v="7"/>
    <x v="4749"/>
    <x v="1942"/>
    <n v="19724"/>
    <n v="71"/>
    <n v="124"/>
    <x v="4124"/>
    <n v="398"/>
  </r>
  <r>
    <x v="86"/>
    <x v="8"/>
    <x v="4750"/>
    <x v="433"/>
    <n v="19385"/>
    <n v="813"/>
    <n v="310"/>
    <x v="4125"/>
    <n v="-860"/>
  </r>
  <r>
    <x v="86"/>
    <x v="9"/>
    <x v="4751"/>
    <x v="1943"/>
    <n v="18320"/>
    <n v="487"/>
    <n v="1527"/>
    <x v="4126"/>
    <n v="-5223"/>
  </r>
  <r>
    <x v="86"/>
    <x v="10"/>
    <x v="4752"/>
    <x v="1944"/>
    <n v="17978"/>
    <n v="428"/>
    <n v="-629"/>
    <x v="4127"/>
    <n v="4195"/>
  </r>
  <r>
    <x v="86"/>
    <x v="11"/>
    <x v="4753"/>
    <x v="1945"/>
    <n v="17653"/>
    <n v="499"/>
    <n v="-1011"/>
    <x v="4128"/>
    <n v="272"/>
  </r>
  <r>
    <x v="86"/>
    <x v="12"/>
    <x v="4754"/>
    <x v="1946"/>
    <n v="16963"/>
    <n v="-1731"/>
    <n v="-442"/>
    <x v="1529"/>
    <n v="58"/>
  </r>
  <r>
    <x v="86"/>
    <x v="13"/>
    <x v="4755"/>
    <x v="1947"/>
    <n v="18846"/>
    <n v="107"/>
    <n v="133"/>
    <x v="4129"/>
    <n v="3009"/>
  </r>
  <r>
    <x v="86"/>
    <x v="14"/>
    <x v="4756"/>
    <x v="1948"/>
    <n v="18615"/>
    <n v="457"/>
    <n v="939"/>
    <x v="4130"/>
    <n v="37"/>
  </r>
  <r>
    <x v="86"/>
    <x v="15"/>
    <x v="4757"/>
    <x v="1949"/>
    <n v="18121"/>
    <n v="2052"/>
    <n v="188"/>
    <x v="4131"/>
    <n v="-838"/>
  </r>
  <r>
    <x v="86"/>
    <x v="16"/>
    <x v="4758"/>
    <x v="1950"/>
    <n v="15891"/>
    <n v="422"/>
    <n v="549"/>
    <x v="1177"/>
    <n v="493"/>
  </r>
  <r>
    <x v="86"/>
    <x v="17"/>
    <x v="4759"/>
    <x v="885"/>
    <n v="15344"/>
    <n v="-117"/>
    <n v="-282"/>
    <x v="2965"/>
    <n v="172"/>
  </r>
  <r>
    <x v="86"/>
    <x v="18"/>
    <x v="4760"/>
    <x v="1951"/>
    <n v="15246"/>
    <n v="127"/>
    <n v="-19"/>
    <x v="855"/>
    <n v="184"/>
  </r>
  <r>
    <x v="86"/>
    <x v="19"/>
    <x v="4761"/>
    <x v="344"/>
    <n v="15297"/>
    <n v="-627"/>
    <n v="441"/>
    <x v="3135"/>
    <n v="157"/>
  </r>
  <r>
    <x v="86"/>
    <x v="20"/>
    <x v="4762"/>
    <x v="1952"/>
    <n v="16024"/>
    <n v="317"/>
    <n v="35"/>
    <x v="4132"/>
    <n v="11"/>
  </r>
  <r>
    <x v="86"/>
    <x v="21"/>
    <x v="4763"/>
    <x v="1953"/>
    <n v="15939"/>
    <n v="159"/>
    <n v="-728"/>
    <x v="1690"/>
    <n v="177"/>
  </r>
  <r>
    <x v="86"/>
    <x v="22"/>
    <x v="4764"/>
    <x v="1954"/>
    <n v="16154"/>
    <n v="292"/>
    <n v="360"/>
    <x v="4133"/>
    <n v="687"/>
  </r>
  <r>
    <x v="86"/>
    <x v="23"/>
    <x v="4765"/>
    <x v="1955"/>
    <n v="15185"/>
    <n v="-2"/>
    <n v="332"/>
    <x v="4134"/>
    <n v="-219"/>
  </r>
  <r>
    <x v="86"/>
    <x v="24"/>
    <x v="4766"/>
    <x v="29"/>
    <n v="14968"/>
    <n v="-102"/>
    <n v="276"/>
    <x v="854"/>
    <n v="-132"/>
  </r>
  <r>
    <x v="86"/>
    <x v="25"/>
    <x v="4767"/>
    <x v="1187"/>
    <n v="14951"/>
    <n v="332"/>
    <n v="-884"/>
    <x v="4135"/>
    <n v="-5"/>
  </r>
  <r>
    <x v="86"/>
    <x v="26"/>
    <x v="4768"/>
    <x v="1956"/>
    <n v="14852"/>
    <n v="1455"/>
    <n v="105"/>
    <x v="4136"/>
    <n v="-345"/>
  </r>
  <r>
    <x v="86"/>
    <x v="27"/>
    <x v="4769"/>
    <x v="1957"/>
    <n v="13438"/>
    <n v="29"/>
    <n v="715"/>
    <x v="4137"/>
    <n v="-1020"/>
  </r>
  <r>
    <x v="86"/>
    <x v="28"/>
    <x v="4770"/>
    <x v="934"/>
    <n v="13443"/>
    <n v="1187"/>
    <n v="335"/>
    <x v="4138"/>
    <n v="1501"/>
  </r>
  <r>
    <x v="86"/>
    <x v="29"/>
    <x v="4771"/>
    <x v="1016"/>
    <n v="12431"/>
    <n v="-1278"/>
    <n v="-878"/>
    <x v="1558"/>
    <n v="206"/>
  </r>
  <r>
    <x v="86"/>
    <x v="30"/>
    <x v="4772"/>
    <x v="419"/>
    <n v="13712"/>
    <n v="-651"/>
    <n v="-4"/>
    <x v="1221"/>
    <n v="-3"/>
  </r>
  <r>
    <x v="86"/>
    <x v="31"/>
    <x v="4773"/>
    <x v="1472"/>
    <n v="14411"/>
    <n v="-145"/>
    <n v="202"/>
    <x v="4139"/>
    <n v="-122"/>
  </r>
  <r>
    <x v="86"/>
    <x v="32"/>
    <x v="4774"/>
    <x v="1958"/>
    <n v="14390"/>
    <n v="1236"/>
    <n v="-194"/>
    <x v="4140"/>
    <n v="432"/>
  </r>
  <r>
    <x v="86"/>
    <x v="33"/>
    <x v="4775"/>
    <x v="33"/>
    <n v="13253"/>
    <s v="n.a."/>
    <s v="n.a."/>
    <x v="4141"/>
    <n v="-716"/>
  </r>
  <r>
    <x v="86"/>
    <x v="34"/>
    <x v="4776"/>
    <x v="33"/>
    <n v="13743"/>
    <s v="n.a."/>
    <s v="n.a."/>
    <x v="4142"/>
    <n v="878"/>
  </r>
  <r>
    <x v="86"/>
    <x v="35"/>
    <x v="4777"/>
    <x v="33"/>
    <n v="12208"/>
    <s v="n.a."/>
    <s v="n.a."/>
    <x v="4143"/>
    <n v="166"/>
  </r>
  <r>
    <x v="86"/>
    <x v="36"/>
    <x v="2048"/>
    <x v="33"/>
    <n v="12217"/>
    <s v="n.a."/>
    <s v="n.a."/>
    <x v="3140"/>
    <n v="-91"/>
  </r>
  <r>
    <x v="86"/>
    <x v="37"/>
    <x v="4778"/>
    <x v="33"/>
    <n v="11846"/>
    <s v="n.a."/>
    <s v="n.a."/>
    <x v="1022"/>
    <n v="-41"/>
  </r>
  <r>
    <x v="86"/>
    <x v="38"/>
    <x v="4779"/>
    <x v="33"/>
    <n v="11556"/>
    <s v="n.a."/>
    <s v="n.a."/>
    <x v="3224"/>
    <n v="98"/>
  </r>
  <r>
    <x v="86"/>
    <x v="39"/>
    <x v="4780"/>
    <x v="33"/>
    <n v="11869"/>
    <s v="n.a."/>
    <s v="n.a."/>
    <x v="4144"/>
    <n v="-854"/>
  </r>
  <r>
    <x v="86"/>
    <x v="40"/>
    <x v="4781"/>
    <x v="33"/>
    <n v="13467"/>
    <s v="n.a."/>
    <s v="n.a."/>
    <x v="4145"/>
    <n v="698"/>
  </r>
  <r>
    <x v="86"/>
    <x v="41"/>
    <x v="4782"/>
    <x v="33"/>
    <n v="12794"/>
    <s v="n.a."/>
    <s v="n.a."/>
    <x v="4146"/>
    <n v="-90"/>
  </r>
  <r>
    <x v="86"/>
    <x v="42"/>
    <x v="243"/>
    <x v="33"/>
    <n v="12953"/>
    <s v="n.a."/>
    <s v="n.a."/>
    <x v="4147"/>
    <n v="-372"/>
  </r>
  <r>
    <x v="86"/>
    <x v="43"/>
    <x v="4783"/>
    <x v="33"/>
    <n v="11815"/>
    <s v="n.a."/>
    <s v="n.a."/>
    <x v="4148"/>
    <n v="2"/>
  </r>
  <r>
    <x v="86"/>
    <x v="44"/>
    <x v="4784"/>
    <x v="33"/>
    <n v="11255"/>
    <s v="n.a."/>
    <s v="n.a."/>
    <x v="4149"/>
    <n v="-124"/>
  </r>
  <r>
    <x v="86"/>
    <x v="45"/>
    <x v="4785"/>
    <x v="33"/>
    <n v="13585"/>
    <s v="n.a."/>
    <s v="n.a."/>
    <x v="4150"/>
    <n v="84"/>
  </r>
  <r>
    <x v="86"/>
    <x v="46"/>
    <x v="4786"/>
    <x v="33"/>
    <n v="14563"/>
    <s v="n.a."/>
    <s v="n.a."/>
    <x v="201"/>
    <n v="-1301"/>
  </r>
  <r>
    <x v="86"/>
    <x v="47"/>
    <x v="4787"/>
    <x v="33"/>
    <n v="13934"/>
    <s v="n.a."/>
    <s v="n.a."/>
    <x v="2846"/>
    <n v="259"/>
  </r>
  <r>
    <x v="86"/>
    <x v="48"/>
    <x v="4788"/>
    <x v="33"/>
    <n v="16060"/>
    <s v="n.a."/>
    <s v="n.a."/>
    <x v="4151"/>
    <n v="818"/>
  </r>
  <r>
    <x v="86"/>
    <x v="49"/>
    <x v="2047"/>
    <x v="33"/>
    <n v="13541"/>
    <s v="n.a."/>
    <s v="n.a."/>
    <x v="4152"/>
    <n v="-519"/>
  </r>
  <r>
    <x v="86"/>
    <x v="50"/>
    <x v="4323"/>
    <x v="33"/>
    <n v="12547"/>
    <s v="n.a."/>
    <s v="n.a."/>
    <x v="4153"/>
    <n v="-37"/>
  </r>
  <r>
    <x v="86"/>
    <x v="51"/>
    <x v="4282"/>
    <x v="33"/>
    <n v="12491"/>
    <s v="n.a."/>
    <s v="n.a."/>
    <x v="4154"/>
    <n v="-363"/>
  </r>
  <r>
    <x v="86"/>
    <x v="52"/>
    <x v="4789"/>
    <x v="33"/>
    <n v="12920"/>
    <s v="n.a."/>
    <s v="n.a."/>
    <x v="4155"/>
    <n v="416"/>
  </r>
  <r>
    <x v="86"/>
    <x v="53"/>
    <x v="4790"/>
    <x v="33"/>
    <n v="12771"/>
    <s v="n.a."/>
    <s v="n.a."/>
    <x v="4156"/>
    <n v="978"/>
  </r>
  <r>
    <x v="86"/>
    <x v="54"/>
    <x v="4791"/>
    <x v="33"/>
    <n v="11641"/>
    <s v="n.a."/>
    <s v="n.a."/>
    <x v="4157"/>
    <n v="-549"/>
  </r>
  <r>
    <x v="86"/>
    <x v="55"/>
    <x v="4792"/>
    <x v="33"/>
    <n v="13289"/>
    <s v="n.a."/>
    <s v="n.a."/>
    <x v="2890"/>
    <n v="-146"/>
  </r>
  <r>
    <x v="86"/>
    <x v="56"/>
    <x v="4793"/>
    <x v="33"/>
    <n v="15287"/>
    <s v="n.a."/>
    <s v="n.a."/>
    <x v="4158"/>
    <n v="272"/>
  </r>
  <r>
    <x v="86"/>
    <x v="57"/>
    <x v="4794"/>
    <x v="33"/>
    <n v="15263"/>
    <s v="n.a."/>
    <s v="n.a."/>
    <x v="4159"/>
    <n v="165"/>
  </r>
  <r>
    <x v="86"/>
    <x v="58"/>
    <x v="4795"/>
    <x v="33"/>
    <n v="15378"/>
    <s v="n.a."/>
    <s v="n.a."/>
    <x v="4160"/>
    <n v="-264"/>
  </r>
  <r>
    <x v="86"/>
    <x v="59"/>
    <x v="4796"/>
    <x v="33"/>
    <n v="15857"/>
    <s v="n.a."/>
    <s v="n.a."/>
    <x v="2895"/>
    <n v="-1353"/>
  </r>
  <r>
    <x v="86"/>
    <x v="60"/>
    <x v="2336"/>
    <x v="33"/>
    <n v="15740"/>
    <s v="n.a."/>
    <s v="n.a."/>
    <x v="2969"/>
    <n v="-859"/>
  </r>
  <r>
    <x v="86"/>
    <x v="61"/>
    <x v="4797"/>
    <x v="33"/>
    <n v="15705"/>
    <s v="n.a."/>
    <s v="n.a."/>
    <x v="1964"/>
    <n v="867"/>
  </r>
  <r>
    <x v="86"/>
    <x v="62"/>
    <x v="4798"/>
    <x v="33"/>
    <n v="15315"/>
    <s v="n.a."/>
    <s v="n.a."/>
    <x v="4161"/>
    <n v="-60"/>
  </r>
  <r>
    <x v="86"/>
    <x v="63"/>
    <x v="4799"/>
    <x v="33"/>
    <n v="16115"/>
    <s v="n.a."/>
    <s v="n.a."/>
    <x v="2960"/>
    <n v="-256"/>
  </r>
  <r>
    <x v="86"/>
    <x v="64"/>
    <x v="4800"/>
    <x v="33"/>
    <n v="15876"/>
    <s v="n.a."/>
    <s v="n.a."/>
    <x v="4162"/>
    <n v="831"/>
  </r>
  <r>
    <x v="86"/>
    <x v="65"/>
    <x v="4801"/>
    <x v="33"/>
    <n v="16378"/>
    <s v="n.a."/>
    <s v="n.a."/>
    <x v="852"/>
    <n v="-186"/>
  </r>
  <r>
    <x v="86"/>
    <x v="66"/>
    <x v="4802"/>
    <x v="33"/>
    <n v="16212"/>
    <s v="n.a."/>
    <s v="n.a."/>
    <x v="4163"/>
    <n v="1934"/>
  </r>
  <r>
    <x v="86"/>
    <x v="67"/>
    <x v="3286"/>
    <x v="33"/>
    <n v="15731"/>
    <s v="n.a."/>
    <s v="n.a."/>
    <x v="4164"/>
    <n v="-81"/>
  </r>
  <r>
    <x v="86"/>
    <x v="68"/>
    <x v="4803"/>
    <x v="33"/>
    <n v="17122"/>
    <s v="n.a."/>
    <s v="n.a."/>
    <x v="4165"/>
    <n v="756"/>
  </r>
  <r>
    <x v="86"/>
    <x v="69"/>
    <x v="4804"/>
    <x v="33"/>
    <n v="17322"/>
    <s v="n.a."/>
    <s v="n.a."/>
    <x v="4166"/>
    <n v="42"/>
  </r>
  <r>
    <x v="87"/>
    <x v="0"/>
    <x v="4805"/>
    <x v="1959"/>
    <n v="67618"/>
    <n v="91"/>
    <n v="-1341"/>
    <x v="4167"/>
    <n v="-1922"/>
  </r>
  <r>
    <x v="87"/>
    <x v="1"/>
    <x v="4806"/>
    <x v="1960"/>
    <n v="68121"/>
    <n v="707"/>
    <n v="1336"/>
    <x v="4168"/>
    <n v="1527"/>
  </r>
  <r>
    <x v="87"/>
    <x v="2"/>
    <x v="4807"/>
    <x v="1961"/>
    <n v="64746"/>
    <n v="1259"/>
    <n v="-2819"/>
    <x v="4169"/>
    <n v="630"/>
  </r>
  <r>
    <x v="87"/>
    <x v="3"/>
    <x v="4808"/>
    <x v="1962"/>
    <n v="65918"/>
    <n v="416"/>
    <n v="-257"/>
    <x v="4170"/>
    <n v="-4925"/>
  </r>
  <r>
    <x v="87"/>
    <x v="4"/>
    <x v="4809"/>
    <x v="1963"/>
    <n v="63151"/>
    <n v="3088"/>
    <n v="-1655"/>
    <x v="4171"/>
    <n v="3625"/>
  </r>
  <r>
    <x v="87"/>
    <x v="5"/>
    <x v="4810"/>
    <x v="1964"/>
    <n v="62527"/>
    <n v="4643"/>
    <n v="-738"/>
    <x v="4172"/>
    <n v="-3386"/>
  </r>
  <r>
    <x v="87"/>
    <x v="6"/>
    <x v="4811"/>
    <x v="1965"/>
    <n v="60587"/>
    <n v="376"/>
    <n v="482"/>
    <x v="4173"/>
    <n v="2586"/>
  </r>
  <r>
    <x v="87"/>
    <x v="7"/>
    <x v="4812"/>
    <x v="1966"/>
    <n v="59332"/>
    <n v="1950"/>
    <n v="136"/>
    <x v="4174"/>
    <n v="-702"/>
  </r>
  <r>
    <x v="87"/>
    <x v="8"/>
    <x v="456"/>
    <x v="1967"/>
    <n v="57217"/>
    <n v="683"/>
    <n v="-1262"/>
    <x v="4175"/>
    <n v="-4617"/>
  </r>
  <r>
    <x v="87"/>
    <x v="9"/>
    <x v="4813"/>
    <x v="1968"/>
    <n v="59468"/>
    <n v="-914"/>
    <n v="-6876"/>
    <x v="998"/>
    <n v="-9474"/>
  </r>
  <r>
    <x v="87"/>
    <x v="10"/>
    <x v="4814"/>
    <x v="1969"/>
    <n v="71754"/>
    <n v="5641"/>
    <n v="-3854"/>
    <x v="4176"/>
    <n v="14303"/>
  </r>
  <r>
    <x v="87"/>
    <x v="11"/>
    <x v="4815"/>
    <x v="1970"/>
    <n v="80967"/>
    <n v="-570"/>
    <n v="-662"/>
    <x v="4177"/>
    <n v="-718"/>
  </r>
  <r>
    <x v="87"/>
    <x v="12"/>
    <x v="4816"/>
    <x v="1971"/>
    <n v="83202"/>
    <n v="4700"/>
    <n v="-888"/>
    <x v="4178"/>
    <n v="1871"/>
  </r>
  <r>
    <x v="87"/>
    <x v="13"/>
    <x v="4817"/>
    <x v="1972"/>
    <n v="74137"/>
    <n v="-775"/>
    <n v="-147"/>
    <x v="4179"/>
    <n v="-667"/>
  </r>
  <r>
    <x v="87"/>
    <x v="14"/>
    <x v="4818"/>
    <x v="112"/>
    <n v="76045"/>
    <n v="-3277"/>
    <n v="992"/>
    <x v="4180"/>
    <n v="3162"/>
  </r>
  <r>
    <x v="87"/>
    <x v="15"/>
    <x v="4819"/>
    <x v="1973"/>
    <n v="79093"/>
    <n v="5711"/>
    <n v="837"/>
    <x v="4181"/>
    <n v="1031"/>
  </r>
  <r>
    <x v="87"/>
    <x v="16"/>
    <x v="4820"/>
    <x v="1974"/>
    <n v="75083"/>
    <n v="-7195"/>
    <n v="-73"/>
    <x v="4182"/>
    <n v="713"/>
  </r>
  <r>
    <x v="87"/>
    <x v="17"/>
    <x v="4821"/>
    <x v="1975"/>
    <n v="82214"/>
    <n v="9078"/>
    <n v="66"/>
    <x v="4183"/>
    <n v="166"/>
  </r>
  <r>
    <x v="87"/>
    <x v="18"/>
    <x v="4822"/>
    <x v="1976"/>
    <n v="74266"/>
    <n v="2957"/>
    <n v="-709"/>
    <x v="4184"/>
    <n v="-247"/>
  </r>
  <r>
    <x v="87"/>
    <x v="19"/>
    <x v="4823"/>
    <x v="1977"/>
    <n v="70985"/>
    <n v="3115"/>
    <n v="369"/>
    <x v="4185"/>
    <n v="-999"/>
  </r>
  <r>
    <x v="87"/>
    <x v="20"/>
    <x v="4824"/>
    <x v="1978"/>
    <n v="67469"/>
    <n v="4858"/>
    <n v="-86"/>
    <x v="4186"/>
    <n v="3910"/>
  </r>
  <r>
    <x v="87"/>
    <x v="21"/>
    <x v="4825"/>
    <x v="1979"/>
    <n v="62795"/>
    <n v="-14139"/>
    <n v="-212"/>
    <x v="4187"/>
    <n v="1267"/>
  </r>
  <r>
    <x v="87"/>
    <x v="22"/>
    <x v="4826"/>
    <x v="1980"/>
    <n v="76188"/>
    <n v="6411"/>
    <n v="1486"/>
    <x v="4188"/>
    <n v="1952"/>
  </r>
  <r>
    <x v="87"/>
    <x v="23"/>
    <x v="4827"/>
    <x v="1981"/>
    <n v="68574"/>
    <n v="887"/>
    <n v="621"/>
    <x v="4189"/>
    <n v="-624"/>
  </r>
  <r>
    <x v="87"/>
    <x v="24"/>
    <x v="4828"/>
    <x v="1982"/>
    <n v="68801"/>
    <n v="7798"/>
    <n v="335"/>
    <x v="4190"/>
    <n v="850"/>
  </r>
  <r>
    <x v="87"/>
    <x v="25"/>
    <x v="4829"/>
    <x v="1983"/>
    <n v="62698"/>
    <n v="1178"/>
    <n v="-1248"/>
    <x v="4191"/>
    <n v="841"/>
  </r>
  <r>
    <x v="87"/>
    <x v="26"/>
    <x v="4830"/>
    <x v="1984"/>
    <n v="60464"/>
    <n v="-5441"/>
    <n v="-89"/>
    <x v="4192"/>
    <n v="542"/>
  </r>
  <r>
    <x v="87"/>
    <x v="27"/>
    <x v="4831"/>
    <x v="1985"/>
    <n v="64457"/>
    <n v="3989"/>
    <n v="1322"/>
    <x v="4193"/>
    <n v="2233"/>
  </r>
  <r>
    <x v="87"/>
    <x v="28"/>
    <x v="4832"/>
    <x v="1986"/>
    <n v="62644"/>
    <n v="7445"/>
    <n v="-265"/>
    <x v="4194"/>
    <n v="6466"/>
  </r>
  <r>
    <x v="87"/>
    <x v="29"/>
    <x v="4833"/>
    <x v="1987"/>
    <n v="54981"/>
    <n v="6674"/>
    <n v="-696"/>
    <x v="4195"/>
    <n v="978"/>
  </r>
  <r>
    <x v="87"/>
    <x v="30"/>
    <x v="4834"/>
    <x v="1988"/>
    <n v="46743"/>
    <n v="1172"/>
    <n v="-1140"/>
    <x v="4196"/>
    <n v="-1445"/>
  </r>
  <r>
    <x v="87"/>
    <x v="31"/>
    <x v="4835"/>
    <x v="1989"/>
    <n v="48155"/>
    <n v="691"/>
    <n v="939"/>
    <x v="4197"/>
    <n v="354"/>
  </r>
  <r>
    <x v="87"/>
    <x v="32"/>
    <x v="4836"/>
    <x v="1366"/>
    <n v="47003"/>
    <n v="1042"/>
    <n v="-635"/>
    <x v="2954"/>
    <n v="-1320"/>
  </r>
  <r>
    <x v="87"/>
    <x v="33"/>
    <x v="4837"/>
    <x v="33"/>
    <n v="46453"/>
    <s v="n.a."/>
    <s v="n.a."/>
    <x v="4198"/>
    <n v="-1945"/>
  </r>
  <r>
    <x v="87"/>
    <x v="34"/>
    <x v="4838"/>
    <x v="33"/>
    <n v="49102"/>
    <s v="n.a."/>
    <s v="n.a."/>
    <x v="3696"/>
    <n v="556"/>
  </r>
  <r>
    <x v="87"/>
    <x v="35"/>
    <x v="4839"/>
    <x v="33"/>
    <n v="45455"/>
    <s v="n.a."/>
    <s v="n.a."/>
    <x v="4199"/>
    <n v="1617"/>
  </r>
  <r>
    <x v="87"/>
    <x v="36"/>
    <x v="4840"/>
    <x v="33"/>
    <n v="46369"/>
    <s v="n.a."/>
    <s v="n.a."/>
    <x v="4200"/>
    <n v="-643"/>
  </r>
  <r>
    <x v="87"/>
    <x v="37"/>
    <x v="4841"/>
    <x v="33"/>
    <n v="47063"/>
    <s v="n.a."/>
    <s v="n.a."/>
    <x v="4201"/>
    <n v="-1275"/>
  </r>
  <r>
    <x v="87"/>
    <x v="38"/>
    <x v="4842"/>
    <x v="33"/>
    <n v="45834"/>
    <s v="n.a."/>
    <s v="n.a."/>
    <x v="4202"/>
    <n v="-1707"/>
  </r>
  <r>
    <x v="87"/>
    <x v="39"/>
    <x v="4843"/>
    <x v="33"/>
    <n v="47993"/>
    <s v="n.a."/>
    <s v="n.a."/>
    <x v="4203"/>
    <n v="-4221"/>
  </r>
  <r>
    <x v="87"/>
    <x v="40"/>
    <x v="4844"/>
    <x v="33"/>
    <n v="50143"/>
    <s v="n.a."/>
    <s v="n.a."/>
    <x v="4204"/>
    <n v="83"/>
  </r>
  <r>
    <x v="87"/>
    <x v="41"/>
    <x v="4845"/>
    <x v="33"/>
    <n v="48245"/>
    <s v="n.a."/>
    <s v="n.a."/>
    <x v="4205"/>
    <n v="-995"/>
  </r>
  <r>
    <x v="87"/>
    <x v="42"/>
    <x v="4846"/>
    <x v="33"/>
    <n v="49785"/>
    <s v="n.a."/>
    <s v="n.a."/>
    <x v="1938"/>
    <n v="-517"/>
  </r>
  <r>
    <x v="87"/>
    <x v="43"/>
    <x v="4847"/>
    <x v="33"/>
    <n v="47275"/>
    <s v="n.a."/>
    <s v="n.a."/>
    <x v="4206"/>
    <n v="1728"/>
  </r>
  <r>
    <x v="87"/>
    <x v="44"/>
    <x v="4848"/>
    <x v="33"/>
    <n v="43990"/>
    <s v="n.a."/>
    <s v="n.a."/>
    <x v="4207"/>
    <n v="438"/>
  </r>
  <r>
    <x v="87"/>
    <x v="45"/>
    <x v="4849"/>
    <x v="33"/>
    <n v="47571"/>
    <s v="n.a."/>
    <s v="n.a."/>
    <x v="4208"/>
    <n v="336"/>
  </r>
  <r>
    <x v="87"/>
    <x v="46"/>
    <x v="4850"/>
    <x v="33"/>
    <n v="48608"/>
    <s v="n.a."/>
    <s v="n.a."/>
    <x v="4209"/>
    <n v="-2827"/>
  </r>
  <r>
    <x v="87"/>
    <x v="47"/>
    <x v="4851"/>
    <x v="33"/>
    <n v="46673"/>
    <s v="n.a."/>
    <s v="n.a."/>
    <x v="4210"/>
    <n v="1868"/>
  </r>
  <r>
    <x v="87"/>
    <x v="48"/>
    <x v="4852"/>
    <x v="33"/>
    <n v="49971"/>
    <s v="n.a."/>
    <s v="n.a."/>
    <x v="4211"/>
    <n v="1764"/>
  </r>
  <r>
    <x v="87"/>
    <x v="49"/>
    <x v="4853"/>
    <x v="33"/>
    <n v="45907"/>
    <s v="n.a."/>
    <s v="n.a."/>
    <x v="4212"/>
    <n v="-2190"/>
  </r>
  <r>
    <x v="87"/>
    <x v="50"/>
    <x v="4854"/>
    <x v="33"/>
    <n v="43203"/>
    <s v="n.a."/>
    <s v="n.a."/>
    <x v="4213"/>
    <n v="-593"/>
  </r>
  <r>
    <x v="87"/>
    <x v="51"/>
    <x v="2867"/>
    <x v="33"/>
    <n v="42917"/>
    <s v="n.a."/>
    <s v="n.a."/>
    <x v="3338"/>
    <n v="-413"/>
  </r>
  <r>
    <x v="87"/>
    <x v="52"/>
    <x v="4855"/>
    <x v="33"/>
    <n v="42645"/>
    <s v="n.a."/>
    <s v="n.a."/>
    <x v="4214"/>
    <n v="-257"/>
  </r>
  <r>
    <x v="87"/>
    <x v="53"/>
    <x v="4856"/>
    <x v="33"/>
    <n v="39180"/>
    <s v="n.a."/>
    <s v="n.a."/>
    <x v="4215"/>
    <n v="616"/>
  </r>
  <r>
    <x v="87"/>
    <x v="54"/>
    <x v="4857"/>
    <x v="33"/>
    <n v="37434"/>
    <s v="n.a."/>
    <s v="n.a."/>
    <x v="4216"/>
    <n v="-912"/>
  </r>
  <r>
    <x v="87"/>
    <x v="55"/>
    <x v="4858"/>
    <x v="33"/>
    <n v="45129"/>
    <s v="n.a."/>
    <s v="n.a."/>
    <x v="4217"/>
    <n v="-2973"/>
  </r>
  <r>
    <x v="87"/>
    <x v="56"/>
    <x v="4859"/>
    <x v="33"/>
    <n v="41457"/>
    <s v="n.a."/>
    <s v="n.a."/>
    <x v="4218"/>
    <n v="-2121"/>
  </r>
  <r>
    <x v="87"/>
    <x v="57"/>
    <x v="4860"/>
    <x v="33"/>
    <n v="41425"/>
    <s v="n.a."/>
    <s v="n.a."/>
    <x v="4219"/>
    <n v="-561"/>
  </r>
  <r>
    <x v="87"/>
    <x v="58"/>
    <x v="4861"/>
    <x v="33"/>
    <n v="31022"/>
    <s v="n.a."/>
    <s v="n.a."/>
    <x v="4220"/>
    <n v="-7629"/>
  </r>
  <r>
    <x v="87"/>
    <x v="59"/>
    <x v="4862"/>
    <x v="33"/>
    <n v="34679"/>
    <s v="n.a."/>
    <s v="n.a."/>
    <x v="4221"/>
    <n v="346"/>
  </r>
  <r>
    <x v="87"/>
    <x v="60"/>
    <x v="4863"/>
    <x v="33"/>
    <n v="35703"/>
    <s v="n.a."/>
    <s v="n.a."/>
    <x v="4222"/>
    <n v="-331"/>
  </r>
  <r>
    <x v="87"/>
    <x v="61"/>
    <x v="4864"/>
    <x v="33"/>
    <n v="40858"/>
    <s v="n.a."/>
    <s v="n.a."/>
    <x v="4223"/>
    <n v="1033"/>
  </r>
  <r>
    <x v="87"/>
    <x v="62"/>
    <x v="4865"/>
    <x v="33"/>
    <n v="40211"/>
    <s v="n.a."/>
    <s v="n.a."/>
    <x v="4224"/>
    <n v="-2091"/>
  </r>
  <r>
    <x v="87"/>
    <x v="63"/>
    <x v="699"/>
    <x v="33"/>
    <n v="49029"/>
    <s v="n.a."/>
    <s v="n.a."/>
    <x v="4225"/>
    <n v="5907"/>
  </r>
  <r>
    <x v="87"/>
    <x v="64"/>
    <x v="4866"/>
    <x v="33"/>
    <n v="45178"/>
    <s v="n.a."/>
    <s v="n.a."/>
    <x v="4226"/>
    <n v="3084"/>
  </r>
  <r>
    <x v="87"/>
    <x v="65"/>
    <x v="4867"/>
    <x v="33"/>
    <n v="50679"/>
    <s v="n.a."/>
    <s v="n.a."/>
    <x v="4227"/>
    <n v="3009"/>
  </r>
  <r>
    <x v="87"/>
    <x v="66"/>
    <x v="4868"/>
    <x v="33"/>
    <n v="54901"/>
    <s v="n.a."/>
    <s v="n.a."/>
    <x v="4228"/>
    <n v="7481"/>
  </r>
  <r>
    <x v="87"/>
    <x v="67"/>
    <x v="4869"/>
    <x v="33"/>
    <n v="46267"/>
    <s v="n.a."/>
    <s v="n.a."/>
    <x v="4229"/>
    <n v="994"/>
  </r>
  <r>
    <x v="87"/>
    <x v="68"/>
    <x v="4870"/>
    <x v="33"/>
    <n v="63105"/>
    <s v="n.a."/>
    <s v="n.a."/>
    <x v="4230"/>
    <n v="1325"/>
  </r>
  <r>
    <x v="87"/>
    <x v="69"/>
    <x v="4871"/>
    <x v="33"/>
    <n v="60362"/>
    <s v="n.a."/>
    <s v="n.a."/>
    <x v="4231"/>
    <n v="186"/>
  </r>
  <r>
    <x v="88"/>
    <x v="33"/>
    <x v="4872"/>
    <x v="33"/>
    <n v="6364842"/>
    <s v="n.a."/>
    <s v="n.a."/>
    <x v="4232"/>
    <n v="-9747"/>
  </r>
  <r>
    <x v="88"/>
    <x v="32"/>
    <x v="4873"/>
    <x v="1990"/>
    <n v="6289115"/>
    <n v="51089"/>
    <n v="-108122"/>
    <x v="4233"/>
    <n v="25544"/>
  </r>
  <r>
    <x v="88"/>
    <x v="31"/>
    <x v="4874"/>
    <x v="1991"/>
    <n v="6506021"/>
    <n v="94873"/>
    <n v="123457"/>
    <x v="4234"/>
    <n v="-3164"/>
  </r>
  <r>
    <x v="88"/>
    <x v="30"/>
    <x v="4875"/>
    <x v="1992"/>
    <n v="6588242"/>
    <n v="115903"/>
    <n v="19324"/>
    <x v="4235"/>
    <n v="-44880"/>
  </r>
  <r>
    <x v="88"/>
    <x v="29"/>
    <x v="4876"/>
    <x v="1993"/>
    <n v="6558524"/>
    <n v="62249"/>
    <n v="-68066"/>
    <x v="4236"/>
    <n v="-17712"/>
  </r>
  <r>
    <x v="88"/>
    <x v="28"/>
    <x v="4877"/>
    <x v="1994"/>
    <n v="6600967"/>
    <n v="78218"/>
    <n v="-46032"/>
    <x v="4237"/>
    <n v="62219"/>
  </r>
  <r>
    <x v="88"/>
    <x v="27"/>
    <x v="4878"/>
    <x v="1995"/>
    <n v="6597898"/>
    <n v="-5233"/>
    <n v="-17937"/>
    <x v="4238"/>
    <n v="34954"/>
  </r>
  <r>
    <x v="88"/>
    <x v="26"/>
    <x v="4879"/>
    <x v="1996"/>
    <n v="6584294"/>
    <n v="3196"/>
    <n v="-27756"/>
    <x v="4239"/>
    <n v="39036"/>
  </r>
  <r>
    <x v="88"/>
    <x v="25"/>
    <x v="4880"/>
    <x v="1997"/>
    <n v="6448221"/>
    <n v="8403"/>
    <n v="-143020"/>
    <x v="4240"/>
    <n v="24656"/>
  </r>
  <r>
    <x v="88"/>
    <x v="24"/>
    <x v="4881"/>
    <x v="1998"/>
    <n v="6441348"/>
    <n v="19676"/>
    <n v="-51273"/>
    <x v="4241"/>
    <n v="-25500"/>
  </r>
  <r>
    <x v="88"/>
    <x v="23"/>
    <x v="4882"/>
    <x v="1999"/>
    <n v="6651332"/>
    <n v="105010"/>
    <n v="160892"/>
    <x v="4242"/>
    <n v="29594"/>
  </r>
  <r>
    <x v="88"/>
    <x v="22"/>
    <x v="4883"/>
    <x v="2000"/>
    <n v="6856948"/>
    <n v="14290"/>
    <n v="139450"/>
    <x v="4243"/>
    <n v="18072"/>
  </r>
  <r>
    <x v="88"/>
    <x v="21"/>
    <x v="4884"/>
    <x v="2001"/>
    <n v="6898526"/>
    <n v="52751"/>
    <n v="4974"/>
    <x v="4244"/>
    <n v="-27799"/>
  </r>
  <r>
    <x v="88"/>
    <x v="20"/>
    <x v="4885"/>
    <x v="2002"/>
    <n v="6909717"/>
    <n v="92037"/>
    <n v="-61990"/>
    <x v="4245"/>
    <n v="34294"/>
  </r>
  <r>
    <x v="88"/>
    <x v="19"/>
    <x v="4886"/>
    <x v="2003"/>
    <n v="7016696"/>
    <n v="48413"/>
    <n v="39736"/>
    <x v="4246"/>
    <n v="1620"/>
  </r>
  <r>
    <x v="88"/>
    <x v="18"/>
    <x v="4887"/>
    <x v="2004"/>
    <n v="6957434"/>
    <n v="85349"/>
    <n v="-112207"/>
    <x v="4247"/>
    <n v="-12415"/>
  </r>
  <r>
    <x v="88"/>
    <x v="17"/>
    <x v="4888"/>
    <x v="2005"/>
    <n v="7061423"/>
    <n v="52913"/>
    <n v="51399"/>
    <x v="4248"/>
    <n v="-9449"/>
  </r>
  <r>
    <x v="88"/>
    <x v="16"/>
    <x v="4889"/>
    <x v="2006"/>
    <n v="7145705"/>
    <n v="582"/>
    <n v="80760"/>
    <x v="4249"/>
    <n v="84249"/>
  </r>
  <r>
    <x v="88"/>
    <x v="15"/>
    <x v="4890"/>
    <x v="2007"/>
    <n v="7263226"/>
    <n v="58292"/>
    <n v="92543"/>
    <x v="4250"/>
    <n v="11436"/>
  </r>
  <r>
    <x v="88"/>
    <x v="14"/>
    <x v="4891"/>
    <x v="2008"/>
    <n v="7373844"/>
    <n v="19718"/>
    <n v="74810"/>
    <x v="4251"/>
    <n v="72520"/>
  </r>
  <r>
    <x v="88"/>
    <x v="13"/>
    <x v="4892"/>
    <x v="2009"/>
    <n v="7515903"/>
    <n v="61791"/>
    <n v="53859"/>
    <x v="4252"/>
    <n v="12833"/>
  </r>
  <r>
    <x v="88"/>
    <x v="12"/>
    <x v="4893"/>
    <x v="2010"/>
    <n v="7436107"/>
    <n v="89015"/>
    <n v="-113718"/>
    <x v="4253"/>
    <n v="7087"/>
  </r>
  <r>
    <x v="88"/>
    <x v="11"/>
    <x v="4894"/>
    <x v="2011"/>
    <n v="7457101"/>
    <n v="-35135"/>
    <n v="43994"/>
    <x v="4254"/>
    <n v="8726"/>
  </r>
  <r>
    <x v="88"/>
    <x v="10"/>
    <x v="4895"/>
    <x v="2012"/>
    <n v="7313969"/>
    <n v="-35836"/>
    <n v="-100142"/>
    <x v="4255"/>
    <n v="39171"/>
  </r>
  <r>
    <x v="88"/>
    <x v="9"/>
    <x v="4896"/>
    <x v="2013"/>
    <n v="7281006"/>
    <n v="-4554"/>
    <n v="-950"/>
    <x v="4256"/>
    <n v="33084"/>
  </r>
  <r>
    <x v="88"/>
    <x v="8"/>
    <x v="4897"/>
    <x v="2014"/>
    <n v="7501487"/>
    <n v="105732"/>
    <n v="115087"/>
    <x v="4257"/>
    <n v="61777"/>
  </r>
  <r>
    <x v="88"/>
    <x v="7"/>
    <x v="4898"/>
    <x v="2015"/>
    <n v="7639051"/>
    <n v="127973"/>
    <n v="-2434"/>
    <x v="4258"/>
    <n v="16633"/>
  </r>
  <r>
    <x v="88"/>
    <x v="6"/>
    <x v="4899"/>
    <x v="2016"/>
    <n v="7597924"/>
    <n v="-58314"/>
    <n v="23333"/>
    <x v="4259"/>
    <n v="-11981"/>
  </r>
  <r>
    <x v="88"/>
    <x v="5"/>
    <x v="4900"/>
    <x v="2017"/>
    <n v="7620845"/>
    <n v="138746"/>
    <n v="-80822"/>
    <x v="4260"/>
    <n v="-459"/>
  </r>
  <r>
    <x v="88"/>
    <x v="4"/>
    <x v="4901"/>
    <x v="2018"/>
    <n v="7689237"/>
    <n v="-852"/>
    <n v="49173"/>
    <x v="4261"/>
    <n v="10929"/>
  </r>
  <r>
    <x v="88"/>
    <x v="3"/>
    <x v="4902"/>
    <x v="2019"/>
    <n v="7710250"/>
    <n v="44581"/>
    <n v="-49175"/>
    <x v="4262"/>
    <n v="-3064"/>
  </r>
  <r>
    <x v="88"/>
    <x v="2"/>
    <x v="4903"/>
    <x v="2020"/>
    <n v="7824759"/>
    <n v="48524"/>
    <n v="38036"/>
    <x v="4263"/>
    <n v="24822"/>
  </r>
  <r>
    <x v="88"/>
    <x v="1"/>
    <x v="4904"/>
    <x v="2021"/>
    <n v="7832692"/>
    <n v="25139"/>
    <n v="33972"/>
    <x v="4264"/>
    <n v="-21324"/>
  </r>
  <r>
    <x v="88"/>
    <x v="0"/>
    <x v="4905"/>
    <x v="2022"/>
    <n v="7805071"/>
    <n v="-61184"/>
    <n v="10093"/>
    <x v="4265"/>
    <n v="21805"/>
  </r>
  <r>
    <x v="88"/>
    <x v="34"/>
    <x v="4906"/>
    <x v="33"/>
    <n v="6244696"/>
    <s v="n.a."/>
    <s v="n.a."/>
    <x v="4266"/>
    <n v="44064"/>
  </r>
  <r>
    <x v="88"/>
    <x v="35"/>
    <x v="4907"/>
    <x v="33"/>
    <n v="6278738"/>
    <s v="n.a."/>
    <s v="n.a."/>
    <x v="4267"/>
    <n v="4688"/>
  </r>
  <r>
    <x v="88"/>
    <x v="36"/>
    <x v="4908"/>
    <x v="33"/>
    <n v="6231915"/>
    <s v="n.a."/>
    <s v="n.a."/>
    <x v="4268"/>
    <n v="-18374"/>
  </r>
  <r>
    <x v="88"/>
    <x v="37"/>
    <x v="4909"/>
    <x v="33"/>
    <n v="6331898"/>
    <s v="n.a."/>
    <s v="n.a."/>
    <x v="4269"/>
    <n v="-9463"/>
  </r>
  <r>
    <x v="88"/>
    <x v="38"/>
    <x v="4910"/>
    <x v="33"/>
    <n v="6563621"/>
    <s v="n.a."/>
    <s v="n.a."/>
    <x v="4270"/>
    <n v="45023"/>
  </r>
  <r>
    <x v="88"/>
    <x v="39"/>
    <x v="4911"/>
    <x v="33"/>
    <n v="6601472"/>
    <s v="n.a."/>
    <s v="n.a."/>
    <x v="4271"/>
    <n v="-11387"/>
  </r>
  <r>
    <x v="88"/>
    <x v="40"/>
    <x v="4912"/>
    <x v="33"/>
    <n v="6521506"/>
    <s v="n.a."/>
    <s v="n.a."/>
    <x v="4272"/>
    <n v="-17405"/>
  </r>
  <r>
    <x v="88"/>
    <x v="41"/>
    <x v="4913"/>
    <x v="33"/>
    <n v="6497919"/>
    <s v="n.a."/>
    <s v="n.a."/>
    <x v="4273"/>
    <n v="-74720"/>
  </r>
  <r>
    <x v="88"/>
    <x v="42"/>
    <x v="4914"/>
    <x v="33"/>
    <n v="6455558"/>
    <s v="n.a."/>
    <s v="n.a."/>
    <x v="4274"/>
    <n v="-20836"/>
  </r>
  <r>
    <x v="88"/>
    <x v="43"/>
    <x v="4915"/>
    <x v="33"/>
    <n v="6595817"/>
    <s v="n.a."/>
    <s v="n.a."/>
    <x v="4275"/>
    <n v="-16426"/>
  </r>
  <r>
    <x v="88"/>
    <x v="44"/>
    <x v="4916"/>
    <x v="33"/>
    <n v="6678630"/>
    <s v="n.a."/>
    <s v="n.a."/>
    <x v="4276"/>
    <n v="27964"/>
  </r>
  <r>
    <x v="88"/>
    <x v="45"/>
    <x v="4917"/>
    <x v="33"/>
    <n v="6658806"/>
    <s v="n.a."/>
    <s v="n.a."/>
    <x v="4277"/>
    <n v="9450"/>
  </r>
  <r>
    <x v="88"/>
    <x v="46"/>
    <x v="4918"/>
    <x v="33"/>
    <n v="6752960"/>
    <s v="n.a."/>
    <s v="n.a."/>
    <x v="4278"/>
    <n v="11988"/>
  </r>
  <r>
    <x v="88"/>
    <x v="47"/>
    <x v="4919"/>
    <x v="33"/>
    <n v="6712439"/>
    <s v="n.a."/>
    <s v="n.a."/>
    <x v="4279"/>
    <n v="12806"/>
  </r>
  <r>
    <x v="88"/>
    <x v="48"/>
    <x v="4920"/>
    <x v="33"/>
    <n v="6698056"/>
    <s v="n.a."/>
    <s v="n.a."/>
    <x v="4280"/>
    <n v="34234"/>
  </r>
  <r>
    <x v="88"/>
    <x v="49"/>
    <x v="4921"/>
    <x v="33"/>
    <n v="6642514"/>
    <s v="n.a."/>
    <s v="n.a."/>
    <x v="4281"/>
    <n v="3929"/>
  </r>
  <r>
    <x v="88"/>
    <x v="50"/>
    <x v="4922"/>
    <x v="33"/>
    <n v="6654359"/>
    <s v="n.a."/>
    <s v="n.a."/>
    <x v="4282"/>
    <n v="-465"/>
  </r>
  <r>
    <x v="88"/>
    <x v="51"/>
    <x v="4923"/>
    <x v="33"/>
    <n v="6642402"/>
    <s v="n.a."/>
    <s v="n.a."/>
    <x v="4283"/>
    <n v="-1829"/>
  </r>
  <r>
    <x v="88"/>
    <x v="52"/>
    <x v="4924"/>
    <x v="33"/>
    <n v="6592133"/>
    <s v="n.a."/>
    <s v="n.a."/>
    <x v="4284"/>
    <n v="38901"/>
  </r>
  <r>
    <x v="88"/>
    <x v="53"/>
    <x v="4925"/>
    <x v="33"/>
    <n v="6256810"/>
    <s v="n.a."/>
    <s v="n.a."/>
    <x v="4285"/>
    <n v="-17925"/>
  </r>
  <r>
    <x v="88"/>
    <x v="54"/>
    <x v="4926"/>
    <x v="33"/>
    <n v="6172841"/>
    <s v="n.a."/>
    <s v="n.a."/>
    <x v="4286"/>
    <n v="-60728"/>
  </r>
  <r>
    <x v="88"/>
    <x v="55"/>
    <x v="4927"/>
    <x v="33"/>
    <n v="6071788"/>
    <s v="n.a."/>
    <s v="n.a."/>
    <x v="4287"/>
    <n v="-69073"/>
  </r>
  <r>
    <x v="88"/>
    <x v="56"/>
    <x v="4928"/>
    <x v="33"/>
    <n v="6073216"/>
    <s v="n.a."/>
    <s v="n.a."/>
    <x v="4288"/>
    <n v="20495"/>
  </r>
  <r>
    <x v="88"/>
    <x v="57"/>
    <x v="4929"/>
    <x v="33"/>
    <n v="6112945"/>
    <s v="n.a."/>
    <s v="n.a."/>
    <x v="4289"/>
    <n v="-12237"/>
  </r>
  <r>
    <x v="88"/>
    <x v="58"/>
    <x v="4930"/>
    <x v="33"/>
    <n v="6043423"/>
    <s v="n.a."/>
    <s v="n.a."/>
    <x v="4290"/>
    <n v="3225"/>
  </r>
  <r>
    <x v="88"/>
    <x v="59"/>
    <x v="4931"/>
    <x v="33"/>
    <n v="6027094"/>
    <s v="n.a."/>
    <s v="n.a."/>
    <x v="4291"/>
    <n v="12956"/>
  </r>
  <r>
    <x v="88"/>
    <x v="60"/>
    <x v="4932"/>
    <x v="33"/>
    <n v="6059294"/>
    <s v="n.a."/>
    <s v="n.a."/>
    <x v="4292"/>
    <n v="-6164"/>
  </r>
  <r>
    <x v="88"/>
    <x v="61"/>
    <x v="4933"/>
    <x v="33"/>
    <n v="6051907"/>
    <s v="n.a."/>
    <s v="n.a."/>
    <x v="4293"/>
    <n v="-30333"/>
  </r>
  <r>
    <x v="88"/>
    <x v="62"/>
    <x v="4934"/>
    <x v="33"/>
    <n v="6034387"/>
    <s v="n.a."/>
    <s v="n.a."/>
    <x v="4294"/>
    <n v="8079"/>
  </r>
  <r>
    <x v="88"/>
    <x v="63"/>
    <x v="4935"/>
    <x v="33"/>
    <n v="6056669"/>
    <s v="n.a."/>
    <s v="n.a."/>
    <x v="4295"/>
    <n v="-1098"/>
  </r>
  <r>
    <x v="88"/>
    <x v="64"/>
    <x v="4936"/>
    <x v="33"/>
    <n v="6011476"/>
    <s v="n.a."/>
    <s v="n.a."/>
    <x v="4296"/>
    <n v="78722"/>
  </r>
  <r>
    <x v="88"/>
    <x v="65"/>
    <x v="4937"/>
    <x v="33"/>
    <n v="6016124"/>
    <s v="n.a."/>
    <s v="n.a."/>
    <x v="4297"/>
    <n v="80726"/>
  </r>
  <r>
    <x v="88"/>
    <x v="66"/>
    <x v="4938"/>
    <x v="33"/>
    <n v="6021886"/>
    <s v="n.a."/>
    <s v="n.a."/>
    <x v="4298"/>
    <n v="151692"/>
  </r>
  <r>
    <x v="88"/>
    <x v="67"/>
    <x v="4939"/>
    <x v="33"/>
    <n v="6219975"/>
    <s v="n.a."/>
    <s v="n.a."/>
    <x v="4299"/>
    <n v="-7945"/>
  </r>
  <r>
    <x v="88"/>
    <x v="68"/>
    <x v="4940"/>
    <x v="33"/>
    <n v="6488593"/>
    <s v="n.a."/>
    <s v="n.a."/>
    <x v="4300"/>
    <n v="31705"/>
  </r>
  <r>
    <x v="88"/>
    <x v="69"/>
    <x v="4941"/>
    <x v="33"/>
    <n v="6321567"/>
    <s v="n.a."/>
    <s v="n.a."/>
    <x v="4301"/>
    <n v="-10308"/>
  </r>
  <r>
    <x v="89"/>
    <x v="0"/>
    <x v="4942"/>
    <x v="2023"/>
    <n v="3493699"/>
    <n v="-24768"/>
    <n v="12653"/>
    <x v="4302"/>
    <n v="14847"/>
  </r>
  <r>
    <x v="89"/>
    <x v="1"/>
    <x v="4943"/>
    <x v="2024"/>
    <n v="3515432"/>
    <n v="-16336"/>
    <n v="15953"/>
    <x v="4303"/>
    <n v="-39962"/>
  </r>
  <r>
    <x v="89"/>
    <x v="2"/>
    <x v="4944"/>
    <x v="2025"/>
    <n v="3521803"/>
    <n v="-8699"/>
    <n v="30610"/>
    <x v="4304"/>
    <n v="1742"/>
  </r>
  <r>
    <x v="89"/>
    <x v="3"/>
    <x v="4945"/>
    <x v="2026"/>
    <n v="3489367"/>
    <n v="7024"/>
    <n v="-9174"/>
    <x v="4305"/>
    <n v="7001"/>
  </r>
  <r>
    <x v="89"/>
    <x v="4"/>
    <x v="4946"/>
    <x v="2027"/>
    <n v="3503373"/>
    <n v="-8784"/>
    <n v="31043"/>
    <x v="4306"/>
    <n v="4990"/>
  </r>
  <r>
    <x v="89"/>
    <x v="5"/>
    <x v="4947"/>
    <x v="2028"/>
    <n v="3488507"/>
    <n v="15942"/>
    <n v="-23028"/>
    <x v="4307"/>
    <n v="-16300"/>
  </r>
  <r>
    <x v="89"/>
    <x v="6"/>
    <x v="4948"/>
    <x v="2029"/>
    <n v="3506018"/>
    <n v="-5443"/>
    <n v="19809"/>
    <x v="4308"/>
    <n v="-5904"/>
  </r>
  <r>
    <x v="89"/>
    <x v="7"/>
    <x v="4949"/>
    <x v="2030"/>
    <n v="3515799"/>
    <n v="40904"/>
    <n v="9699"/>
    <x v="4309"/>
    <n v="-15213"/>
  </r>
  <r>
    <x v="89"/>
    <x v="8"/>
    <x v="4950"/>
    <x v="2031"/>
    <n v="3475107"/>
    <n v="-21669"/>
    <n v="60864"/>
    <x v="4310"/>
    <n v="61555"/>
  </r>
  <r>
    <x v="89"/>
    <x v="9"/>
    <x v="4951"/>
    <x v="2032"/>
    <n v="3445310"/>
    <n v="-24198"/>
    <n v="-1869"/>
    <x v="4311"/>
    <n v="66509"/>
  </r>
  <r>
    <x v="89"/>
    <x v="10"/>
    <x v="4952"/>
    <x v="2033"/>
    <n v="3485567"/>
    <n v="-40087"/>
    <n v="-36234"/>
    <x v="4312"/>
    <n v="2288"/>
  </r>
  <r>
    <x v="89"/>
    <x v="11"/>
    <x v="4953"/>
    <x v="2034"/>
    <n v="3557218"/>
    <n v="-1064"/>
    <n v="27781"/>
    <x v="4313"/>
    <n v="-7405"/>
  </r>
  <r>
    <x v="89"/>
    <x v="12"/>
    <x v="4954"/>
    <x v="2035"/>
    <n v="3544208"/>
    <n v="15093"/>
    <n v="-56526"/>
    <x v="4314"/>
    <n v="-6283"/>
  </r>
  <r>
    <x v="89"/>
    <x v="13"/>
    <x v="4955"/>
    <x v="2036"/>
    <n v="3595804"/>
    <n v="-4762"/>
    <n v="29905"/>
    <x v="4315"/>
    <n v="11135"/>
  </r>
  <r>
    <x v="89"/>
    <x v="14"/>
    <x v="4956"/>
    <x v="2037"/>
    <n v="3569184"/>
    <n v="-29832"/>
    <n v="34379"/>
    <x v="4316"/>
    <n v="35339"/>
  </r>
  <r>
    <x v="89"/>
    <x v="15"/>
    <x v="4957"/>
    <x v="2038"/>
    <n v="3574584"/>
    <n v="-33346"/>
    <n v="49482"/>
    <x v="4317"/>
    <n v="3332"/>
  </r>
  <r>
    <x v="89"/>
    <x v="16"/>
    <x v="4958"/>
    <x v="2039"/>
    <n v="3562491"/>
    <n v="-6652"/>
    <n v="34458"/>
    <x v="4318"/>
    <n v="13678"/>
  </r>
  <r>
    <x v="89"/>
    <x v="17"/>
    <x v="4959"/>
    <x v="2040"/>
    <n v="3542838"/>
    <n v="-11284"/>
    <n v="31622"/>
    <x v="4319"/>
    <n v="-7873"/>
  </r>
  <r>
    <x v="89"/>
    <x v="18"/>
    <x v="4960"/>
    <x v="2041"/>
    <n v="3524531"/>
    <n v="39544"/>
    <n v="-54758"/>
    <x v="4320"/>
    <n v="-4242"/>
  </r>
  <r>
    <x v="89"/>
    <x v="19"/>
    <x v="4961"/>
    <x v="2042"/>
    <n v="3549916"/>
    <n v="31718"/>
    <n v="21739"/>
    <x v="4321"/>
    <n v="668"/>
  </r>
  <r>
    <x v="89"/>
    <x v="20"/>
    <x v="4962"/>
    <x v="2043"/>
    <n v="3501298"/>
    <n v="16701"/>
    <n v="-36606"/>
    <x v="4322"/>
    <n v="15975"/>
  </r>
  <r>
    <x v="89"/>
    <x v="21"/>
    <x v="4963"/>
    <x v="2044"/>
    <n v="3548834"/>
    <n v="-2785"/>
    <n v="9554"/>
    <x v="4323"/>
    <n v="345"/>
  </r>
  <r>
    <x v="89"/>
    <x v="22"/>
    <x v="4964"/>
    <x v="2045"/>
    <n v="3546470"/>
    <n v="23708"/>
    <n v="82706"/>
    <x v="4324"/>
    <n v="3992"/>
  </r>
  <r>
    <x v="89"/>
    <x v="23"/>
    <x v="4965"/>
    <x v="2046"/>
    <n v="3438094"/>
    <n v="-32327"/>
    <n v="84776"/>
    <x v="4325"/>
    <n v="11190"/>
  </r>
  <r>
    <x v="89"/>
    <x v="24"/>
    <x v="4966"/>
    <x v="2047"/>
    <n v="3405622"/>
    <n v="-20092"/>
    <n v="-21765"/>
    <x v="4326"/>
    <n v="314"/>
  </r>
  <r>
    <x v="89"/>
    <x v="25"/>
    <x v="4967"/>
    <x v="2048"/>
    <n v="3456526"/>
    <n v="15722"/>
    <n v="-55922"/>
    <x v="4327"/>
    <n v="-3293"/>
  </r>
  <r>
    <x v="89"/>
    <x v="26"/>
    <x v="4968"/>
    <x v="2049"/>
    <n v="3500393"/>
    <n v="-5348"/>
    <n v="-10919"/>
    <x v="4328"/>
    <n v="1193"/>
  </r>
  <r>
    <x v="89"/>
    <x v="27"/>
    <x v="4969"/>
    <x v="2050"/>
    <n v="3522207"/>
    <n v="-23470"/>
    <n v="-7015"/>
    <x v="4329"/>
    <n v="16219"/>
  </r>
  <r>
    <x v="89"/>
    <x v="28"/>
    <x v="4970"/>
    <x v="2051"/>
    <n v="3548853"/>
    <n v="26054"/>
    <n v="-26749"/>
    <x v="4330"/>
    <n v="-14067"/>
  </r>
  <r>
    <x v="89"/>
    <x v="29"/>
    <x v="4971"/>
    <x v="2052"/>
    <n v="3548277"/>
    <n v="26831"/>
    <n v="-33497"/>
    <x v="4331"/>
    <n v="3075"/>
  </r>
  <r>
    <x v="89"/>
    <x v="30"/>
    <x v="4972"/>
    <x v="2053"/>
    <n v="3558378"/>
    <n v="35461"/>
    <n v="13980"/>
    <x v="4332"/>
    <n v="-20925"/>
  </r>
  <r>
    <x v="89"/>
    <x v="31"/>
    <x v="4973"/>
    <x v="468"/>
    <n v="3517636"/>
    <n v="5217"/>
    <n v="71382"/>
    <x v="4333"/>
    <n v="-4668"/>
  </r>
  <r>
    <x v="89"/>
    <x v="32"/>
    <x v="4974"/>
    <x v="2054"/>
    <n v="3435728"/>
    <n v="47409"/>
    <n v="-54607"/>
    <x v="4334"/>
    <n v="7342"/>
  </r>
  <r>
    <x v="89"/>
    <x v="33"/>
    <x v="4975"/>
    <x v="33"/>
    <n v="3454251"/>
    <s v="n.a."/>
    <s v="n.a."/>
    <x v="4335"/>
    <s v="n.a."/>
  </r>
  <r>
    <x v="89"/>
    <x v="34"/>
    <x v="4976"/>
    <x v="33"/>
    <n v="3428735"/>
    <s v="n.a."/>
    <s v="n.a."/>
    <x v="4336"/>
    <s v="n.a."/>
  </r>
  <r>
    <x v="89"/>
    <x v="35"/>
    <x v="4977"/>
    <x v="33"/>
    <n v="3444806"/>
    <s v="n.a."/>
    <s v="n.a."/>
    <x v="4337"/>
    <s v="n.a."/>
  </r>
  <r>
    <x v="89"/>
    <x v="36"/>
    <x v="4978"/>
    <x v="33"/>
    <n v="3410226"/>
    <s v="n.a."/>
    <s v="n.a."/>
    <x v="4338"/>
    <s v="n.a."/>
  </r>
  <r>
    <x v="89"/>
    <x v="37"/>
    <x v="4979"/>
    <x v="33"/>
    <n v="3493691"/>
    <s v="n.a."/>
    <s v="n.a."/>
    <x v="4339"/>
    <s v="n.a."/>
  </r>
  <r>
    <x v="89"/>
    <x v="38"/>
    <x v="4980"/>
    <x v="33"/>
    <n v="3646416"/>
    <s v="n.a."/>
    <s v="n.a."/>
    <x v="4340"/>
    <s v="n.a."/>
  </r>
  <r>
    <x v="89"/>
    <x v="39"/>
    <x v="4981"/>
    <x v="33"/>
    <n v="3660973"/>
    <s v="n.a."/>
    <s v="n.a."/>
    <x v="4341"/>
    <s v="n.a."/>
  </r>
  <r>
    <x v="89"/>
    <x v="40"/>
    <x v="4982"/>
    <x v="33"/>
    <n v="3616938"/>
    <s v="n.a."/>
    <s v="n.a."/>
    <x v="4342"/>
    <s v="n.a."/>
  </r>
  <r>
    <x v="89"/>
    <x v="41"/>
    <x v="4983"/>
    <x v="33"/>
    <n v="3617693"/>
    <s v="n.a."/>
    <s v="n.a."/>
    <x v="4343"/>
    <s v="n.a."/>
  </r>
  <r>
    <x v="89"/>
    <x v="42"/>
    <x v="4984"/>
    <x v="33"/>
    <n v="3650869"/>
    <s v="n.a."/>
    <s v="n.a."/>
    <x v="4344"/>
    <s v="n.a."/>
  </r>
  <r>
    <x v="89"/>
    <x v="43"/>
    <x v="4985"/>
    <x v="33"/>
    <n v="3765617"/>
    <s v="n.a."/>
    <s v="n.a."/>
    <x v="4345"/>
    <s v="n.a."/>
  </r>
  <r>
    <x v="89"/>
    <x v="44"/>
    <x v="4986"/>
    <x v="33"/>
    <n v="3846041"/>
    <s v="n.a."/>
    <s v="n.a."/>
    <x v="4346"/>
    <s v="n.a."/>
  </r>
  <r>
    <x v="89"/>
    <x v="45"/>
    <x v="4987"/>
    <x v="33"/>
    <n v="3863278"/>
    <s v="n.a."/>
    <s v="n.a."/>
    <x v="4347"/>
    <s v="n.a."/>
  </r>
  <r>
    <x v="89"/>
    <x v="46"/>
    <x v="4988"/>
    <x v="33"/>
    <n v="3870012"/>
    <s v="n.a."/>
    <s v="n.a."/>
    <x v="4348"/>
    <s v="n.a."/>
  </r>
  <r>
    <x v="89"/>
    <x v="47"/>
    <x v="4989"/>
    <x v="33"/>
    <n v="3921510"/>
    <s v="n.a."/>
    <s v="n.a."/>
    <x v="4349"/>
    <s v="n.a."/>
  </r>
  <r>
    <x v="89"/>
    <x v="48"/>
    <x v="4990"/>
    <x v="33"/>
    <n v="3931721"/>
    <s v="n.a."/>
    <s v="n.a."/>
    <x v="4350"/>
    <s v="n.a."/>
  </r>
  <r>
    <x v="89"/>
    <x v="49"/>
    <x v="4991"/>
    <x v="33"/>
    <n v="3952518"/>
    <s v="n.a."/>
    <s v="n.a."/>
    <x v="4351"/>
    <s v="n.a."/>
  </r>
  <r>
    <x v="89"/>
    <x v="50"/>
    <x v="4992"/>
    <x v="33"/>
    <n v="3958275"/>
    <s v="n.a."/>
    <s v="n.a."/>
    <x v="4352"/>
    <s v="n.a."/>
  </r>
  <r>
    <x v="89"/>
    <x v="51"/>
    <x v="4993"/>
    <x v="33"/>
    <n v="3977691"/>
    <s v="n.a."/>
    <s v="n.a."/>
    <x v="4353"/>
    <s v="n.a."/>
  </r>
  <r>
    <x v="89"/>
    <x v="52"/>
    <x v="4994"/>
    <x v="33"/>
    <n v="3946410"/>
    <s v="n.a."/>
    <s v="n.a."/>
    <x v="4354"/>
    <s v="n.a."/>
  </r>
  <r>
    <x v="89"/>
    <x v="53"/>
    <x v="4995"/>
    <x v="33"/>
    <n v="3929864"/>
    <s v="n.a."/>
    <s v="n.a."/>
    <x v="4355"/>
    <s v="n.a."/>
  </r>
  <r>
    <x v="89"/>
    <x v="54"/>
    <x v="4996"/>
    <x v="33"/>
    <n v="3881321"/>
    <s v="n.a."/>
    <s v="n.a."/>
    <x v="4356"/>
    <s v="n.a."/>
  </r>
  <r>
    <x v="89"/>
    <x v="55"/>
    <x v="4997"/>
    <x v="33"/>
    <n v="3841479"/>
    <s v="n.a."/>
    <s v="n.a."/>
    <x v="4357"/>
    <s v="n.a."/>
  </r>
  <r>
    <x v="89"/>
    <x v="56"/>
    <x v="4998"/>
    <x v="33"/>
    <n v="3829093"/>
    <s v="n.a."/>
    <s v="n.a."/>
    <x v="4358"/>
    <s v="n.a."/>
  </r>
  <r>
    <x v="89"/>
    <x v="57"/>
    <x v="4999"/>
    <x v="33"/>
    <n v="3846444"/>
    <s v="n.a."/>
    <s v="n.a."/>
    <x v="4359"/>
    <s v="n.a."/>
  </r>
  <r>
    <x v="89"/>
    <x v="58"/>
    <x v="5000"/>
    <x v="33"/>
    <n v="3825569"/>
    <s v="n.a."/>
    <s v="n.a."/>
    <x v="4360"/>
    <s v="n.a."/>
  </r>
  <r>
    <x v="89"/>
    <x v="59"/>
    <x v="5001"/>
    <x v="33"/>
    <n v="3805373"/>
    <s v="n.a."/>
    <s v="n.a."/>
    <x v="4361"/>
    <s v="n.a."/>
  </r>
  <r>
    <x v="89"/>
    <x v="60"/>
    <x v="5002"/>
    <x v="33"/>
    <n v="3791349"/>
    <s v="n.a."/>
    <s v="n.a."/>
    <x v="4362"/>
    <s v="n.a."/>
  </r>
  <r>
    <x v="89"/>
    <x v="61"/>
    <x v="5003"/>
    <x v="33"/>
    <n v="3827385"/>
    <s v="n.a."/>
    <s v="n.a."/>
    <x v="4363"/>
    <s v="n.a."/>
  </r>
  <r>
    <x v="89"/>
    <x v="62"/>
    <x v="5004"/>
    <x v="33"/>
    <n v="3814269"/>
    <s v="n.a."/>
    <s v="n.a."/>
    <x v="4364"/>
    <s v="n.a."/>
  </r>
  <r>
    <x v="89"/>
    <x v="63"/>
    <x v="5005"/>
    <x v="33"/>
    <n v="3797649"/>
    <s v="n.a."/>
    <s v="n.a."/>
    <x v="4365"/>
    <s v="n.a."/>
  </r>
  <r>
    <x v="89"/>
    <x v="64"/>
    <x v="5006"/>
    <x v="33"/>
    <n v="3764847"/>
    <s v="n.a."/>
    <s v="n.a."/>
    <x v="4366"/>
    <s v="n.a."/>
  </r>
  <r>
    <x v="89"/>
    <x v="65"/>
    <x v="5007"/>
    <x v="33"/>
    <n v="3750224"/>
    <s v="n.a."/>
    <s v="n.a."/>
    <x v="4367"/>
    <s v="n.a."/>
  </r>
  <r>
    <x v="89"/>
    <x v="66"/>
    <x v="5008"/>
    <x v="33"/>
    <n v="3716351"/>
    <s v="n.a."/>
    <s v="n.a."/>
    <x v="4368"/>
    <s v="n.a."/>
  </r>
  <r>
    <x v="89"/>
    <x v="67"/>
    <x v="5009"/>
    <x v="33"/>
    <n v="3834635"/>
    <s v="n.a."/>
    <s v="n.a."/>
    <x v="4369"/>
    <s v="n.a."/>
  </r>
  <r>
    <x v="89"/>
    <x v="68"/>
    <x v="5010"/>
    <x v="33"/>
    <n v="3958829"/>
    <s v="n.a."/>
    <s v="n.a."/>
    <x v="4370"/>
    <s v="n.a."/>
  </r>
  <r>
    <x v="89"/>
    <x v="69"/>
    <x v="5011"/>
    <x v="33"/>
    <n v="3875058"/>
    <s v="n.a."/>
    <s v="n.a."/>
    <x v="4371"/>
    <s v="n.a."/>
  </r>
  <r>
    <x v="90"/>
    <x v="0"/>
    <x v="5012"/>
    <x v="2055"/>
    <n v="4311372"/>
    <n v="-36416"/>
    <n v="-2560"/>
    <x v="4372"/>
    <n v="6958"/>
  </r>
  <r>
    <x v="90"/>
    <x v="1"/>
    <x v="5013"/>
    <x v="2056"/>
    <n v="4317260"/>
    <n v="41475"/>
    <n v="18019"/>
    <x v="4373"/>
    <n v="18638"/>
  </r>
  <r>
    <x v="90"/>
    <x v="2"/>
    <x v="5014"/>
    <x v="2057"/>
    <n v="4302956"/>
    <n v="57223"/>
    <n v="7426"/>
    <x v="4374"/>
    <n v="23080"/>
  </r>
  <r>
    <x v="90"/>
    <x v="3"/>
    <x v="5015"/>
    <x v="2058"/>
    <n v="4220883"/>
    <n v="37557"/>
    <n v="-40001"/>
    <x v="4375"/>
    <n v="-10065"/>
  </r>
  <r>
    <x v="90"/>
    <x v="4"/>
    <x v="5016"/>
    <x v="2059"/>
    <n v="4185864"/>
    <n v="7932"/>
    <n v="18130"/>
    <x v="4376"/>
    <n v="5939"/>
  </r>
  <r>
    <x v="90"/>
    <x v="5"/>
    <x v="5017"/>
    <x v="2060"/>
    <n v="4132338"/>
    <n v="122804"/>
    <n v="-57794"/>
    <x v="4377"/>
    <n v="15841"/>
  </r>
  <r>
    <x v="90"/>
    <x v="6"/>
    <x v="5018"/>
    <x v="2061"/>
    <n v="4091906"/>
    <n v="-52871"/>
    <n v="3524"/>
    <x v="4378"/>
    <n v="-6077"/>
  </r>
  <r>
    <x v="90"/>
    <x v="7"/>
    <x v="5019"/>
    <x v="2062"/>
    <n v="4123252"/>
    <n v="87069"/>
    <n v="-12133"/>
    <x v="4379"/>
    <n v="31846"/>
  </r>
  <r>
    <x v="90"/>
    <x v="8"/>
    <x v="5020"/>
    <x v="2063"/>
    <n v="4026380"/>
    <n v="127401"/>
    <n v="54223"/>
    <x v="4380"/>
    <n v="222"/>
  </r>
  <r>
    <x v="90"/>
    <x v="9"/>
    <x v="5021"/>
    <x v="2064"/>
    <n v="3835696"/>
    <n v="19644"/>
    <n v="919"/>
    <x v="4381"/>
    <n v="-33425"/>
  </r>
  <r>
    <x v="90"/>
    <x v="10"/>
    <x v="5022"/>
    <x v="2065"/>
    <n v="3828402"/>
    <n v="4251"/>
    <n v="-63908"/>
    <x v="4382"/>
    <n v="36883"/>
  </r>
  <r>
    <x v="90"/>
    <x v="11"/>
    <x v="5023"/>
    <x v="2066"/>
    <n v="3899883"/>
    <n v="-34071"/>
    <n v="16213"/>
    <x v="4383"/>
    <n v="16131"/>
  </r>
  <r>
    <x v="90"/>
    <x v="12"/>
    <x v="5024"/>
    <x v="2067"/>
    <n v="3891899"/>
    <n v="73922"/>
    <n v="-57192"/>
    <x v="4384"/>
    <n v="13370"/>
  </r>
  <r>
    <x v="90"/>
    <x v="13"/>
    <x v="5025"/>
    <x v="2068"/>
    <n v="3920099"/>
    <n v="66553"/>
    <n v="23954"/>
    <x v="4385"/>
    <n v="1698"/>
  </r>
  <r>
    <x v="90"/>
    <x v="14"/>
    <x v="5026"/>
    <x v="2069"/>
    <n v="3804660"/>
    <n v="49550"/>
    <n v="40431"/>
    <x v="4386"/>
    <n v="37181"/>
  </r>
  <r>
    <x v="90"/>
    <x v="15"/>
    <x v="5027"/>
    <x v="2070"/>
    <n v="3688642"/>
    <n v="91638"/>
    <n v="43061"/>
    <x v="4387"/>
    <n v="8104"/>
  </r>
  <r>
    <x v="90"/>
    <x v="16"/>
    <x v="5028"/>
    <x v="2071"/>
    <n v="3583214"/>
    <n v="7234"/>
    <n v="46302"/>
    <x v="4388"/>
    <n v="70571"/>
  </r>
  <r>
    <x v="90"/>
    <x v="17"/>
    <x v="5029"/>
    <x v="2072"/>
    <n v="3518585"/>
    <n v="64197"/>
    <n v="19777"/>
    <x v="4389"/>
    <n v="-1576"/>
  </r>
  <r>
    <x v="90"/>
    <x v="18"/>
    <x v="5030"/>
    <x v="2073"/>
    <n v="3432903"/>
    <n v="45805"/>
    <n v="-57449"/>
    <x v="4390"/>
    <n v="-8173"/>
  </r>
  <r>
    <x v="90"/>
    <x v="19"/>
    <x v="5031"/>
    <x v="2074"/>
    <n v="3466780"/>
    <n v="16695"/>
    <n v="17997"/>
    <x v="4391"/>
    <n v="952"/>
  </r>
  <r>
    <x v="90"/>
    <x v="20"/>
    <x v="5032"/>
    <x v="2075"/>
    <n v="3408419"/>
    <n v="75336"/>
    <n v="-25384"/>
    <x v="4392"/>
    <n v="18319"/>
  </r>
  <r>
    <x v="90"/>
    <x v="21"/>
    <x v="5033"/>
    <x v="2076"/>
    <n v="3349692"/>
    <n v="55536"/>
    <n v="-4580"/>
    <x v="4393"/>
    <n v="-28144"/>
  </r>
  <r>
    <x v="90"/>
    <x v="22"/>
    <x v="5034"/>
    <x v="2077"/>
    <n v="3310478"/>
    <n v="-9418"/>
    <n v="56744"/>
    <x v="4394"/>
    <n v="14080"/>
  </r>
  <r>
    <x v="90"/>
    <x v="23"/>
    <x v="5035"/>
    <x v="2078"/>
    <n v="3213238"/>
    <n v="137337"/>
    <n v="76116"/>
    <x v="4395"/>
    <n v="18404"/>
  </r>
  <r>
    <x v="90"/>
    <x v="24"/>
    <x v="5036"/>
    <x v="2079"/>
    <n v="3035726"/>
    <n v="39768"/>
    <n v="-29508"/>
    <x v="4396"/>
    <n v="-25814"/>
  </r>
  <r>
    <x v="90"/>
    <x v="25"/>
    <x v="5037"/>
    <x v="2080"/>
    <n v="2991695"/>
    <n v="-7319"/>
    <n v="-87098"/>
    <x v="4397"/>
    <n v="27949"/>
  </r>
  <r>
    <x v="90"/>
    <x v="26"/>
    <x v="5038"/>
    <x v="2081"/>
    <n v="3083901"/>
    <n v="8544"/>
    <n v="-16837"/>
    <x v="4398"/>
    <n v="37843"/>
  </r>
  <r>
    <x v="90"/>
    <x v="27"/>
    <x v="5039"/>
    <x v="2082"/>
    <n v="3075691"/>
    <n v="18237"/>
    <n v="-10922"/>
    <x v="4399"/>
    <n v="18735"/>
  </r>
  <r>
    <x v="90"/>
    <x v="28"/>
    <x v="5040"/>
    <x v="2083"/>
    <n v="3052114"/>
    <n v="52164"/>
    <n v="-19283"/>
    <x v="4400"/>
    <n v="76286"/>
  </r>
  <r>
    <x v="90"/>
    <x v="29"/>
    <x v="5041"/>
    <x v="2084"/>
    <n v="3010247"/>
    <n v="35418"/>
    <n v="-34569"/>
    <x v="4401"/>
    <n v="-20787"/>
  </r>
  <r>
    <x v="90"/>
    <x v="30"/>
    <x v="5042"/>
    <x v="2085"/>
    <n v="3029864"/>
    <n v="80442"/>
    <n v="5344"/>
    <x v="4402"/>
    <n v="-23955"/>
  </r>
  <r>
    <x v="90"/>
    <x v="31"/>
    <x v="5043"/>
    <x v="2086"/>
    <n v="2988385"/>
    <n v="89656"/>
    <n v="52075"/>
    <x v="4403"/>
    <n v="1504"/>
  </r>
  <r>
    <x v="90"/>
    <x v="32"/>
    <x v="5044"/>
    <x v="2087"/>
    <n v="2853387"/>
    <n v="3680"/>
    <n v="-53515"/>
    <x v="4404"/>
    <n v="18202"/>
  </r>
  <r>
    <x v="90"/>
    <x v="33"/>
    <x v="5045"/>
    <x v="33"/>
    <n v="2910591"/>
    <s v="n.a."/>
    <s v="n.a."/>
    <x v="4405"/>
    <s v="n.a."/>
  </r>
  <r>
    <x v="90"/>
    <x v="34"/>
    <x v="5046"/>
    <x v="33"/>
    <n v="2815961"/>
    <s v="n.a."/>
    <s v="n.a."/>
    <x v="4406"/>
    <s v="n.a."/>
  </r>
  <r>
    <x v="90"/>
    <x v="35"/>
    <x v="5047"/>
    <x v="33"/>
    <n v="2833932"/>
    <s v="n.a."/>
    <s v="n.a."/>
    <x v="4407"/>
    <s v="n.a."/>
  </r>
  <r>
    <x v="90"/>
    <x v="36"/>
    <x v="5048"/>
    <x v="33"/>
    <n v="2821689"/>
    <s v="n.a."/>
    <s v="n.a."/>
    <x v="4408"/>
    <s v="n.a."/>
  </r>
  <r>
    <x v="90"/>
    <x v="37"/>
    <x v="5049"/>
    <x v="33"/>
    <n v="2838207"/>
    <s v="n.a."/>
    <s v="n.a."/>
    <x v="4409"/>
    <s v="n.a."/>
  </r>
  <r>
    <x v="90"/>
    <x v="38"/>
    <x v="5050"/>
    <x v="33"/>
    <n v="2917205"/>
    <s v="n.a."/>
    <s v="n.a."/>
    <x v="4410"/>
    <s v="n.a."/>
  </r>
  <r>
    <x v="90"/>
    <x v="39"/>
    <x v="5051"/>
    <x v="33"/>
    <n v="2940499"/>
    <s v="n.a."/>
    <s v="n.a."/>
    <x v="4411"/>
    <s v="n.a."/>
  </r>
  <r>
    <x v="90"/>
    <x v="40"/>
    <x v="5052"/>
    <x v="33"/>
    <n v="2904568"/>
    <s v="n.a."/>
    <s v="n.a."/>
    <x v="4412"/>
    <s v="n.a."/>
  </r>
  <r>
    <x v="90"/>
    <x v="41"/>
    <x v="5053"/>
    <x v="33"/>
    <n v="2880226"/>
    <s v="n.a."/>
    <s v="n.a."/>
    <x v="4413"/>
    <s v="n.a."/>
  </r>
  <r>
    <x v="90"/>
    <x v="42"/>
    <x v="5054"/>
    <x v="33"/>
    <n v="2804689"/>
    <s v="n.a."/>
    <s v="n.a."/>
    <x v="4414"/>
    <s v="n.a."/>
  </r>
  <r>
    <x v="90"/>
    <x v="43"/>
    <x v="5055"/>
    <x v="33"/>
    <n v="2830200"/>
    <s v="n.a."/>
    <s v="n.a."/>
    <x v="4415"/>
    <s v="n.a."/>
  </r>
  <r>
    <x v="90"/>
    <x v="44"/>
    <x v="5056"/>
    <x v="33"/>
    <n v="2832589"/>
    <s v="n.a."/>
    <s v="n.a."/>
    <x v="4416"/>
    <s v="n.a."/>
  </r>
  <r>
    <x v="90"/>
    <x v="45"/>
    <x v="5057"/>
    <x v="33"/>
    <n v="2795528"/>
    <s v="n.a."/>
    <s v="n.a."/>
    <x v="4417"/>
    <s v="n.a."/>
  </r>
  <r>
    <x v="90"/>
    <x v="46"/>
    <x v="5058"/>
    <x v="33"/>
    <n v="2882948"/>
    <s v="n.a."/>
    <s v="n.a."/>
    <x v="4418"/>
    <s v="n.a."/>
  </r>
  <r>
    <x v="90"/>
    <x v="47"/>
    <x v="5059"/>
    <x v="33"/>
    <n v="2790929"/>
    <s v="n.a."/>
    <s v="n.a."/>
    <x v="4419"/>
    <s v="n.a."/>
  </r>
  <r>
    <x v="90"/>
    <x v="48"/>
    <x v="5060"/>
    <x v="33"/>
    <n v="2766335"/>
    <s v="n.a."/>
    <s v="n.a."/>
    <x v="4420"/>
    <s v="n.a."/>
  </r>
  <r>
    <x v="90"/>
    <x v="49"/>
    <x v="5061"/>
    <x v="33"/>
    <n v="2689996"/>
    <s v="n.a."/>
    <s v="n.a."/>
    <x v="4421"/>
    <s v="n.a."/>
  </r>
  <r>
    <x v="90"/>
    <x v="50"/>
    <x v="5062"/>
    <x v="33"/>
    <n v="2696084"/>
    <s v="n.a."/>
    <s v="n.a."/>
    <x v="4422"/>
    <s v="n.a."/>
  </r>
  <r>
    <x v="90"/>
    <x v="51"/>
    <x v="5063"/>
    <x v="33"/>
    <n v="2664711"/>
    <s v="n.a."/>
    <s v="n.a."/>
    <x v="4423"/>
    <s v="n.a."/>
  </r>
  <r>
    <x v="90"/>
    <x v="52"/>
    <x v="5064"/>
    <x v="33"/>
    <n v="2645723"/>
    <s v="n.a."/>
    <s v="n.a."/>
    <x v="4424"/>
    <s v="n.a."/>
  </r>
  <r>
    <x v="90"/>
    <x v="53"/>
    <x v="5065"/>
    <x v="33"/>
    <n v="2326946"/>
    <s v="n.a."/>
    <s v="n.a."/>
    <x v="4425"/>
    <s v="n.a."/>
  </r>
  <r>
    <x v="90"/>
    <x v="54"/>
    <x v="5066"/>
    <x v="33"/>
    <n v="2291520"/>
    <s v="n.a."/>
    <s v="n.a."/>
    <x v="4426"/>
    <s v="n.a."/>
  </r>
  <r>
    <x v="90"/>
    <x v="55"/>
    <x v="5067"/>
    <x v="33"/>
    <n v="2230309"/>
    <s v="n.a."/>
    <s v="n.a."/>
    <x v="4427"/>
    <s v="n.a."/>
  </r>
  <r>
    <x v="90"/>
    <x v="56"/>
    <x v="5068"/>
    <x v="33"/>
    <n v="2244123"/>
    <s v="n.a."/>
    <s v="n.a."/>
    <x v="4428"/>
    <s v="n.a."/>
  </r>
  <r>
    <x v="90"/>
    <x v="57"/>
    <x v="5069"/>
    <x v="33"/>
    <n v="2266501"/>
    <s v="n.a."/>
    <s v="n.a."/>
    <x v="4429"/>
    <s v="n.a."/>
  </r>
  <r>
    <x v="90"/>
    <x v="58"/>
    <x v="5070"/>
    <x v="33"/>
    <n v="2217854"/>
    <s v="n.a."/>
    <s v="n.a."/>
    <x v="4430"/>
    <s v="n.a."/>
  </r>
  <r>
    <x v="90"/>
    <x v="59"/>
    <x v="5071"/>
    <x v="33"/>
    <n v="2221721"/>
    <s v="n.a."/>
    <s v="n.a."/>
    <x v="4431"/>
    <s v="n.a."/>
  </r>
  <r>
    <x v="90"/>
    <x v="60"/>
    <x v="5072"/>
    <x v="33"/>
    <n v="2267945"/>
    <s v="n.a."/>
    <s v="n.a."/>
    <x v="4432"/>
    <s v="n.a."/>
  </r>
  <r>
    <x v="90"/>
    <x v="61"/>
    <x v="5073"/>
    <x v="33"/>
    <n v="2224522"/>
    <s v="n.a."/>
    <s v="n.a."/>
    <x v="4433"/>
    <s v="n.a."/>
  </r>
  <r>
    <x v="90"/>
    <x v="62"/>
    <x v="5074"/>
    <x v="33"/>
    <n v="2220118"/>
    <s v="n.a."/>
    <s v="n.a."/>
    <x v="4434"/>
    <s v="n.a."/>
  </r>
  <r>
    <x v="90"/>
    <x v="63"/>
    <x v="5075"/>
    <x v="33"/>
    <n v="2259020"/>
    <s v="n.a."/>
    <s v="n.a."/>
    <x v="4435"/>
    <s v="n.a."/>
  </r>
  <r>
    <x v="90"/>
    <x v="64"/>
    <x v="5076"/>
    <x v="33"/>
    <n v="2246629"/>
    <s v="n.a."/>
    <s v="n.a."/>
    <x v="4436"/>
    <s v="n.a."/>
  </r>
  <r>
    <x v="90"/>
    <x v="65"/>
    <x v="5077"/>
    <x v="33"/>
    <n v="2265900"/>
    <s v="n.a."/>
    <s v="n.a."/>
    <x v="4437"/>
    <s v="n.a."/>
  </r>
  <r>
    <x v="90"/>
    <x v="66"/>
    <x v="5078"/>
    <x v="33"/>
    <n v="2305535"/>
    <s v="n.a."/>
    <s v="n.a."/>
    <x v="4438"/>
    <s v="n.a."/>
  </r>
  <r>
    <x v="90"/>
    <x v="67"/>
    <x v="5079"/>
    <x v="33"/>
    <n v="2385340"/>
    <s v="n.a."/>
    <s v="n.a."/>
    <x v="4439"/>
    <s v="n.a."/>
  </r>
  <r>
    <x v="90"/>
    <x v="68"/>
    <x v="5080"/>
    <x v="33"/>
    <n v="2529764"/>
    <s v="n.a."/>
    <s v="n.a."/>
    <x v="4440"/>
    <s v="n.a."/>
  </r>
  <r>
    <x v="90"/>
    <x v="69"/>
    <x v="5081"/>
    <x v="33"/>
    <n v="2446509"/>
    <s v="n.a."/>
    <s v="n.a."/>
    <x v="4441"/>
    <s v="n.a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B3312-03AE-4FAB-9C2E-9A7E05F4056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5" rowHeaderCaption=" " colHeaderCaption="">
  <location ref="A3:B13" firstHeaderRow="1" firstDataRow="1" firstDataCol="1" rowPageCount="1" colPageCount="1"/>
  <pivotFields count="13">
    <pivotField axis="axisRow" multipleItemSelectionAllowed="1" showAll="0" sortType="descending" defaultSubtotal="0">
      <items count="91">
        <item h="1" sd="0" x="84"/>
        <item h="1" sd="0" x="46"/>
        <item h="1" sd="0" x="32"/>
        <item h="1" sd="0" x="49"/>
        <item h="1" sd="0" x="81"/>
        <item h="1" sd="0" x="0"/>
        <item h="1" sd="0" x="50"/>
        <item h="1" x="45"/>
        <item sd="0" x="1"/>
        <item h="1" x="51"/>
        <item h="1" x="33"/>
        <item h="1" sd="0" x="52"/>
        <item sd="0" x="31"/>
        <item x="53"/>
        <item h="1" x="34"/>
        <item x="57"/>
        <item h="1" x="35"/>
        <item h="1" x="36"/>
        <item h="1" x="54"/>
        <item h="1" x="2"/>
        <item h="1" x="3"/>
        <item h="1" x="37"/>
        <item h="1" x="79"/>
        <item h="1" x="4"/>
        <item sd="0" x="5"/>
        <item h="1" x="6"/>
        <item h="1" x="88"/>
        <item h="1" x="7"/>
        <item h="1" x="38"/>
        <item h="1" x="19"/>
        <item h="1" sd="0" x="58"/>
        <item h="1" x="22"/>
        <item h="1" sd="0" x="59"/>
        <item h="1" x="60"/>
        <item h="1" x="85"/>
        <item sd="0" x="8"/>
        <item h="1" x="61"/>
        <item h="1" x="9"/>
        <item h="1" x="47"/>
        <item x="62"/>
        <item h="1" x="20"/>
        <item h="1" x="27"/>
        <item h="1" x="63"/>
        <item h="1" x="64"/>
        <item h="1" x="65"/>
        <item h="1" x="75"/>
        <item sd="0" x="10"/>
        <item h="1" x="66"/>
        <item h="1" x="76"/>
        <item h="1" sd="0" x="29"/>
        <item h="1" sd="0" x="30"/>
        <item h="1" x="39"/>
        <item h="1" x="77"/>
        <item h="1" x="11"/>
        <item h="1" x="82"/>
        <item h="1" x="12"/>
        <item n=" Foreign Non-Official" h="1" x="90"/>
        <item n=" Foreign Official" h="1" x="89"/>
        <item h="1" x="40"/>
        <item h="1" x="41"/>
        <item h="1" x="67"/>
        <item h="1" x="23"/>
        <item h="1" x="13"/>
        <item h="1" x="24"/>
        <item h="1" x="25"/>
        <item h="1" x="55"/>
        <item h="1" x="68"/>
        <item h="1" x="21"/>
        <item h="1" sd="0" x="69"/>
        <item h="1" x="78"/>
        <item h="1" x="14"/>
        <item h="1" x="15"/>
        <item h="1" sd="0" x="16"/>
        <item h="1" x="70"/>
        <item sd="0" x="71"/>
        <item h="1" x="72"/>
        <item h="1" x="80"/>
        <item h="1" sd="0" x="74"/>
        <item h="1" sd="0" x="56"/>
        <item h="1" sd="0" x="28"/>
        <item h="1" x="87"/>
        <item h="1" sd="0" x="44"/>
        <item h="1" x="83"/>
        <item h="1" x="86"/>
        <item h="1" x="48"/>
        <item h="1" x="17"/>
        <item h="1" x="26"/>
        <item h="1" x="73"/>
        <item sd="0" x="18"/>
        <item h="1" x="42"/>
        <item h="1"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numFmtId="164" multipleItemSelectionAllowed="1" showAll="0" defaultSubtotal="0">
      <items count="70"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</items>
    </pivotField>
    <pivotField dataField="1" showAll="0" defaultSubtotal="0">
      <items count="5082">
        <item x="4195"/>
        <item x="4194"/>
        <item x="4196"/>
        <item x="1253"/>
        <item x="1262"/>
        <item x="1246"/>
        <item x="1247"/>
        <item x="4192"/>
        <item x="1263"/>
        <item x="4193"/>
        <item x="1251"/>
        <item x="1252"/>
        <item x="4191"/>
        <item x="1249"/>
        <item x="1248"/>
        <item x="4190"/>
        <item x="1250"/>
        <item x="4205"/>
        <item x="4204"/>
        <item x="1266"/>
        <item x="4200"/>
        <item x="2428"/>
        <item x="4189"/>
        <item x="1261"/>
        <item x="1265"/>
        <item x="1264"/>
        <item x="2429"/>
        <item x="2430"/>
        <item x="2427"/>
        <item x="4201"/>
        <item x="4202"/>
        <item x="2432"/>
        <item x="4188"/>
        <item x="4203"/>
        <item x="4199"/>
        <item x="2434"/>
        <item x="2435"/>
        <item x="2436"/>
        <item x="2431"/>
        <item x="2439"/>
        <item x="2437"/>
        <item x="2426"/>
        <item x="2438"/>
        <item x="2425"/>
        <item x="2433"/>
        <item x="4198"/>
        <item x="4197"/>
        <item x="2440"/>
        <item x="2424"/>
        <item x="2441"/>
        <item x="2444"/>
        <item x="2445"/>
        <item x="194"/>
        <item x="2442"/>
        <item x="195"/>
        <item x="2026"/>
        <item x="2443"/>
        <item x="184"/>
        <item x="183"/>
        <item x="196"/>
        <item x="197"/>
        <item x="2031"/>
        <item x="2027"/>
        <item x="198"/>
        <item x="2030"/>
        <item x="182"/>
        <item x="2028"/>
        <item x="181"/>
        <item x="2025"/>
        <item x="2024"/>
        <item x="2032"/>
        <item x="185"/>
        <item x="2029"/>
        <item x="187"/>
        <item x="2023"/>
        <item x="2033"/>
        <item x="186"/>
        <item x="193"/>
        <item x="189"/>
        <item x="192"/>
        <item x="1254"/>
        <item x="190"/>
        <item x="188"/>
        <item x="191"/>
        <item x="202"/>
        <item x="1259"/>
        <item x="1258"/>
        <item x="1257"/>
        <item x="1260"/>
        <item x="2446"/>
        <item x="201"/>
        <item x="1255"/>
        <item x="1256"/>
        <item x="2034"/>
        <item x="2022"/>
        <item x="4185"/>
        <item x="2039"/>
        <item x="4186"/>
        <item x="180"/>
        <item x="2035"/>
        <item x="2036"/>
        <item x="2037"/>
        <item x="2038"/>
        <item x="2447"/>
        <item x="2021"/>
        <item x="2423"/>
        <item x="200"/>
        <item x="199"/>
        <item x="179"/>
        <item x="178"/>
        <item x="4187"/>
        <item x="2018"/>
        <item x="177"/>
        <item x="2448"/>
        <item x="176"/>
        <item x="2422"/>
        <item x="2040"/>
        <item x="173"/>
        <item x="172"/>
        <item x="174"/>
        <item x="171"/>
        <item x="175"/>
        <item x="170"/>
        <item x="2041"/>
        <item x="169"/>
        <item x="4184"/>
        <item x="2043"/>
        <item x="168"/>
        <item x="4183"/>
        <item x="4179"/>
        <item x="2042"/>
        <item x="4181"/>
        <item x="2044"/>
        <item x="4182"/>
        <item x="166"/>
        <item x="167"/>
        <item x="4180"/>
        <item x="161"/>
        <item x="164"/>
        <item x="162"/>
        <item x="165"/>
        <item x="163"/>
        <item x="160"/>
        <item x="2421"/>
        <item x="4176"/>
        <item x="4175"/>
        <item x="4178"/>
        <item x="4174"/>
        <item x="4177"/>
        <item x="2020"/>
        <item x="4169"/>
        <item x="2019"/>
        <item x="4168"/>
        <item x="4167"/>
        <item x="4166"/>
        <item x="2016"/>
        <item x="4173"/>
        <item x="158"/>
        <item x="4165"/>
        <item x="4172"/>
        <item x="2420"/>
        <item x="4171"/>
        <item x="159"/>
        <item x="2419"/>
        <item x="4170"/>
        <item x="2418"/>
        <item x="2017"/>
        <item x="156"/>
        <item x="1267"/>
        <item x="157"/>
        <item x="2625"/>
        <item x="2389"/>
        <item x="2391"/>
        <item x="2627"/>
        <item x="2416"/>
        <item x="2417"/>
        <item x="2624"/>
        <item x="2626"/>
        <item x="2415"/>
        <item x="2623"/>
        <item x="2390"/>
        <item x="2637"/>
        <item x="2636"/>
        <item x="2634"/>
        <item x="2394"/>
        <item x="2633"/>
        <item x="2393"/>
        <item x="2635"/>
        <item x="2622"/>
        <item x="2388"/>
        <item x="2396"/>
        <item x="2617"/>
        <item x="2620"/>
        <item x="155"/>
        <item x="154"/>
        <item x="2392"/>
        <item x="2397"/>
        <item x="2638"/>
        <item x="2395"/>
        <item x="2409"/>
        <item x="2407"/>
        <item x="2406"/>
        <item x="2410"/>
        <item x="2619"/>
        <item x="2412"/>
        <item x="146"/>
        <item x="2628"/>
        <item x="2618"/>
        <item x="2398"/>
        <item x="147"/>
        <item x="2413"/>
        <item x="2629"/>
        <item x="2414"/>
        <item x="2621"/>
        <item x="2632"/>
        <item x="2411"/>
        <item x="2408"/>
        <item x="2616"/>
        <item x="2631"/>
        <item x="2630"/>
        <item x="2405"/>
        <item x="144"/>
        <item x="153"/>
        <item x="2399"/>
        <item x="2401"/>
        <item x="2404"/>
        <item x="2403"/>
        <item x="149"/>
        <item x="140"/>
        <item x="148"/>
        <item x="2402"/>
        <item x="2006"/>
        <item x="2015"/>
        <item x="2400"/>
        <item x="150"/>
        <item x="152"/>
        <item x="145"/>
        <item x="141"/>
        <item x="139"/>
        <item x="142"/>
        <item x="2603"/>
        <item x="2613"/>
        <item x="143"/>
        <item x="151"/>
        <item x="2610"/>
        <item x="2611"/>
        <item x="2612"/>
        <item x="2005"/>
        <item x="2007"/>
        <item x="2607"/>
        <item x="2614"/>
        <item x="2615"/>
        <item x="2014"/>
        <item x="2597"/>
        <item x="2604"/>
        <item x="2606"/>
        <item x="2008"/>
        <item x="2599"/>
        <item x="2609"/>
        <item x="2605"/>
        <item x="2596"/>
        <item x="2608"/>
        <item x="2598"/>
        <item x="2600"/>
        <item x="2601"/>
        <item x="2602"/>
        <item x="1993"/>
        <item x="1991"/>
        <item x="2009"/>
        <item x="2595"/>
        <item x="2002"/>
        <item x="1992"/>
        <item x="1987"/>
        <item x="2013"/>
        <item x="1994"/>
        <item x="1986"/>
        <item x="1989"/>
        <item x="1990"/>
        <item x="2557"/>
        <item x="2559"/>
        <item x="1988"/>
        <item x="1977"/>
        <item x="2012"/>
        <item x="2004"/>
        <item x="2564"/>
        <item x="2011"/>
        <item x="2010"/>
        <item x="2558"/>
        <item x="1995"/>
        <item x="1978"/>
        <item x="2563"/>
        <item x="2565"/>
        <item x="2003"/>
        <item x="2566"/>
        <item x="1968"/>
        <item x="2001"/>
        <item x="1967"/>
        <item x="1966"/>
        <item x="2589"/>
        <item x="2594"/>
        <item x="1980"/>
        <item x="2560"/>
        <item x="1975"/>
        <item x="1972"/>
        <item x="1965"/>
        <item x="1979"/>
        <item x="1970"/>
        <item x="1969"/>
        <item x="2591"/>
        <item x="2593"/>
        <item x="1151"/>
        <item x="1348"/>
        <item x="1974"/>
        <item x="2592"/>
        <item x="1976"/>
        <item x="1971"/>
        <item x="2590"/>
        <item x="2562"/>
        <item x="1964"/>
        <item x="1981"/>
        <item x="2575"/>
        <item x="1996"/>
        <item x="2000"/>
        <item x="2576"/>
        <item x="1150"/>
        <item x="2556"/>
        <item x="1963"/>
        <item x="2555"/>
        <item x="1982"/>
        <item x="1149"/>
        <item x="2588"/>
        <item x="2574"/>
        <item x="1148"/>
        <item x="2578"/>
        <item x="1983"/>
        <item x="1147"/>
        <item x="2554"/>
        <item x="2587"/>
        <item x="1146"/>
        <item x="1973"/>
        <item x="1962"/>
        <item x="2577"/>
        <item x="2579"/>
        <item x="2573"/>
        <item x="2580"/>
        <item x="2561"/>
        <item x="2568"/>
        <item x="2583"/>
        <item x="1156"/>
        <item x="1349"/>
        <item x="1155"/>
        <item x="1350"/>
        <item x="1154"/>
        <item x="2586"/>
        <item x="1168"/>
        <item x="1960"/>
        <item x="2553"/>
        <item x="1145"/>
        <item x="2585"/>
        <item x="1143"/>
        <item x="2572"/>
        <item x="2569"/>
        <item x="1142"/>
        <item x="1997"/>
        <item x="1961"/>
        <item x="2584"/>
        <item x="1999"/>
        <item x="1958"/>
        <item x="1166"/>
        <item x="1984"/>
        <item x="1144"/>
        <item x="1153"/>
        <item x="839"/>
        <item x="2567"/>
        <item x="1152"/>
        <item x="1985"/>
        <item x="1167"/>
        <item x="1998"/>
        <item x="838"/>
        <item x="2571"/>
        <item x="1164"/>
        <item x="1959"/>
        <item x="2551"/>
        <item x="2552"/>
        <item x="1957"/>
        <item x="834"/>
        <item x="1138"/>
        <item x="1141"/>
        <item x="1274"/>
        <item x="1273"/>
        <item x="1272"/>
        <item x="1271"/>
        <item x="2570"/>
        <item x="837"/>
        <item x="1165"/>
        <item x="1270"/>
        <item x="830"/>
        <item x="2582"/>
        <item x="1157"/>
        <item x="1140"/>
        <item x="1172"/>
        <item x="1269"/>
        <item x="831"/>
        <item x="1956"/>
        <item x="1132"/>
        <item x="1135"/>
        <item x="1268"/>
        <item x="1131"/>
        <item x="1171"/>
        <item x="836"/>
        <item x="832"/>
        <item x="835"/>
        <item x="1136"/>
        <item x="1158"/>
        <item x="2581"/>
        <item x="1137"/>
        <item x="1139"/>
        <item x="1128"/>
        <item x="833"/>
        <item x="1955"/>
        <item x="1953"/>
        <item x="1954"/>
        <item x="1134"/>
        <item x="1351"/>
        <item x="1952"/>
        <item x="1169"/>
        <item x="1163"/>
        <item x="1345"/>
        <item x="2550"/>
        <item x="1161"/>
        <item x="1174"/>
        <item x="1130"/>
        <item x="1951"/>
        <item x="1133"/>
        <item x="1129"/>
        <item x="1159"/>
        <item x="1277"/>
        <item x="1160"/>
        <item x="2680"/>
        <item x="1347"/>
        <item x="1162"/>
        <item x="2235"/>
        <item x="2693"/>
        <item x="2549"/>
        <item x="1173"/>
        <item x="2683"/>
        <item x="2688"/>
        <item x="2694"/>
        <item x="2695"/>
        <item x="1346"/>
        <item x="2682"/>
        <item x="1170"/>
        <item x="2684"/>
        <item x="2679"/>
        <item x="2697"/>
        <item x="2548"/>
        <item x="2681"/>
        <item x="2547"/>
        <item x="1359"/>
        <item x="2687"/>
        <item x="2678"/>
        <item x="2677"/>
        <item x="2674"/>
        <item x="2675"/>
        <item x="2526"/>
        <item x="2234"/>
        <item x="2676"/>
        <item x="2524"/>
        <item x="2696"/>
        <item x="2686"/>
        <item x="2685"/>
        <item x="2673"/>
        <item x="1949"/>
        <item x="1352"/>
        <item x="2230"/>
        <item x="2692"/>
        <item x="2546"/>
        <item x="1950"/>
        <item x="4223"/>
        <item x="2523"/>
        <item x="2535"/>
        <item x="1175"/>
        <item x="2527"/>
        <item x="2691"/>
        <item x="1343"/>
        <item x="2536"/>
        <item x="2519"/>
        <item x="2525"/>
        <item x="4222"/>
        <item x="4224"/>
        <item x="2521"/>
        <item x="2534"/>
        <item x="4221"/>
        <item x="4220"/>
        <item x="2545"/>
        <item x="4218"/>
        <item x="2690"/>
        <item x="2237"/>
        <item x="4219"/>
        <item x="2689"/>
        <item x="2672"/>
        <item x="2544"/>
        <item x="2698"/>
        <item x="2543"/>
        <item x="2538"/>
        <item x="2520"/>
        <item x="2542"/>
        <item x="1690"/>
        <item x="2522"/>
        <item x="2541"/>
        <item x="1693"/>
        <item x="2238"/>
        <item x="1126"/>
        <item x="2537"/>
        <item x="1689"/>
        <item x="2232"/>
        <item x="1127"/>
        <item x="4214"/>
        <item x="2531"/>
        <item x="1948"/>
        <item x="1125"/>
        <item x="1694"/>
        <item x="1692"/>
        <item x="1124"/>
        <item x="1691"/>
        <item x="2670"/>
        <item x="4216"/>
        <item x="1697"/>
        <item x="1688"/>
        <item x="2239"/>
        <item x="1695"/>
        <item x="2528"/>
        <item x="2671"/>
        <item x="4213"/>
        <item x="1696"/>
        <item x="2244"/>
        <item x="2231"/>
        <item x="4215"/>
        <item x="2245"/>
        <item x="2540"/>
        <item x="2539"/>
        <item x="2699"/>
        <item x="1698"/>
        <item x="2236"/>
        <item x="2233"/>
        <item x="1123"/>
        <item x="2533"/>
        <item x="2529"/>
        <item x="4217"/>
        <item x="2229"/>
        <item x="2240"/>
        <item x="1354"/>
        <item x="1355"/>
        <item x="4212"/>
        <item x="2228"/>
        <item x="2530"/>
        <item x="1699"/>
        <item x="4225"/>
        <item x="2701"/>
        <item x="4211"/>
        <item x="1344"/>
        <item x="2241"/>
        <item x="1929"/>
        <item x="2669"/>
        <item x="1122"/>
        <item x="2243"/>
        <item x="1687"/>
        <item x="2532"/>
        <item x="1928"/>
        <item x="2667"/>
        <item x="2700"/>
        <item x="1353"/>
        <item x="4209"/>
        <item x="4226"/>
        <item x="2227"/>
        <item x="1927"/>
        <item x="1360"/>
        <item x="44"/>
        <item x="1930"/>
        <item x="2668"/>
        <item x="1700"/>
        <item x="50"/>
        <item x="4210"/>
        <item x="1701"/>
        <item x="52"/>
        <item x="1931"/>
        <item x="2242"/>
        <item x="1926"/>
        <item x="4206"/>
        <item x="55"/>
        <item x="4227"/>
        <item x="53"/>
        <item x="2663"/>
        <item x="4242"/>
        <item x="2247"/>
        <item x="2225"/>
        <item x="40"/>
        <item x="1925"/>
        <item x="4228"/>
        <item x="4241"/>
        <item x="4240"/>
        <item x="42"/>
        <item x="4208"/>
        <item x="4237"/>
        <item x="2246"/>
        <item x="1356"/>
        <item x="1947"/>
        <item x="1278"/>
        <item x="54"/>
        <item x="49"/>
        <item x="43"/>
        <item x="4243"/>
        <item x="2660"/>
        <item x="46"/>
        <item x="47"/>
        <item x="4207"/>
        <item x="1275"/>
        <item x="1932"/>
        <item x="4236"/>
        <item x="4244"/>
        <item x="4229"/>
        <item x="1921"/>
        <item x="4246"/>
        <item x="4245"/>
        <item x="1686"/>
        <item x="4238"/>
        <item x="2661"/>
        <item x="1282"/>
        <item x="2656"/>
        <item x="4230"/>
        <item x="2664"/>
        <item x="4235"/>
        <item x="1933"/>
        <item x="1296"/>
        <item x="1685"/>
        <item x="4232"/>
        <item x="2666"/>
        <item x="2662"/>
        <item x="4231"/>
        <item x="41"/>
        <item x="2665"/>
        <item x="4234"/>
        <item x="4239"/>
        <item x="4233"/>
        <item x="1276"/>
        <item x="1279"/>
        <item x="2655"/>
        <item x="1934"/>
        <item x="1702"/>
        <item x="1935"/>
        <item x="1283"/>
        <item x="1923"/>
        <item x="2226"/>
        <item x="4255"/>
        <item x="4254"/>
        <item x="1284"/>
        <item x="51"/>
        <item x="1924"/>
        <item x="1946"/>
        <item x="1936"/>
        <item x="1280"/>
        <item x="1281"/>
        <item x="2659"/>
        <item x="4256"/>
        <item x="1922"/>
        <item x="56"/>
        <item x="4257"/>
        <item x="4251"/>
        <item x="4249"/>
        <item x="4247"/>
        <item x="4250"/>
        <item x="4252"/>
        <item x="1703"/>
        <item x="4248"/>
        <item x="2639"/>
        <item x="4258"/>
        <item x="58"/>
        <item x="2224"/>
        <item x="68"/>
        <item x="2654"/>
        <item x="4261"/>
        <item x="2649"/>
        <item x="35"/>
        <item x="4260"/>
        <item x="1945"/>
        <item x="2641"/>
        <item x="4253"/>
        <item x="48"/>
        <item x="4503"/>
        <item x="2658"/>
        <item x="4259"/>
        <item x="1341"/>
        <item x="20"/>
        <item x="2657"/>
        <item x="2653"/>
        <item x="1937"/>
        <item x="2642"/>
        <item x="1938"/>
        <item x="4262"/>
        <item x="1361"/>
        <item x="2643"/>
        <item x="1944"/>
        <item x="1942"/>
        <item x="2640"/>
        <item x="59"/>
        <item x="2650"/>
        <item x="28"/>
        <item x="2645"/>
        <item x="2646"/>
        <item x="2644"/>
        <item x="36"/>
        <item x="2648"/>
        <item x="1943"/>
        <item x="2647"/>
        <item x="1684"/>
        <item x="1704"/>
        <item x="1358"/>
        <item x="37"/>
        <item x="2652"/>
        <item x="4502"/>
        <item x="2223"/>
        <item x="2651"/>
        <item x="67"/>
        <item x="38"/>
        <item x="4501"/>
        <item x="45"/>
        <item x="57"/>
        <item x="4263"/>
        <item x="1941"/>
        <item x="66"/>
        <item x="4500"/>
        <item x="2222"/>
        <item x="64"/>
        <item x="867"/>
        <item x="4499"/>
        <item x="884"/>
        <item x="60"/>
        <item x="65"/>
        <item x="1705"/>
        <item x="868"/>
        <item x="4264"/>
        <item x="61"/>
        <item x="1939"/>
        <item x="63"/>
        <item x="1342"/>
        <item x="1706"/>
        <item x="62"/>
        <item x="1340"/>
        <item x="21"/>
        <item x="4505"/>
        <item x="34"/>
        <item x="885"/>
        <item x="4507"/>
        <item x="883"/>
        <item x="4506"/>
        <item x="4496"/>
        <item x="4498"/>
        <item x="4504"/>
        <item x="1288"/>
        <item x="4495"/>
        <item x="894"/>
        <item x="866"/>
        <item x="1357"/>
        <item x="39"/>
        <item x="895"/>
        <item x="29"/>
        <item x="1707"/>
        <item x="892"/>
        <item x="19"/>
        <item x="860"/>
        <item x="9"/>
        <item x="886"/>
        <item x="888"/>
        <item x="880"/>
        <item x="891"/>
        <item x="1940"/>
        <item x="854"/>
        <item x="2221"/>
        <item x="865"/>
        <item x="18"/>
        <item x="879"/>
        <item x="4508"/>
        <item x="869"/>
        <item x="870"/>
        <item x="887"/>
        <item x="878"/>
        <item x="1683"/>
        <item x="856"/>
        <item x="1708"/>
        <item x="872"/>
        <item x="853"/>
        <item x="6"/>
        <item x="871"/>
        <item x="857"/>
        <item x="327"/>
        <item x="859"/>
        <item x="17"/>
        <item x="890"/>
        <item x="873"/>
        <item x="881"/>
        <item x="855"/>
        <item x="5"/>
        <item x="4511"/>
        <item x="893"/>
        <item x="876"/>
        <item x="4509"/>
        <item x="0"/>
        <item x="1709"/>
        <item x="889"/>
        <item x="32"/>
        <item x="875"/>
        <item x="1294"/>
        <item x="333"/>
        <item x="2097"/>
        <item x="337"/>
        <item x="4512"/>
        <item x="27"/>
        <item x="326"/>
        <item x="14"/>
        <item x="1682"/>
        <item x="4510"/>
        <item x="877"/>
        <item x="852"/>
        <item x="1362"/>
        <item x="335"/>
        <item x="31"/>
        <item x="2092"/>
        <item x="336"/>
        <item x="338"/>
        <item x="874"/>
        <item x="308"/>
        <item x="864"/>
        <item x="863"/>
        <item x="849"/>
        <item x="15"/>
        <item x="851"/>
        <item x="850"/>
        <item x="22"/>
        <item x="334"/>
        <item x="312"/>
        <item x="897"/>
        <item x="1365"/>
        <item x="16"/>
        <item x="896"/>
        <item x="309"/>
        <item x="30"/>
        <item x="2098"/>
        <item x="328"/>
        <item x="861"/>
        <item x="4515"/>
        <item x="862"/>
        <item x="2096"/>
        <item x="882"/>
        <item x="4497"/>
        <item x="1285"/>
        <item x="4513"/>
        <item x="311"/>
        <item x="24"/>
        <item x="3"/>
        <item x="2"/>
        <item x="4514"/>
        <item x="2099"/>
        <item x="1363"/>
        <item x="25"/>
        <item x="2095"/>
        <item x="2094"/>
        <item x="307"/>
        <item x="2220"/>
        <item x="1364"/>
        <item x="1291"/>
        <item x="1293"/>
        <item x="1"/>
        <item x="1292"/>
        <item x="2110"/>
        <item x="310"/>
        <item x="858"/>
        <item x="332"/>
        <item x="840"/>
        <item x="8"/>
        <item x="1710"/>
        <item x="1290"/>
        <item x="23"/>
        <item x="7"/>
        <item x="325"/>
        <item x="847"/>
        <item x="2093"/>
        <item x="848"/>
        <item x="4494"/>
        <item x="1287"/>
        <item x="2219"/>
        <item x="33"/>
        <item x="2086"/>
        <item x="841"/>
        <item x="329"/>
        <item x="2091"/>
        <item x="4493"/>
        <item x="1121"/>
        <item x="331"/>
        <item x="339"/>
        <item x="846"/>
        <item x="1286"/>
        <item x="1120"/>
        <item x="2100"/>
        <item x="313"/>
        <item x="1289"/>
        <item x="844"/>
        <item x="4492"/>
        <item x="845"/>
        <item x="340"/>
        <item x="4516"/>
        <item x="4491"/>
        <item x="1681"/>
        <item x="2771"/>
        <item x="1309"/>
        <item x="12"/>
        <item x="330"/>
        <item x="1119"/>
        <item x="4"/>
        <item x="2770"/>
        <item x="324"/>
        <item x="2218"/>
        <item x="2085"/>
        <item x="842"/>
        <item x="305"/>
        <item x="1312"/>
        <item x="323"/>
        <item x="4517"/>
        <item x="26"/>
        <item x="1711"/>
        <item x="2763"/>
        <item x="321"/>
        <item x="843"/>
        <item x="306"/>
        <item x="291"/>
        <item x="2101"/>
        <item x="2089"/>
        <item x="322"/>
        <item x="13"/>
        <item x="2111"/>
        <item x="2090"/>
        <item x="1679"/>
        <item x="1313"/>
        <item x="290"/>
        <item x="2760"/>
        <item x="289"/>
        <item x="304"/>
        <item x="11"/>
        <item x="2761"/>
        <item x="2088"/>
        <item x="2087"/>
        <item x="293"/>
        <item x="1712"/>
        <item x="2762"/>
        <item x="1308"/>
        <item x="296"/>
        <item x="292"/>
        <item x="2768"/>
        <item x="10"/>
        <item x="2105"/>
        <item x="288"/>
        <item x="4519"/>
        <item x="1680"/>
        <item x="1366"/>
        <item x="302"/>
        <item x="295"/>
        <item x="303"/>
        <item x="1310"/>
        <item x="4518"/>
        <item x="1295"/>
        <item x="1678"/>
        <item x="287"/>
        <item x="4526"/>
        <item x="2106"/>
        <item x="2217"/>
        <item x="294"/>
        <item x="320"/>
        <item x="283"/>
        <item x="2102"/>
        <item x="2767"/>
        <item x="314"/>
        <item x="285"/>
        <item x="2082"/>
        <item x="319"/>
        <item x="2109"/>
        <item x="297"/>
        <item x="1112"/>
        <item x="301"/>
        <item x="286"/>
        <item x="284"/>
        <item x="298"/>
        <item x="2113"/>
        <item x="1314"/>
        <item x="2112"/>
        <item x="4534"/>
        <item x="2108"/>
        <item x="2107"/>
        <item x="2769"/>
        <item x="315"/>
        <item x="3646"/>
        <item x="2756"/>
        <item x="2083"/>
        <item x="4528"/>
        <item x="4520"/>
        <item x="1669"/>
        <item x="300"/>
        <item x="4523"/>
        <item x="3645"/>
        <item x="1670"/>
        <item x="4525"/>
        <item x="2757"/>
        <item x="299"/>
        <item x="1300"/>
        <item x="2084"/>
        <item x="4530"/>
        <item x="3647"/>
        <item x="4532"/>
        <item x="2081"/>
        <item x="1668"/>
        <item x="4490"/>
        <item x="1666"/>
        <item x="1111"/>
        <item x="3644"/>
        <item x="2764"/>
        <item x="4527"/>
        <item x="2104"/>
        <item x="1667"/>
        <item x="2103"/>
        <item x="316"/>
        <item x="1311"/>
        <item x="1677"/>
        <item x="4531"/>
        <item x="2765"/>
        <item x="1305"/>
        <item x="4533"/>
        <item x="1339"/>
        <item x="3652"/>
        <item x="2216"/>
        <item x="2759"/>
        <item x="4524"/>
        <item x="1337"/>
        <item x="2215"/>
        <item x="3651"/>
        <item x="1676"/>
        <item x="282"/>
        <item x="2079"/>
        <item x="1299"/>
        <item x="3650"/>
        <item x="3649"/>
        <item x="1338"/>
        <item x="3648"/>
        <item x="1675"/>
        <item x="317"/>
        <item x="2213"/>
        <item x="2184"/>
        <item x="3653"/>
        <item x="1302"/>
        <item x="2185"/>
        <item x="4522"/>
        <item x="2080"/>
        <item x="2766"/>
        <item x="1674"/>
        <item x="4529"/>
        <item x="318"/>
        <item x="1367"/>
        <item x="2214"/>
        <item x="2186"/>
        <item x="2758"/>
        <item x="1665"/>
        <item x="281"/>
        <item x="4521"/>
        <item x="1673"/>
        <item x="2187"/>
        <item x="1664"/>
        <item x="2188"/>
        <item x="2189"/>
        <item x="3643"/>
        <item x="2196"/>
        <item x="1672"/>
        <item x="1663"/>
        <item x="2078"/>
        <item x="1662"/>
        <item x="1301"/>
        <item x="2077"/>
        <item x="2195"/>
        <item x="1333"/>
        <item x="1315"/>
        <item x="1306"/>
        <item x="1671"/>
        <item x="3654"/>
        <item x="3655"/>
        <item x="2075"/>
        <item x="2197"/>
        <item x="3656"/>
        <item x="1307"/>
        <item x="4309"/>
        <item x="203"/>
        <item x="280"/>
        <item x="1661"/>
        <item x="2212"/>
        <item x="278"/>
        <item x="2190"/>
        <item x="3657"/>
        <item x="2076"/>
        <item x="2192"/>
        <item x="2074"/>
        <item x="1303"/>
        <item x="2210"/>
        <item x="3658"/>
        <item x="2387"/>
        <item x="1657"/>
        <item x="1304"/>
        <item x="2191"/>
        <item x="2386"/>
        <item x="1655"/>
        <item x="3659"/>
        <item x="2194"/>
        <item x="2200"/>
        <item x="1656"/>
        <item x="1654"/>
        <item x="2211"/>
        <item x="277"/>
        <item x="2382"/>
        <item x="2199"/>
        <item x="279"/>
        <item x="1653"/>
        <item x="276"/>
        <item x="2209"/>
        <item x="2193"/>
        <item x="2208"/>
        <item x="1336"/>
        <item x="2198"/>
        <item x="1649"/>
        <item x="4480"/>
        <item x="2365"/>
        <item x="2206"/>
        <item x="2207"/>
        <item x="2201"/>
        <item x="3660"/>
        <item x="2070"/>
        <item x="205"/>
        <item x="1651"/>
        <item x="1110"/>
        <item x="2367"/>
        <item x="273"/>
        <item x="204"/>
        <item x="1652"/>
        <item x="4481"/>
        <item x="4489"/>
        <item x="2385"/>
        <item x="1658"/>
        <item x="274"/>
        <item x="2362"/>
        <item x="1319"/>
        <item x="1659"/>
        <item x="2064"/>
        <item x="4487"/>
        <item x="206"/>
        <item x="275"/>
        <item x="1334"/>
        <item x="1316"/>
        <item x="2363"/>
        <item x="1650"/>
        <item x="4483"/>
        <item x="2071"/>
        <item x="2372"/>
        <item x="2368"/>
        <item x="2205"/>
        <item x="3661"/>
        <item x="2369"/>
        <item x="2381"/>
        <item x="2204"/>
        <item x="4488"/>
        <item x="1318"/>
        <item x="2373"/>
        <item x="1298"/>
        <item x="2380"/>
        <item x="1660"/>
        <item x="4484"/>
        <item x="2069"/>
        <item x="2063"/>
        <item x="1321"/>
        <item x="2062"/>
        <item x="2073"/>
        <item x="2366"/>
        <item x="2202"/>
        <item x="2065"/>
        <item x="4486"/>
        <item x="2361"/>
        <item x="2383"/>
        <item x="2371"/>
        <item x="2072"/>
        <item x="1320"/>
        <item x="2370"/>
        <item x="4485"/>
        <item x="4482"/>
        <item x="2384"/>
        <item x="4330"/>
        <item x="1317"/>
        <item x="2378"/>
        <item x="2374"/>
        <item x="207"/>
        <item x="3289"/>
        <item x="2061"/>
        <item x="4479"/>
        <item x="3642"/>
        <item x="1648"/>
        <item x="1335"/>
        <item x="2060"/>
        <item x="2377"/>
        <item x="4329"/>
        <item x="2203"/>
        <item x="239"/>
        <item x="2379"/>
        <item x="2066"/>
        <item x="2360"/>
        <item x="3640"/>
        <item x="3290"/>
        <item x="3292"/>
        <item x="2068"/>
        <item x="2375"/>
        <item x="2059"/>
        <item x="2356"/>
        <item x="208"/>
        <item x="211"/>
        <item x="224"/>
        <item x="3291"/>
        <item x="4478"/>
        <item x="3662"/>
        <item x="3663"/>
        <item x="2359"/>
        <item x="3641"/>
        <item x="2067"/>
        <item x="3639"/>
        <item x="1118"/>
        <item x="3288"/>
        <item x="2055"/>
        <item x="223"/>
        <item x="1117"/>
        <item x="2357"/>
        <item x="3638"/>
        <item x="1322"/>
        <item x="3665"/>
        <item x="3664"/>
        <item x="227"/>
        <item x="2054"/>
        <item x="226"/>
        <item x="2355"/>
        <item x="3637"/>
        <item x="2358"/>
        <item x="2364"/>
        <item x="237"/>
        <item x="2053"/>
        <item x="3666"/>
        <item x="3293"/>
        <item x="4328"/>
        <item x="3635"/>
        <item x="2052"/>
        <item x="2057"/>
        <item x="228"/>
        <item x="2058"/>
        <item x="3634"/>
        <item x="3620"/>
        <item x="238"/>
        <item x="214"/>
        <item x="3632"/>
        <item x="1297"/>
        <item x="3631"/>
        <item x="215"/>
        <item x="2056"/>
        <item x="3628"/>
        <item x="235"/>
        <item x="3670"/>
        <item x="212"/>
        <item x="3636"/>
        <item x="3629"/>
        <item x="3673"/>
        <item x="4326"/>
        <item x="1116"/>
        <item x="3667"/>
        <item x="4327"/>
        <item x="3669"/>
        <item x="3672"/>
        <item x="3671"/>
        <item x="3294"/>
        <item x="3617"/>
        <item x="216"/>
        <item x="219"/>
        <item x="2376"/>
        <item x="3618"/>
        <item x="3633"/>
        <item x="3619"/>
        <item x="3630"/>
        <item x="3668"/>
        <item x="225"/>
        <item x="236"/>
        <item x="1331"/>
        <item x="3627"/>
        <item x="217"/>
        <item x="3674"/>
        <item x="4779"/>
        <item x="3283"/>
        <item x="3626"/>
        <item x="2354"/>
        <item x="4265"/>
        <item x="2051"/>
        <item x="1108"/>
        <item x="209"/>
        <item x="3284"/>
        <item x="4780"/>
        <item x="4784"/>
        <item x="4778"/>
        <item x="1332"/>
        <item x="4333"/>
        <item x="2050"/>
        <item x="4791"/>
        <item x="220"/>
        <item x="3625"/>
        <item x="210"/>
        <item x="213"/>
        <item x="2754"/>
        <item x="2048"/>
        <item x="218"/>
        <item x="2049"/>
        <item x="1328"/>
        <item x="229"/>
        <item x="222"/>
        <item x="4777"/>
        <item x="3624"/>
        <item x="3295"/>
        <item x="4783"/>
        <item x="231"/>
        <item x="232"/>
        <item x="221"/>
        <item x="3676"/>
        <item x="241"/>
        <item x="4296"/>
        <item x="240"/>
        <item x="3675"/>
        <item x="3285"/>
        <item x="4266"/>
        <item x="1323"/>
        <item x="230"/>
        <item x="4332"/>
        <item x="234"/>
        <item x="3616"/>
        <item x="3621"/>
        <item x="4294"/>
        <item x="3296"/>
        <item x="3287"/>
        <item x="3623"/>
        <item x="4477"/>
        <item x="244"/>
        <item x="4782"/>
        <item x="4325"/>
        <item x="246"/>
        <item x="2755"/>
        <item x="247"/>
        <item x="1107"/>
        <item x="4324"/>
        <item x="233"/>
        <item x="1324"/>
        <item x="243"/>
        <item x="4771"/>
        <item x="1329"/>
        <item x="4473"/>
        <item x="4305"/>
        <item x="249"/>
        <item x="3622"/>
        <item x="242"/>
        <item x="250"/>
        <item x="4298"/>
        <item x="248"/>
        <item x="4775"/>
        <item x="3297"/>
        <item x="4297"/>
        <item x="4270"/>
        <item x="4269"/>
        <item x="3615"/>
        <item x="268"/>
        <item x="251"/>
        <item x="4299"/>
        <item x="1327"/>
        <item x="2046"/>
        <item x="4295"/>
        <item x="252"/>
        <item x="3614"/>
        <item x="4293"/>
        <item x="1326"/>
        <item x="4472"/>
        <item x="4282"/>
        <item x="4323"/>
        <item x="253"/>
        <item x="4304"/>
        <item x="1330"/>
        <item x="4790"/>
        <item x="4476"/>
        <item x="1325"/>
        <item x="245"/>
        <item x="4474"/>
        <item x="4792"/>
        <item x="2351"/>
        <item x="4772"/>
        <item x="4781"/>
        <item x="4785"/>
        <item x="4268"/>
        <item x="1113"/>
        <item x="2353"/>
        <item x="2047"/>
        <item x="4274"/>
        <item x="4287"/>
        <item x="4308"/>
        <item x="4285"/>
        <item x="4281"/>
        <item x="269"/>
        <item x="4286"/>
        <item x="4471"/>
        <item x="4303"/>
        <item x="4316"/>
        <item x="2719"/>
        <item x="4475"/>
        <item x="4302"/>
        <item x="4300"/>
        <item x="2350"/>
        <item x="4789"/>
        <item x="4769"/>
        <item x="2346"/>
        <item x="2347"/>
        <item x="4776"/>
        <item x="4290"/>
        <item x="4310"/>
        <item x="4275"/>
        <item x="4306"/>
        <item x="2349"/>
        <item x="4288"/>
        <item x="4331"/>
        <item x="3613"/>
        <item x="2348"/>
        <item x="4283"/>
        <item x="4773"/>
        <item x="4280"/>
        <item x="257"/>
        <item x="4774"/>
        <item x="4278"/>
        <item x="3282"/>
        <item x="2753"/>
        <item x="2724"/>
        <item x="4786"/>
        <item x="4291"/>
        <item x="270"/>
        <item x="261"/>
        <item x="2045"/>
        <item x="4312"/>
        <item x="2728"/>
        <item x="262"/>
        <item x="4289"/>
        <item x="4307"/>
        <item x="258"/>
        <item x="4277"/>
        <item x="4311"/>
        <item x="2722"/>
        <item x="2723"/>
        <item x="4320"/>
        <item x="4292"/>
        <item x="2726"/>
        <item x="4317"/>
        <item x="3286"/>
        <item x="4770"/>
        <item x="2343"/>
        <item x="4765"/>
        <item x="4766"/>
        <item x="2344"/>
        <item x="254"/>
        <item x="4768"/>
        <item x="2725"/>
        <item x="2345"/>
        <item x="2330"/>
        <item x="256"/>
        <item x="4767"/>
        <item x="4787"/>
        <item x="3612"/>
        <item x="3281"/>
        <item x="264"/>
        <item x="265"/>
        <item x="255"/>
        <item x="2729"/>
        <item x="4795"/>
        <item x="2720"/>
        <item x="4279"/>
        <item x="4794"/>
        <item x="267"/>
        <item x="3298"/>
        <item x="263"/>
        <item x="4301"/>
        <item x="4273"/>
        <item x="259"/>
        <item x="2352"/>
        <item x="260"/>
        <item x="4272"/>
        <item x="2727"/>
        <item x="2342"/>
        <item x="4793"/>
        <item x="4318"/>
        <item x="4271"/>
        <item x="4276"/>
        <item x="4321"/>
        <item x="4804"/>
        <item x="1115"/>
        <item x="2319"/>
        <item x="4313"/>
        <item x="2329"/>
        <item x="4796"/>
        <item x="2751"/>
        <item x="4315"/>
        <item x="4761"/>
        <item x="2721"/>
        <item x="2338"/>
        <item x="2332"/>
        <item x="4284"/>
        <item x="2334"/>
        <item x="3611"/>
        <item x="4760"/>
        <item x="3278"/>
        <item x="2331"/>
        <item x="4267"/>
        <item x="271"/>
        <item x="272"/>
        <item x="4803"/>
        <item x="4319"/>
        <item x="4759"/>
        <item x="2730"/>
        <item x="4763"/>
        <item x="4322"/>
        <item x="4764"/>
        <item x="4314"/>
        <item x="2328"/>
        <item x="4762"/>
        <item x="2318"/>
        <item x="2339"/>
        <item x="4798"/>
        <item x="2337"/>
        <item x="266"/>
        <item x="4788"/>
        <item x="2320"/>
        <item x="2341"/>
        <item x="2321"/>
        <item x="3302"/>
        <item x="1109"/>
        <item x="2316"/>
        <item x="2731"/>
        <item x="3610"/>
        <item x="2327"/>
        <item x="2336"/>
        <item x="2333"/>
        <item x="2313"/>
        <item x="4801"/>
        <item x="4802"/>
        <item x="2335"/>
        <item x="3301"/>
        <item x="2317"/>
        <item x="3300"/>
        <item x="2325"/>
        <item x="3279"/>
        <item x="4758"/>
        <item x="3299"/>
        <item x="2315"/>
        <item x="3303"/>
        <item x="4799"/>
        <item x="4800"/>
        <item x="2324"/>
        <item x="2326"/>
        <item x="4797"/>
        <item x="1114"/>
        <item x="2322"/>
        <item x="2323"/>
        <item x="2314"/>
        <item x="3276"/>
        <item x="2312"/>
        <item x="3304"/>
        <item x="2340"/>
        <item x="3277"/>
        <item x="3275"/>
        <item x="4757"/>
        <item x="3319"/>
        <item x="2752"/>
        <item x="2311"/>
        <item x="3318"/>
        <item x="3320"/>
        <item x="4756"/>
        <item x="3325"/>
        <item x="3280"/>
        <item x="3324"/>
        <item x="3311"/>
        <item x="3317"/>
        <item x="3312"/>
        <item x="3314"/>
        <item x="3315"/>
        <item x="4754"/>
        <item x="946"/>
        <item x="3328"/>
        <item x="3316"/>
        <item x="3305"/>
        <item x="3307"/>
        <item x="3323"/>
        <item x="3313"/>
        <item x="3327"/>
        <item x="4751"/>
        <item x="2750"/>
        <item x="4750"/>
        <item x="3326"/>
        <item x="2310"/>
        <item x="4753"/>
        <item x="4748"/>
        <item x="3306"/>
        <item x="3308"/>
        <item x="2710"/>
        <item x="2704"/>
        <item x="2705"/>
        <item x="3310"/>
        <item x="4749"/>
        <item x="3309"/>
        <item x="944"/>
        <item x="947"/>
        <item x="2709"/>
        <item x="4755"/>
        <item x="2708"/>
        <item x="4747"/>
        <item x="2706"/>
        <item x="4745"/>
        <item x="3321"/>
        <item x="949"/>
        <item x="3322"/>
        <item x="940"/>
        <item x="4089"/>
        <item x="2703"/>
        <item x="945"/>
        <item x="4091"/>
        <item x="2307"/>
        <item x="1917"/>
        <item x="2707"/>
        <item x="2308"/>
        <item x="2309"/>
        <item x="941"/>
        <item x="938"/>
        <item x="2702"/>
        <item x="3330"/>
        <item x="1840"/>
        <item x="943"/>
        <item x="3268"/>
        <item x="2306"/>
        <item x="2295"/>
        <item x="2296"/>
        <item x="4744"/>
        <item x="3269"/>
        <item x="1841"/>
        <item x="2305"/>
        <item x="948"/>
        <item x="4090"/>
        <item x="2298"/>
        <item x="2294"/>
        <item x="4092"/>
        <item x="2732"/>
        <item x="2297"/>
        <item x="2304"/>
        <item x="951"/>
        <item x="952"/>
        <item x="1916"/>
        <item x="2749"/>
        <item x="3329"/>
        <item x="954"/>
        <item x="953"/>
        <item x="3267"/>
        <item x="4752"/>
        <item x="2302"/>
        <item x="2303"/>
        <item x="937"/>
        <item x="2299"/>
        <item x="3264"/>
        <item x="3261"/>
        <item x="2293"/>
        <item x="942"/>
        <item x="2301"/>
        <item x="4086"/>
        <item x="1842"/>
        <item x="3266"/>
        <item x="3270"/>
        <item x="1918"/>
        <item x="1843"/>
        <item x="1915"/>
        <item x="2300"/>
        <item x="1844"/>
        <item x="939"/>
        <item x="4746"/>
        <item x="2292"/>
        <item x="4088"/>
        <item x="4742"/>
        <item x="1920"/>
        <item x="1912"/>
        <item x="1846"/>
        <item x="3262"/>
        <item x="1914"/>
        <item x="1848"/>
        <item x="2289"/>
        <item x="2291"/>
        <item x="936"/>
        <item x="2743"/>
        <item x="1847"/>
        <item x="1845"/>
        <item x="1839"/>
        <item x="1849"/>
        <item x="2742"/>
        <item x="4743"/>
        <item x="2290"/>
        <item x="950"/>
        <item x="3263"/>
        <item x="1913"/>
        <item x="1907"/>
        <item x="955"/>
        <item x="2288"/>
        <item x="1910"/>
        <item x="1919"/>
        <item x="1909"/>
        <item x="2283"/>
        <item x="2271"/>
        <item x="2284"/>
        <item x="3265"/>
        <item x="2281"/>
        <item x="2272"/>
        <item x="2275"/>
        <item x="3274"/>
        <item x="934"/>
        <item x="1911"/>
        <item x="2287"/>
        <item x="3271"/>
        <item x="1850"/>
        <item x="2282"/>
        <item x="2278"/>
        <item x="4084"/>
        <item x="2277"/>
        <item x="2285"/>
        <item x="2269"/>
        <item x="1908"/>
        <item x="2286"/>
        <item x="2270"/>
        <item x="1851"/>
        <item x="2274"/>
        <item x="2280"/>
        <item x="2273"/>
        <item x="935"/>
        <item x="2276"/>
        <item x="1902"/>
        <item x="2279"/>
        <item x="1898"/>
        <item x="1897"/>
        <item x="1901"/>
        <item x="2746"/>
        <item x="3273"/>
        <item x="3272"/>
        <item x="1899"/>
        <item x="957"/>
        <item x="1819"/>
        <item x="4083"/>
        <item x="1888"/>
        <item x="1896"/>
        <item x="1820"/>
        <item x="1890"/>
        <item x="1817"/>
        <item x="1900"/>
        <item x="2898"/>
        <item x="1816"/>
        <item x="1818"/>
        <item x="1793"/>
        <item x="2895"/>
        <item x="1889"/>
        <item x="1895"/>
        <item x="2899"/>
        <item x="1794"/>
        <item x="1815"/>
        <item x="2268"/>
        <item x="2748"/>
        <item x="1893"/>
        <item x="1795"/>
        <item x="1892"/>
        <item x="4705"/>
        <item x="1905"/>
        <item x="1792"/>
        <item x="2897"/>
        <item x="4731"/>
        <item x="1891"/>
        <item x="1906"/>
        <item x="2900"/>
        <item x="2896"/>
        <item x="2885"/>
        <item x="958"/>
        <item x="1797"/>
        <item x="1828"/>
        <item x="956"/>
        <item x="1894"/>
        <item x="4707"/>
        <item x="2894"/>
        <item x="1814"/>
        <item x="2741"/>
        <item x="1887"/>
        <item x="1904"/>
        <item x="1829"/>
        <item x="2747"/>
        <item x="1791"/>
        <item x="1796"/>
        <item x="933"/>
        <item x="1798"/>
        <item x="1821"/>
        <item x="1799"/>
        <item x="2745"/>
        <item x="1903"/>
        <item x="1881"/>
        <item x="1830"/>
        <item x="1825"/>
        <item x="2888"/>
        <item x="606"/>
        <item x="2891"/>
        <item x="1034"/>
        <item x="4087"/>
        <item x="2892"/>
        <item x="587"/>
        <item x="4085"/>
        <item x="607"/>
        <item x="2893"/>
        <item x="588"/>
        <item x="2734"/>
        <item x="2901"/>
        <item x="2886"/>
        <item x="932"/>
        <item x="2889"/>
        <item x="2263"/>
        <item x="2267"/>
        <item x="1790"/>
        <item x="1033"/>
        <item x="4706"/>
        <item x="2902"/>
        <item x="1827"/>
        <item x="4093"/>
        <item x="1813"/>
        <item x="2890"/>
        <item x="1826"/>
        <item x="2887"/>
        <item x="2266"/>
        <item x="1800"/>
        <item x="605"/>
        <item x="1027"/>
        <item x="1028"/>
        <item x="2904"/>
        <item x="2262"/>
        <item x="2905"/>
        <item x="1831"/>
        <item x="4708"/>
        <item x="589"/>
        <item x="1801"/>
        <item x="1835"/>
        <item x="1837"/>
        <item x="2715"/>
        <item x="1876"/>
        <item x="1788"/>
        <item x="1822"/>
        <item x="586"/>
        <item x="2735"/>
        <item x="1838"/>
        <item x="1029"/>
        <item x="2903"/>
        <item x="604"/>
        <item x="1789"/>
        <item x="999"/>
        <item x="1833"/>
        <item x="608"/>
        <item x="1030"/>
        <item x="1880"/>
        <item x="1879"/>
        <item x="4067"/>
        <item x="2883"/>
        <item x="2907"/>
        <item x="1877"/>
        <item x="1884"/>
        <item x="1832"/>
        <item x="2884"/>
        <item x="1878"/>
        <item x="1000"/>
        <item x="1812"/>
        <item x="2265"/>
        <item x="1784"/>
        <item x="4711"/>
        <item x="4727"/>
        <item x="1786"/>
        <item x="1032"/>
        <item x="609"/>
        <item x="1785"/>
        <item x="3573"/>
        <item x="585"/>
        <item x="4726"/>
        <item x="1787"/>
        <item x="1883"/>
        <item x="1807"/>
        <item x="3572"/>
        <item x="2713"/>
        <item x="4464"/>
        <item x="1803"/>
        <item x="1875"/>
        <item x="1836"/>
        <item x="1824"/>
        <item x="1001"/>
        <item x="2744"/>
        <item x="997"/>
        <item x="1035"/>
        <item x="4710"/>
        <item x="4463"/>
        <item x="2264"/>
        <item x="582"/>
        <item x="998"/>
        <item x="1783"/>
        <item x="3565"/>
        <item x="1885"/>
        <item x="1882"/>
        <item x="1802"/>
        <item x="4461"/>
        <item x="4094"/>
        <item x="2733"/>
        <item x="4740"/>
        <item x="1886"/>
        <item x="1811"/>
        <item x="2910"/>
        <item x="603"/>
        <item x="2261"/>
        <item x="2908"/>
        <item x="1016"/>
        <item x="2740"/>
        <item x="1031"/>
        <item x="1808"/>
        <item x="1023"/>
        <item x="2251"/>
        <item x="3608"/>
        <item x="4066"/>
        <item x="2253"/>
        <item x="583"/>
        <item x="1015"/>
        <item x="584"/>
        <item x="2906"/>
        <item x="590"/>
        <item x="1026"/>
        <item x="931"/>
        <item x="1805"/>
        <item x="591"/>
        <item x="1806"/>
        <item x="3746"/>
        <item x="1823"/>
        <item x="4459"/>
        <item x="4712"/>
        <item x="2260"/>
        <item x="2250"/>
        <item x="4462"/>
        <item x="1804"/>
        <item x="1870"/>
        <item x="2909"/>
        <item x="2254"/>
        <item x="1024"/>
        <item x="3566"/>
        <item x="4713"/>
        <item x="2181"/>
        <item x="1834"/>
        <item x="601"/>
        <item x="4460"/>
        <item x="3398"/>
        <item x="2714"/>
        <item x="4458"/>
        <item x="959"/>
        <item x="4709"/>
        <item x="960"/>
        <item x="2882"/>
        <item x="2739"/>
        <item x="1022"/>
        <item x="610"/>
        <item x="616"/>
        <item x="3571"/>
        <item x="2259"/>
        <item x="3570"/>
        <item x="3992"/>
        <item x="617"/>
        <item x="2248"/>
        <item x="2256"/>
        <item x="4065"/>
        <item x="2257"/>
        <item x="1852"/>
        <item x="3745"/>
        <item x="2252"/>
        <item x="600"/>
        <item x="602"/>
        <item x="4725"/>
        <item x="4068"/>
        <item x="1809"/>
        <item x="592"/>
        <item x="3609"/>
        <item x="961"/>
        <item x="3567"/>
        <item x="596"/>
        <item x="4723"/>
        <item x="1025"/>
        <item x="4722"/>
        <item x="1002"/>
        <item x="597"/>
        <item x="615"/>
        <item x="3568"/>
        <item x="4724"/>
        <item x="4729"/>
        <item x="593"/>
        <item x="614"/>
        <item x="3742"/>
        <item x="3743"/>
        <item x="1873"/>
        <item x="2255"/>
        <item x="996"/>
        <item x="4457"/>
        <item x="4465"/>
        <item x="1021"/>
        <item x="4466"/>
        <item x="1874"/>
        <item x="3993"/>
        <item x="4352"/>
        <item x="3564"/>
        <item x="3744"/>
        <item x="1856"/>
        <item x="1018"/>
        <item x="581"/>
        <item x="2249"/>
        <item x="1020"/>
        <item x="3397"/>
        <item x="1810"/>
        <item x="3574"/>
        <item x="1855"/>
        <item x="3735"/>
        <item x="4355"/>
        <item x="1017"/>
        <item x="3994"/>
        <item x="1853"/>
        <item x="1872"/>
        <item x="613"/>
        <item x="4467"/>
        <item x="599"/>
        <item x="2881"/>
        <item x="3606"/>
        <item x="3569"/>
        <item x="4080"/>
        <item x="4469"/>
        <item x="2258"/>
        <item x="1019"/>
        <item x="3740"/>
        <item x="965"/>
        <item x="2712"/>
        <item x="994"/>
        <item x="570"/>
        <item x="967"/>
        <item x="2711"/>
        <item x="962"/>
        <item x="4351"/>
        <item x="612"/>
        <item x="964"/>
        <item x="598"/>
        <item x="995"/>
        <item x="2737"/>
        <item x="4363"/>
        <item x="611"/>
        <item x="3741"/>
        <item x="1869"/>
        <item x="594"/>
        <item x="575"/>
        <item x="988"/>
        <item x="4353"/>
        <item x="2880"/>
        <item x="2159"/>
        <item x="4718"/>
        <item x="2717"/>
        <item x="4714"/>
        <item x="3607"/>
        <item x="4366"/>
        <item x="4364"/>
        <item x="574"/>
        <item x="620"/>
        <item x="4721"/>
        <item x="1854"/>
        <item x="3605"/>
        <item x="993"/>
        <item x="3597"/>
        <item x="618"/>
        <item x="4350"/>
        <item x="1871"/>
        <item x="2875"/>
        <item x="573"/>
        <item x="992"/>
        <item x="4730"/>
        <item x="3559"/>
        <item x="4072"/>
        <item x="4071"/>
        <item x="1037"/>
        <item x="3399"/>
        <item x="4733"/>
        <item x="4470"/>
        <item x="4719"/>
        <item x="4455"/>
        <item x="571"/>
        <item x="2738"/>
        <item x="4720"/>
        <item x="4356"/>
        <item x="576"/>
        <item x="4704"/>
        <item x="3598"/>
        <item x="4728"/>
        <item x="4456"/>
        <item x="986"/>
        <item x="595"/>
        <item x="1036"/>
        <item x="2180"/>
        <item x="989"/>
        <item x="577"/>
        <item x="1861"/>
        <item x="987"/>
        <item x="572"/>
        <item x="3400"/>
        <item x="4357"/>
        <item x="1857"/>
        <item x="4081"/>
        <item x="4732"/>
        <item x="3596"/>
        <item x="2183"/>
        <item x="3363"/>
        <item x="4360"/>
        <item x="3595"/>
        <item x="4069"/>
        <item x="1868"/>
        <item x="1862"/>
        <item x="3594"/>
        <item x="3581"/>
        <item x="3991"/>
        <item x="3589"/>
        <item x="3562"/>
        <item x="2736"/>
        <item x="3600"/>
        <item x="991"/>
        <item x="3583"/>
        <item x="966"/>
        <item x="2160"/>
        <item x="4344"/>
        <item x="578"/>
        <item x="3558"/>
        <item x="4362"/>
        <item x="1860"/>
        <item x="1004"/>
        <item x="3588"/>
        <item x="4468"/>
        <item x="4454"/>
        <item x="3590"/>
        <item x="3560"/>
        <item x="4365"/>
        <item x="3582"/>
        <item x="3563"/>
        <item x="4368"/>
        <item x="3587"/>
        <item x="3603"/>
        <item x="4354"/>
        <item x="3557"/>
        <item x="4070"/>
        <item x="3592"/>
        <item x="4359"/>
        <item x="4348"/>
        <item x="984"/>
        <item x="3602"/>
        <item x="3599"/>
        <item x="4596"/>
        <item x="4358"/>
        <item x="985"/>
        <item x="3738"/>
        <item x="3561"/>
        <item x="3396"/>
        <item x="3584"/>
        <item x="619"/>
        <item x="3591"/>
        <item x="4349"/>
        <item x="579"/>
        <item x="990"/>
        <item x="1864"/>
        <item x="1867"/>
        <item x="1863"/>
        <item x="3713"/>
        <item x="2178"/>
        <item x="4453"/>
        <item x="1005"/>
        <item x="2158"/>
        <item x="3601"/>
        <item x="3593"/>
        <item x="4361"/>
        <item x="4335"/>
        <item x="1859"/>
        <item x="4339"/>
        <item x="2156"/>
        <item x="4345"/>
        <item x="3737"/>
        <item x="963"/>
        <item x="2161"/>
        <item x="3555"/>
        <item x="4595"/>
        <item x="2179"/>
        <item x="4375"/>
        <item x="3995"/>
        <item x="2182"/>
        <item x="3556"/>
        <item x="3395"/>
        <item x="2177"/>
        <item x="2718"/>
        <item x="3739"/>
        <item x="4593"/>
        <item x="4369"/>
        <item x="3393"/>
        <item x="2157"/>
        <item x="4347"/>
        <item x="2879"/>
        <item x="4452"/>
        <item x="4715"/>
        <item x="3712"/>
        <item x="3604"/>
        <item x="4063"/>
        <item x="1866"/>
        <item x="4367"/>
        <item x="983"/>
        <item x="3734"/>
        <item x="2155"/>
        <item x="3996"/>
        <item x="2169"/>
        <item x="2876"/>
        <item x="4064"/>
        <item x="1858"/>
        <item x="1865"/>
        <item x="1009"/>
        <item x="1008"/>
        <item x="3711"/>
        <item x="1006"/>
        <item x="1014"/>
        <item x="3554"/>
        <item x="3361"/>
        <item x="4342"/>
        <item x="2168"/>
        <item x="970"/>
        <item x="977"/>
        <item x="2163"/>
        <item x="3394"/>
        <item x="3702"/>
        <item x="1003"/>
        <item x="972"/>
        <item x="3575"/>
        <item x="4346"/>
        <item x="4073"/>
        <item x="971"/>
        <item x="3723"/>
        <item x="4341"/>
        <item x="3736"/>
        <item x="3703"/>
        <item x="968"/>
        <item x="973"/>
        <item x="4374"/>
        <item x="3389"/>
        <item x="3710"/>
        <item x="2154"/>
        <item x="4338"/>
        <item x="4343"/>
        <item x="2174"/>
        <item x="4717"/>
        <item x="3997"/>
        <item x="4594"/>
        <item x="969"/>
        <item x="3360"/>
        <item x="2167"/>
        <item x="978"/>
        <item x="2175"/>
        <item x="580"/>
        <item x="3550"/>
        <item x="3706"/>
        <item x="4376"/>
        <item x="3364"/>
        <item x="4735"/>
        <item x="2170"/>
        <item x="3998"/>
        <item x="2172"/>
        <item x="3580"/>
        <item x="2176"/>
        <item x="4590"/>
        <item x="4591"/>
        <item x="569"/>
        <item x="2153"/>
        <item x="4372"/>
        <item x="4340"/>
        <item x="4370"/>
        <item x="4377"/>
        <item x="982"/>
        <item x="2166"/>
        <item x="4737"/>
        <item x="3704"/>
        <item x="3717"/>
        <item x="3705"/>
        <item x="4334"/>
        <item x="4734"/>
        <item x="2171"/>
        <item x="2874"/>
        <item x="3727"/>
        <item x="4592"/>
        <item x="3725"/>
        <item x="2716"/>
        <item x="4373"/>
        <item x="3707"/>
        <item x="2162"/>
        <item x="3549"/>
        <item x="4716"/>
        <item x="4337"/>
        <item x="2165"/>
        <item x="3730"/>
        <item x="3578"/>
        <item x="3577"/>
        <item x="1007"/>
        <item x="2877"/>
        <item x="3551"/>
        <item x="3724"/>
        <item x="980"/>
        <item x="3729"/>
        <item x="2878"/>
        <item x="930"/>
        <item x="3728"/>
        <item x="3726"/>
        <item x="3718"/>
        <item x="3585"/>
        <item x="3586"/>
        <item x="3701"/>
        <item x="4082"/>
        <item x="3365"/>
        <item x="3731"/>
        <item x="4741"/>
        <item x="2164"/>
        <item x="3733"/>
        <item x="3576"/>
        <item x="4589"/>
        <item x="4834"/>
        <item x="4371"/>
        <item x="3372"/>
        <item x="3732"/>
        <item x="3715"/>
        <item x="4597"/>
        <item x="3719"/>
        <item x="3709"/>
        <item x="979"/>
        <item x="3367"/>
        <item x="3369"/>
        <item x="3579"/>
        <item x="3368"/>
        <item x="3552"/>
        <item x="3716"/>
        <item x="3714"/>
        <item x="4600"/>
        <item x="981"/>
        <item x="3553"/>
        <item x="3708"/>
        <item x="4598"/>
        <item x="3371"/>
        <item x="3392"/>
        <item x="976"/>
        <item x="4599"/>
        <item x="3355"/>
        <item x="3373"/>
        <item x="3362"/>
        <item x="4603"/>
        <item x="4836"/>
        <item x="4738"/>
        <item x="4587"/>
        <item x="974"/>
        <item x="3720"/>
        <item x="4857"/>
        <item x="3722"/>
        <item x="4588"/>
        <item x="4840"/>
        <item x="925"/>
        <item x="4861"/>
        <item x="3548"/>
        <item x="2173"/>
        <item x="3990"/>
        <item x="4604"/>
        <item x="4432"/>
        <item x="4601"/>
        <item x="4837"/>
        <item x="3370"/>
        <item x="4074"/>
        <item x="4586"/>
        <item x="1010"/>
        <item x="3391"/>
        <item x="2152"/>
        <item x="4839"/>
        <item x="923"/>
        <item x="1011"/>
        <item x="4739"/>
        <item x="4585"/>
        <item x="4835"/>
        <item x="3388"/>
        <item x="4451"/>
        <item x="568"/>
        <item x="4584"/>
        <item x="4430"/>
        <item x="4062"/>
        <item x="2151"/>
        <item x="3721"/>
        <item x="4841"/>
        <item x="4842"/>
        <item x="4379"/>
        <item x="920"/>
        <item x="4602"/>
        <item x="3547"/>
        <item x="4443"/>
        <item x="922"/>
        <item x="926"/>
        <item x="1013"/>
        <item x="4336"/>
        <item x="927"/>
        <item x="924"/>
        <item x="3700"/>
        <item x="4450"/>
        <item x="919"/>
        <item x="928"/>
        <item x="4856"/>
        <item x="566"/>
        <item x="3366"/>
        <item x="567"/>
        <item x="2871"/>
        <item x="1012"/>
        <item x="918"/>
        <item x="929"/>
        <item x="4429"/>
        <item x="4428"/>
        <item x="975"/>
        <item x="2873"/>
        <item x="4009"/>
        <item x="4427"/>
        <item x="4441"/>
        <item x="4440"/>
        <item x="4449"/>
        <item x="4442"/>
        <item x="2150"/>
        <item x="4437"/>
        <item x="4431"/>
        <item x="3359"/>
        <item x="565"/>
        <item x="3353"/>
        <item x="4426"/>
        <item x="4378"/>
        <item x="3357"/>
        <item x="2872"/>
        <item x="2869"/>
        <item x="917"/>
        <item x="4703"/>
        <item x="3680"/>
        <item x="3352"/>
        <item x="4010"/>
        <item x="3390"/>
        <item x="3546"/>
        <item x="2870"/>
        <item x="3681"/>
        <item x="4869"/>
        <item x="3989"/>
        <item x="4444"/>
        <item x="3999"/>
        <item x="3686"/>
        <item x="2149"/>
        <item x="4007"/>
        <item x="4079"/>
        <item x="3351"/>
        <item x="4008"/>
        <item x="2868"/>
        <item x="4701"/>
        <item x="3698"/>
        <item x="4435"/>
        <item x="4838"/>
        <item x="4854"/>
        <item x="3699"/>
        <item x="2863"/>
        <item x="3695"/>
        <item x="3682"/>
        <item x="4399"/>
        <item x="4848"/>
        <item x="4843"/>
        <item x="3697"/>
        <item x="2867"/>
        <item x="3358"/>
        <item x="4400"/>
        <item x="4077"/>
        <item x="2862"/>
        <item x="3685"/>
        <item x="3545"/>
        <item x="4855"/>
        <item x="4075"/>
        <item x="3544"/>
        <item x="4853"/>
        <item x="3356"/>
        <item x="3387"/>
        <item x="2147"/>
        <item x="4438"/>
        <item x="563"/>
        <item x="3384"/>
        <item x="2861"/>
        <item x="4380"/>
        <item x="3350"/>
        <item x="4060"/>
        <item x="3683"/>
        <item x="4439"/>
        <item x="4381"/>
        <item x="2148"/>
        <item x="4076"/>
        <item x="3694"/>
        <item x="560"/>
        <item x="559"/>
        <item x="564"/>
        <item x="2864"/>
        <item x="4433"/>
        <item x="921"/>
        <item x="4434"/>
        <item x="4446"/>
        <item x="4005"/>
        <item x="3543"/>
        <item x="2866"/>
        <item x="3684"/>
        <item x="907"/>
        <item x="908"/>
        <item x="4736"/>
        <item x="3983"/>
        <item x="3542"/>
        <item x="3374"/>
        <item x="2859"/>
        <item x="4061"/>
        <item x="562"/>
        <item x="4398"/>
        <item x="3981"/>
        <item x="4448"/>
        <item x="4425"/>
        <item x="4011"/>
        <item x="3349"/>
        <item x="558"/>
        <item x="2865"/>
        <item x="4583"/>
        <item x="3982"/>
        <item x="3693"/>
        <item x="561"/>
        <item x="3696"/>
        <item x="4833"/>
        <item x="4048"/>
        <item x="4564"/>
        <item x="4445"/>
        <item x="3679"/>
        <item x="4683"/>
        <item x="4575"/>
        <item x="4382"/>
        <item x="4859"/>
        <item x="4700"/>
        <item x="3678"/>
        <item x="4447"/>
        <item x="4396"/>
        <item x="4562"/>
        <item x="735"/>
        <item x="3541"/>
        <item x="906"/>
        <item x="4078"/>
        <item x="4582"/>
        <item x="4682"/>
        <item x="555"/>
        <item x="2860"/>
        <item x="4006"/>
        <item x="905"/>
        <item x="4849"/>
        <item x="4436"/>
        <item x="557"/>
        <item x="556"/>
        <item x="3386"/>
        <item x="3354"/>
        <item x="4858"/>
        <item x="4397"/>
        <item x="3385"/>
        <item x="3984"/>
        <item x="4057"/>
        <item x="4001"/>
        <item x="4408"/>
        <item x="4850"/>
        <item x="4003"/>
        <item x="4394"/>
        <item x="3978"/>
        <item x="4395"/>
        <item x="4393"/>
        <item x="4702"/>
        <item x="916"/>
        <item x="4383"/>
        <item x="4002"/>
        <item x="3692"/>
        <item x="4677"/>
        <item x="4581"/>
        <item x="3980"/>
        <item x="4845"/>
        <item x="4574"/>
        <item x="3979"/>
        <item x="4569"/>
        <item x="4004"/>
        <item x="3677"/>
        <item x="2146"/>
        <item x="4409"/>
        <item x="4675"/>
        <item x="4696"/>
        <item x="4572"/>
        <item x="4860"/>
        <item x="4851"/>
        <item x="4680"/>
        <item x="3383"/>
        <item x="554"/>
        <item x="3985"/>
        <item x="3977"/>
        <item x="4384"/>
        <item x="4847"/>
        <item x="3687"/>
        <item x="4050"/>
        <item x="4679"/>
        <item x="4386"/>
        <item x="552"/>
        <item x="4563"/>
        <item x="4573"/>
        <item x="4561"/>
        <item x="4387"/>
        <item x="553"/>
        <item x="732"/>
        <item x="3691"/>
        <item x="4390"/>
        <item x="912"/>
        <item x="915"/>
        <item x="902"/>
        <item x="4567"/>
        <item x="4576"/>
        <item x="4388"/>
        <item x="743"/>
        <item x="4560"/>
        <item x="4000"/>
        <item x="3376"/>
        <item x="726"/>
        <item x="2837"/>
        <item x="3381"/>
        <item x="4862"/>
        <item x="4051"/>
        <item x="3986"/>
        <item x="4852"/>
        <item x="3689"/>
        <item x="4049"/>
        <item x="4559"/>
        <item x="3380"/>
        <item x="3348"/>
        <item x="4676"/>
        <item x="913"/>
        <item x="2839"/>
        <item x="4844"/>
        <item x="4571"/>
        <item x="4389"/>
        <item x="4392"/>
        <item x="3378"/>
        <item x="4570"/>
        <item x="4391"/>
        <item x="3688"/>
        <item x="731"/>
        <item x="3988"/>
        <item x="730"/>
        <item x="4385"/>
        <item x="4419"/>
        <item x="4678"/>
        <item x="4558"/>
        <item x="4863"/>
        <item x="3690"/>
        <item x="733"/>
        <item x="2841"/>
        <item x="4846"/>
        <item x="909"/>
        <item x="4059"/>
        <item x="4053"/>
        <item x="4403"/>
        <item x="3976"/>
        <item x="744"/>
        <item x="4566"/>
        <item x="3987"/>
        <item x="4420"/>
        <item x="2145"/>
        <item x="2838"/>
        <item x="4058"/>
        <item x="4681"/>
        <item x="910"/>
        <item x="740"/>
        <item x="4578"/>
        <item x="914"/>
        <item x="4565"/>
        <item x="734"/>
        <item x="551"/>
        <item x="4580"/>
        <item x="3382"/>
        <item x="4054"/>
        <item x="3379"/>
        <item x="745"/>
        <item x="2840"/>
        <item x="714"/>
        <item x="3375"/>
        <item x="911"/>
        <item x="746"/>
        <item x="756"/>
        <item x="727"/>
        <item x="2825"/>
        <item x="728"/>
        <item x="2827"/>
        <item x="4577"/>
        <item x="729"/>
        <item x="4413"/>
        <item x="4579"/>
        <item x="4698"/>
        <item x="4422"/>
        <item x="4568"/>
        <item x="4012"/>
        <item x="3975"/>
        <item x="2828"/>
        <item x="739"/>
        <item x="2826"/>
        <item x="4424"/>
        <item x="4684"/>
        <item x="4414"/>
        <item x="724"/>
        <item x="4406"/>
        <item x="4411"/>
        <item x="4699"/>
        <item x="738"/>
        <item x="759"/>
        <item x="4421"/>
        <item x="755"/>
        <item x="4415"/>
        <item x="4557"/>
        <item x="4402"/>
        <item x="2824"/>
        <item x="2823"/>
        <item x="2829"/>
        <item x="4423"/>
        <item x="4410"/>
        <item x="4052"/>
        <item x="4039"/>
        <item x="737"/>
        <item x="709"/>
        <item x="4865"/>
        <item x="2144"/>
        <item x="715"/>
        <item x="752"/>
        <item x="741"/>
        <item x="4401"/>
        <item x="4871"/>
        <item x="4047"/>
        <item x="4042"/>
        <item x="4055"/>
        <item x="3377"/>
        <item x="757"/>
        <item x="736"/>
        <item x="904"/>
        <item x="751"/>
        <item x="754"/>
        <item x="903"/>
        <item x="4866"/>
        <item x="750"/>
        <item x="748"/>
        <item x="2817"/>
        <item x="710"/>
        <item x="3347"/>
        <item x="747"/>
        <item x="4412"/>
        <item x="4045"/>
        <item x="3967"/>
        <item x="4043"/>
        <item x="4864"/>
        <item x="2822"/>
        <item x="4056"/>
        <item x="899"/>
        <item x="4044"/>
        <item x="2836"/>
        <item x="758"/>
        <item x="2820"/>
        <item x="4046"/>
        <item x="2142"/>
        <item x="4695"/>
        <item x="713"/>
        <item x="2835"/>
        <item x="4407"/>
        <item x="719"/>
        <item x="2816"/>
        <item x="3346"/>
        <item x="753"/>
        <item x="3969"/>
        <item x="4416"/>
        <item x="3974"/>
        <item x="708"/>
        <item x="749"/>
        <item x="3968"/>
        <item x="706"/>
        <item x="725"/>
        <item x="4040"/>
        <item x="707"/>
        <item x="4867"/>
        <item x="711"/>
        <item x="4405"/>
        <item x="2818"/>
        <item x="2821"/>
        <item x="717"/>
        <item x="2143"/>
        <item x="2830"/>
        <item x="722"/>
        <item x="3972"/>
        <item x="742"/>
        <item x="2815"/>
        <item x="4870"/>
        <item x="470"/>
        <item x="2801"/>
        <item x="4417"/>
        <item x="4038"/>
        <item x="716"/>
        <item x="2819"/>
        <item x="4868"/>
        <item x="2140"/>
        <item x="4418"/>
        <item x="3345"/>
        <item x="2139"/>
        <item x="467"/>
        <item x="712"/>
        <item x="723"/>
        <item x="2832"/>
        <item x="2831"/>
        <item x="4694"/>
        <item x="471"/>
        <item x="4832"/>
        <item x="4404"/>
        <item x="2834"/>
        <item x="2141"/>
        <item x="2138"/>
        <item x="720"/>
        <item x="4697"/>
        <item x="472"/>
        <item x="4688"/>
        <item x="4830"/>
        <item x="468"/>
        <item x="718"/>
        <item x="721"/>
        <item x="2849"/>
        <item x="2802"/>
        <item x="2814"/>
        <item x="3971"/>
        <item x="469"/>
        <item x="2137"/>
        <item x="3973"/>
        <item x="2135"/>
        <item x="2847"/>
        <item x="2845"/>
        <item x="2833"/>
        <item x="3966"/>
        <item x="2844"/>
        <item x="3962"/>
        <item x="705"/>
        <item x="2136"/>
        <item x="3970"/>
        <item x="4693"/>
        <item x="4556"/>
        <item x="2846"/>
        <item x="4551"/>
        <item x="4037"/>
        <item x="464"/>
        <item x="4552"/>
        <item x="478"/>
        <item x="900"/>
        <item x="4691"/>
        <item x="2813"/>
        <item x="2848"/>
        <item x="2805"/>
        <item x="442"/>
        <item x="466"/>
        <item x="444"/>
        <item x="477"/>
        <item x="2804"/>
        <item x="4544"/>
        <item x="465"/>
        <item x="3964"/>
        <item x="4829"/>
        <item x="474"/>
        <item x="4831"/>
        <item x="704"/>
        <item x="3963"/>
        <item x="901"/>
        <item x="4554"/>
        <item x="700"/>
        <item x="691"/>
        <item x="473"/>
        <item x="4545"/>
        <item x="3344"/>
        <item x="2803"/>
        <item x="4041"/>
        <item x="699"/>
        <item x="475"/>
        <item x="441"/>
        <item x="695"/>
        <item x="4539"/>
        <item x="2843"/>
        <item x="443"/>
        <item x="2812"/>
        <item x="3965"/>
        <item x="702"/>
        <item x="446"/>
        <item x="692"/>
        <item x="4546"/>
        <item x="690"/>
        <item x="4540"/>
        <item x="4555"/>
        <item x="4553"/>
        <item x="4015"/>
        <item x="445"/>
        <item x="462"/>
        <item x="4023"/>
        <item x="4013"/>
        <item x="4689"/>
        <item x="476"/>
        <item x="2842"/>
        <item x="2134"/>
        <item x="4690"/>
        <item x="898"/>
        <item x="4542"/>
        <item x="4825"/>
        <item x="2806"/>
        <item x="694"/>
        <item x="4024"/>
        <item x="4017"/>
        <item x="4016"/>
        <item x="3341"/>
        <item x="4014"/>
        <item x="458"/>
        <item x="2811"/>
        <item x="461"/>
        <item x="2809"/>
        <item x="2810"/>
        <item x="693"/>
        <item x="4543"/>
        <item x="820"/>
        <item x="698"/>
        <item x="4018"/>
        <item x="463"/>
        <item x="3961"/>
        <item x="457"/>
        <item x="460"/>
        <item x="4686"/>
        <item x="2808"/>
        <item x="2807"/>
        <item x="480"/>
        <item x="459"/>
        <item x="448"/>
        <item x="4827"/>
        <item x="440"/>
        <item x="4537"/>
        <item x="4547"/>
        <item x="4685"/>
        <item x="456"/>
        <item x="701"/>
        <item x="4541"/>
        <item x="2800"/>
        <item x="436"/>
        <item x="4692"/>
        <item x="4828"/>
        <item x="703"/>
        <item x="4548"/>
        <item x="4021"/>
        <item x="696"/>
        <item x="3957"/>
        <item x="4812"/>
        <item x="4019"/>
        <item x="4022"/>
        <item x="447"/>
        <item x="4549"/>
        <item x="479"/>
        <item x="4550"/>
        <item x="434"/>
        <item x="2793"/>
        <item x="2790"/>
        <item x="2799"/>
        <item x="2792"/>
        <item x="2133"/>
        <item x="3342"/>
        <item x="4687"/>
        <item x="818"/>
        <item x="450"/>
        <item x="825"/>
        <item x="439"/>
        <item x="2789"/>
        <item x="435"/>
        <item x="3960"/>
        <item x="2798"/>
        <item x="4020"/>
        <item x="4810"/>
        <item x="3959"/>
        <item x="438"/>
        <item x="437"/>
        <item x="3340"/>
        <item x="2797"/>
        <item x="824"/>
        <item x="4538"/>
        <item x="449"/>
        <item x="2115"/>
        <item x="2781"/>
        <item x="819"/>
        <item x="2788"/>
        <item x="4536"/>
        <item x="2796"/>
        <item x="2795"/>
        <item x="3343"/>
        <item x="4811"/>
        <item x="4807"/>
        <item x="2120"/>
        <item x="823"/>
        <item x="2114"/>
        <item x="4824"/>
        <item x="2782"/>
        <item x="4808"/>
        <item x="2791"/>
        <item x="3958"/>
        <item x="821"/>
        <item x="455"/>
        <item x="2794"/>
        <item x="822"/>
        <item x="3339"/>
        <item x="427"/>
        <item x="697"/>
        <item x="2784"/>
        <item x="2787"/>
        <item x="4813"/>
        <item x="4025"/>
        <item x="428"/>
        <item x="433"/>
        <item x="817"/>
        <item x="2121"/>
        <item x="452"/>
        <item x="2783"/>
        <item x="2132"/>
        <item x="429"/>
        <item x="4535"/>
        <item x="2786"/>
        <item x="794"/>
        <item x="2116"/>
        <item x="4805"/>
        <item x="2785"/>
        <item x="4809"/>
        <item x="2780"/>
        <item x="3338"/>
        <item x="4823"/>
        <item x="4036"/>
        <item x="453"/>
        <item x="826"/>
        <item x="2129"/>
        <item x="4826"/>
        <item x="2128"/>
        <item x="2127"/>
        <item x="454"/>
        <item x="2130"/>
        <item x="2777"/>
        <item x="430"/>
        <item x="815"/>
        <item x="432"/>
        <item x="4806"/>
        <item x="2118"/>
        <item x="431"/>
        <item x="451"/>
        <item x="4822"/>
        <item x="2779"/>
        <item x="796"/>
        <item x="2776"/>
        <item x="4026"/>
        <item x="2119"/>
        <item x="4031"/>
        <item x="2117"/>
        <item x="421"/>
        <item x="2775"/>
        <item x="4820"/>
        <item x="2126"/>
        <item x="3337"/>
        <item x="2778"/>
        <item x="816"/>
        <item x="2131"/>
        <item x="795"/>
        <item x="829"/>
        <item x="827"/>
        <item x="806"/>
        <item x="3507"/>
        <item x="2774"/>
        <item x="425"/>
        <item x="2125"/>
        <item x="2123"/>
        <item x="797"/>
        <item x="4817"/>
        <item x="422"/>
        <item x="3333"/>
        <item x="807"/>
        <item x="3506"/>
        <item x="415"/>
        <item x="3336"/>
        <item x="413"/>
        <item x="3335"/>
        <item x="416"/>
        <item x="4819"/>
        <item x="423"/>
        <item x="4818"/>
        <item x="3334"/>
        <item x="3505"/>
        <item x="2124"/>
        <item x="2122"/>
        <item x="828"/>
        <item x="4028"/>
        <item x="4032"/>
        <item x="4821"/>
        <item x="2773"/>
        <item x="424"/>
        <item x="419"/>
        <item x="4034"/>
        <item x="793"/>
        <item x="3508"/>
        <item x="426"/>
        <item x="808"/>
        <item x="3332"/>
        <item x="420"/>
        <item x="3504"/>
        <item x="1633"/>
        <item x="2772"/>
        <item x="2857"/>
        <item x="395"/>
        <item x="414"/>
        <item x="4030"/>
        <item x="4815"/>
        <item x="397"/>
        <item x="4029"/>
        <item x="394"/>
        <item x="801"/>
        <item x="814"/>
        <item x="3774"/>
        <item x="2858"/>
        <item x="3331"/>
        <item x="412"/>
        <item x="417"/>
        <item x="3775"/>
        <item x="4027"/>
        <item x="4816"/>
        <item x="3503"/>
        <item x="3538"/>
        <item x="2856"/>
        <item x="3780"/>
        <item x="798"/>
        <item x="399"/>
        <item x="3776"/>
        <item x="418"/>
        <item x="3501"/>
        <item x="3779"/>
        <item x="3511"/>
        <item x="3510"/>
        <item x="3773"/>
        <item x="799"/>
        <item x="1634"/>
        <item x="3495"/>
        <item x="4814"/>
        <item x="3496"/>
        <item x="800"/>
        <item x="4033"/>
        <item x="3777"/>
        <item x="813"/>
        <item x="783"/>
        <item x="3502"/>
        <item x="396"/>
        <item x="3788"/>
        <item x="3490"/>
        <item x="3499"/>
        <item x="411"/>
        <item x="3512"/>
        <item x="3500"/>
        <item x="3790"/>
        <item x="802"/>
        <item x="3789"/>
        <item x="805"/>
        <item x="3498"/>
        <item x="812"/>
        <item x="3494"/>
        <item x="1632"/>
        <item x="3539"/>
        <item x="3778"/>
        <item x="3795"/>
        <item x="3794"/>
        <item x="792"/>
        <item x="3791"/>
        <item x="803"/>
        <item x="3492"/>
        <item x="3772"/>
        <item x="3493"/>
        <item x="3487"/>
        <item x="3536"/>
        <item x="3513"/>
        <item x="3509"/>
        <item x="3771"/>
        <item x="3497"/>
        <item x="2855"/>
        <item x="3491"/>
        <item x="3514"/>
        <item x="3489"/>
        <item x="3793"/>
        <item x="3531"/>
        <item x="811"/>
        <item x="791"/>
        <item x="3787"/>
        <item x="3792"/>
        <item x="2854"/>
        <item x="3781"/>
        <item x="3488"/>
        <item x="1636"/>
        <item x="4035"/>
        <item x="810"/>
        <item x="3537"/>
        <item x="804"/>
        <item x="2853"/>
        <item x="3525"/>
        <item x="3783"/>
        <item x="809"/>
        <item x="3784"/>
        <item x="1631"/>
        <item x="3540"/>
        <item x="784"/>
        <item x="3782"/>
        <item x="398"/>
        <item x="785"/>
        <item x="3786"/>
        <item x="3477"/>
        <item x="3515"/>
        <item x="789"/>
        <item x="3785"/>
        <item x="3480"/>
        <item x="3535"/>
        <item x="3533"/>
        <item x="790"/>
        <item x="3530"/>
        <item x="3526"/>
        <item x="3486"/>
        <item x="3534"/>
        <item x="3524"/>
        <item x="3532"/>
        <item x="3485"/>
        <item x="3812"/>
        <item x="3796"/>
        <item x="3516"/>
        <item x="3797"/>
        <item x="3476"/>
        <item x="3810"/>
        <item x="3479"/>
        <item x="3481"/>
        <item x="3811"/>
        <item x="3528"/>
        <item x="3813"/>
        <item x="3519"/>
        <item x="2852"/>
        <item x="3527"/>
        <item x="3478"/>
        <item x="3522"/>
        <item x="786"/>
        <item x="788"/>
        <item x="3755"/>
        <item x="1635"/>
        <item x="3475"/>
        <item x="3756"/>
        <item x="3483"/>
        <item x="3800"/>
        <item x="3484"/>
        <item x="1637"/>
        <item x="787"/>
        <item x="3482"/>
        <item x="1642"/>
        <item x="3799"/>
        <item x="3752"/>
        <item x="1639"/>
        <item x="3770"/>
        <item x="3798"/>
        <item x="3521"/>
        <item x="2851"/>
        <item x="1643"/>
        <item x="3809"/>
        <item x="404"/>
        <item x="3520"/>
        <item x="3801"/>
        <item x="406"/>
        <item x="3751"/>
        <item x="3517"/>
        <item x="3802"/>
        <item x="3529"/>
        <item x="3523"/>
        <item x="1640"/>
        <item x="3767"/>
        <item x="3808"/>
        <item x="1638"/>
        <item x="1645"/>
        <item x="3754"/>
        <item x="3750"/>
        <item x="3769"/>
        <item x="3518"/>
        <item x="400"/>
        <item x="3474"/>
        <item x="3803"/>
        <item x="3749"/>
        <item x="403"/>
        <item x="3768"/>
        <item x="3753"/>
        <item x="1641"/>
        <item x="410"/>
        <item x="3807"/>
        <item x="3748"/>
        <item x="3747"/>
        <item x="402"/>
        <item x="3804"/>
        <item x="3765"/>
        <item x="3758"/>
        <item x="3766"/>
        <item x="3473"/>
        <item x="1644"/>
        <item x="3764"/>
        <item x="3805"/>
        <item x="401"/>
        <item x="3757"/>
        <item x="3806"/>
        <item x="407"/>
        <item x="3759"/>
        <item x="782"/>
        <item x="3763"/>
        <item x="780"/>
        <item x="3882"/>
        <item x="778"/>
        <item x="3762"/>
        <item x="3761"/>
        <item x="3472"/>
        <item x="3760"/>
        <item x="405"/>
        <item x="3471"/>
        <item x="777"/>
        <item x="3883"/>
        <item x="409"/>
        <item x="1646"/>
        <item x="781"/>
        <item x="3881"/>
        <item x="3884"/>
        <item x="779"/>
        <item x="2850"/>
        <item x="408"/>
        <item x="3258"/>
        <item x="776"/>
        <item x="3257"/>
        <item x="770"/>
        <item x="1647"/>
        <item x="3880"/>
        <item x="3878"/>
        <item x="3814"/>
        <item x="3879"/>
        <item x="775"/>
        <item x="3886"/>
        <item x="3873"/>
        <item x="768"/>
        <item x="3877"/>
        <item x="771"/>
        <item x="3876"/>
        <item x="3874"/>
        <item x="3260"/>
        <item x="3885"/>
        <item x="774"/>
        <item x="1629"/>
        <item x="772"/>
        <item x="1627"/>
        <item x="1713"/>
        <item x="1630"/>
        <item x="3875"/>
        <item x="1628"/>
        <item x="3256"/>
        <item x="3872"/>
        <item x="3871"/>
        <item x="373"/>
        <item x="1714"/>
        <item x="769"/>
        <item x="773"/>
        <item x="372"/>
        <item x="3853"/>
        <item x="3870"/>
        <item x="3854"/>
        <item x="3858"/>
        <item x="3259"/>
        <item x="374"/>
        <item x="3158"/>
        <item x="375"/>
        <item x="3857"/>
        <item x="3859"/>
        <item x="3255"/>
        <item x="3816"/>
        <item x="3851"/>
        <item x="3843"/>
        <item x="3815"/>
        <item x="1715"/>
        <item x="3157"/>
        <item x="3162"/>
        <item x="3852"/>
        <item x="3844"/>
        <item x="3856"/>
        <item x="371"/>
        <item x="3845"/>
        <item x="3161"/>
        <item x="765"/>
        <item x="3842"/>
        <item x="3850"/>
        <item x="3869"/>
        <item x="3855"/>
        <item x="3865"/>
        <item x="3866"/>
        <item x="3864"/>
        <item x="3159"/>
        <item x="3849"/>
        <item x="3841"/>
        <item x="3191"/>
        <item x="3860"/>
        <item x="3867"/>
        <item x="3862"/>
        <item x="3861"/>
        <item x="3868"/>
        <item x="3160"/>
        <item x="3863"/>
        <item x="760"/>
        <item x="3254"/>
        <item x="376"/>
        <item x="3848"/>
        <item x="3163"/>
        <item x="1625"/>
        <item x="764"/>
        <item x="766"/>
        <item x="3839"/>
        <item x="3840"/>
        <item x="3253"/>
        <item x="3146"/>
        <item x="3236"/>
        <item x="3237"/>
        <item x="3149"/>
        <item x="3233"/>
        <item x="3145"/>
        <item x="3838"/>
        <item x="3956"/>
        <item x="3952"/>
        <item x="3837"/>
        <item x="1722"/>
        <item x="3235"/>
        <item x="3234"/>
        <item x="1615"/>
        <item x="3246"/>
        <item x="767"/>
        <item x="1626"/>
        <item x="3847"/>
        <item x="3156"/>
        <item x="1723"/>
        <item x="3953"/>
        <item x="1716"/>
        <item x="3955"/>
        <item x="370"/>
        <item x="3836"/>
        <item x="3147"/>
        <item x="3192"/>
        <item x="3846"/>
        <item x="3835"/>
        <item x="3232"/>
        <item x="3247"/>
        <item x="3951"/>
        <item x="3954"/>
        <item x="3238"/>
        <item x="3165"/>
        <item x="3148"/>
        <item x="136"/>
        <item x="1618"/>
        <item x="138"/>
        <item x="378"/>
        <item x="1721"/>
        <item x="3164"/>
        <item x="369"/>
        <item x="763"/>
        <item x="3140"/>
        <item x="1720"/>
        <item x="3245"/>
        <item x="3231"/>
        <item x="2978"/>
        <item x="3950"/>
        <item x="3834"/>
        <item x="135"/>
        <item x="3239"/>
        <item x="3144"/>
        <item x="3248"/>
        <item x="132"/>
        <item x="3949"/>
        <item x="1719"/>
        <item x="3230"/>
        <item x="1718"/>
        <item x="134"/>
        <item x="3153"/>
        <item x="3228"/>
        <item x="3227"/>
        <item x="2977"/>
        <item x="3252"/>
        <item x="3948"/>
        <item x="1746"/>
        <item x="3155"/>
        <item x="3923"/>
        <item x="762"/>
        <item x="131"/>
        <item x="3833"/>
        <item x="1612"/>
        <item x="2966"/>
        <item x="1745"/>
        <item x="3924"/>
        <item x="1717"/>
        <item x="366"/>
        <item x="3244"/>
        <item x="3175"/>
        <item x="761"/>
        <item x="2967"/>
        <item x="3150"/>
        <item x="3249"/>
        <item x="3141"/>
        <item x="2976"/>
        <item x="2968"/>
        <item x="3241"/>
        <item x="367"/>
        <item x="377"/>
        <item x="1747"/>
        <item x="1623"/>
        <item x="137"/>
        <item x="130"/>
        <item x="3947"/>
        <item x="1614"/>
        <item x="3240"/>
        <item x="133"/>
        <item x="3226"/>
        <item x="3201"/>
        <item x="3173"/>
        <item x="3242"/>
        <item x="368"/>
        <item x="3193"/>
        <item x="1737"/>
        <item x="3171"/>
        <item x="1624"/>
        <item x="3194"/>
        <item x="1749"/>
        <item x="3243"/>
        <item x="3250"/>
        <item x="120"/>
        <item x="118"/>
        <item x="3154"/>
        <item x="3229"/>
        <item x="2971"/>
        <item x="1750"/>
        <item x="3215"/>
        <item x="3151"/>
        <item x="2974"/>
        <item x="3946"/>
        <item x="3251"/>
        <item x="365"/>
        <item x="2969"/>
        <item x="2970"/>
        <item x="1738"/>
        <item x="3152"/>
        <item x="1739"/>
        <item x="1730"/>
        <item x="1731"/>
        <item x="3180"/>
        <item x="3178"/>
        <item x="387"/>
        <item x="3922"/>
        <item x="3225"/>
        <item x="3179"/>
        <item x="1622"/>
        <item x="3174"/>
        <item x="3138"/>
        <item x="1744"/>
        <item x="1740"/>
        <item x="1736"/>
        <item x="116"/>
        <item x="3214"/>
        <item x="3177"/>
        <item x="2980"/>
        <item x="3167"/>
        <item x="3921"/>
        <item x="1619"/>
        <item x="1733"/>
        <item x="3166"/>
        <item x="3200"/>
        <item x="117"/>
        <item x="1748"/>
        <item x="1753"/>
        <item x="2965"/>
        <item x="3139"/>
        <item x="3137"/>
        <item x="3181"/>
        <item x="393"/>
        <item x="1734"/>
        <item x="3929"/>
        <item x="3176"/>
        <item x="1729"/>
        <item x="1732"/>
        <item x="3172"/>
        <item x="388"/>
        <item x="1751"/>
        <item x="3195"/>
        <item x="1741"/>
        <item x="119"/>
        <item x="1617"/>
        <item x="3199"/>
        <item x="2979"/>
        <item x="1616"/>
        <item x="1754"/>
        <item x="121"/>
        <item x="1613"/>
        <item x="1725"/>
        <item x="2973"/>
        <item x="1724"/>
        <item x="3928"/>
        <item x="3216"/>
        <item x="1728"/>
        <item x="1755"/>
        <item x="2964"/>
        <item x="3170"/>
        <item x="2975"/>
        <item x="1743"/>
        <item x="3832"/>
        <item x="1742"/>
        <item x="1735"/>
        <item x="3223"/>
        <item x="3911"/>
        <item x="3925"/>
        <item x="3942"/>
        <item x="2972"/>
        <item x="3919"/>
        <item x="380"/>
        <item x="3224"/>
        <item x="3927"/>
        <item x="3217"/>
        <item x="3197"/>
        <item x="379"/>
        <item x="3142"/>
        <item x="1752"/>
        <item x="386"/>
        <item x="3218"/>
        <item x="1756"/>
        <item x="1727"/>
        <item x="3169"/>
        <item x="3209"/>
        <item x="3213"/>
        <item x="3941"/>
        <item x="3202"/>
        <item x="3168"/>
        <item x="512"/>
        <item x="3943"/>
        <item x="1726"/>
        <item x="3920"/>
        <item x="1620"/>
        <item x="511"/>
        <item x="3211"/>
        <item x="3831"/>
        <item x="123"/>
        <item x="1610"/>
        <item x="3196"/>
        <item x="3219"/>
        <item x="3945"/>
        <item x="124"/>
        <item x="392"/>
        <item x="1758"/>
        <item x="3212"/>
        <item x="381"/>
        <item x="3940"/>
        <item x="3912"/>
        <item x="122"/>
        <item x="1621"/>
        <item x="363"/>
        <item x="125"/>
        <item x="3930"/>
        <item x="3937"/>
        <item x="1757"/>
        <item x="3208"/>
        <item x="3222"/>
        <item x="3910"/>
        <item x="3143"/>
        <item x="391"/>
        <item x="1106"/>
        <item x="3122"/>
        <item x="3926"/>
        <item x="3220"/>
        <item x="3136"/>
        <item x="385"/>
        <item x="3221"/>
        <item x="3206"/>
        <item x="3939"/>
        <item x="3936"/>
        <item x="3918"/>
        <item x="129"/>
        <item x="3944"/>
        <item x="389"/>
        <item x="3916"/>
        <item x="3198"/>
        <item x="513"/>
        <item x="128"/>
        <item x="1759"/>
        <item x="3210"/>
        <item x="514"/>
        <item x="3913"/>
        <item x="3915"/>
        <item x="1103"/>
        <item x="3203"/>
        <item x="517"/>
        <item x="3182"/>
        <item x="516"/>
        <item x="3207"/>
        <item x="390"/>
        <item x="3938"/>
        <item x="3125"/>
        <item x="3935"/>
        <item x="382"/>
        <item x="383"/>
        <item x="3914"/>
        <item x="114"/>
        <item x="515"/>
        <item x="1102"/>
        <item x="3135"/>
        <item x="1105"/>
        <item x="3134"/>
        <item x="3830"/>
        <item x="3917"/>
        <item x="1104"/>
        <item x="364"/>
        <item x="3829"/>
        <item x="1760"/>
        <item x="518"/>
        <item x="1609"/>
        <item x="3205"/>
        <item x="384"/>
        <item x="687"/>
        <item x="3183"/>
        <item x="3931"/>
        <item x="1608"/>
        <item x="3127"/>
        <item x="3932"/>
        <item x="3934"/>
        <item x="3204"/>
        <item x="1101"/>
        <item x="3826"/>
        <item x="1761"/>
        <item x="3823"/>
        <item x="3124"/>
        <item x="126"/>
        <item x="1764"/>
        <item x="1763"/>
        <item x="1762"/>
        <item x="3827"/>
        <item x="1765"/>
        <item x="3822"/>
        <item x="3933"/>
        <item x="1100"/>
        <item x="3121"/>
        <item x="1766"/>
        <item x="3123"/>
        <item x="3828"/>
        <item x="3126"/>
        <item x="3190"/>
        <item x="1096"/>
        <item x="3820"/>
        <item x="1099"/>
        <item x="127"/>
        <item x="3909"/>
        <item x="1094"/>
        <item x="1611"/>
        <item x="3821"/>
        <item x="1092"/>
        <item x="3131"/>
        <item x="689"/>
        <item x="1767"/>
        <item x="1098"/>
        <item x="1768"/>
        <item x="1097"/>
        <item x="1095"/>
        <item x="111"/>
        <item x="3130"/>
        <item x="3188"/>
        <item x="362"/>
        <item x="509"/>
        <item x="3907"/>
        <item x="3908"/>
        <item x="1093"/>
        <item x="1771"/>
        <item x="1073"/>
        <item x="113"/>
        <item x="1769"/>
        <item x="3905"/>
        <item x="3187"/>
        <item x="1779"/>
        <item x="3818"/>
        <item x="3825"/>
        <item x="2963"/>
        <item x="1770"/>
        <item x="688"/>
        <item x="1091"/>
        <item x="3906"/>
        <item x="3133"/>
        <item x="3819"/>
        <item x="2958"/>
        <item x="3185"/>
        <item x="1772"/>
        <item x="681"/>
        <item x="685"/>
        <item x="3184"/>
        <item x="3824"/>
        <item x="2957"/>
        <item x="1773"/>
        <item x="3128"/>
        <item x="2961"/>
        <item x="2962"/>
        <item x="1777"/>
        <item x="1778"/>
        <item x="1780"/>
        <item x="112"/>
        <item x="683"/>
        <item x="1090"/>
        <item x="1775"/>
        <item x="1774"/>
        <item x="3904"/>
        <item x="519"/>
        <item x="686"/>
        <item x="1776"/>
        <item x="3132"/>
        <item x="1607"/>
        <item x="680"/>
        <item x="1072"/>
        <item x="2960"/>
        <item x="684"/>
        <item x="679"/>
        <item x="3903"/>
        <item x="1079"/>
        <item x="110"/>
        <item x="3189"/>
        <item x="682"/>
        <item x="3186"/>
        <item x="1071"/>
        <item x="1080"/>
        <item x="361"/>
        <item x="510"/>
        <item x="548"/>
        <item x="115"/>
        <item x="550"/>
        <item x="2959"/>
        <item x="360"/>
        <item x="2956"/>
        <item x="1074"/>
        <item x="2940"/>
        <item x="109"/>
        <item x="3817"/>
        <item x="3129"/>
        <item x="1606"/>
        <item x="520"/>
        <item x="1061"/>
        <item x="2955"/>
        <item x="1060"/>
        <item x="359"/>
        <item x="3902"/>
        <item x="521"/>
        <item x="1081"/>
        <item x="507"/>
        <item x="1062"/>
        <item x="1603"/>
        <item x="677"/>
        <item x="1058"/>
        <item x="508"/>
        <item x="1602"/>
        <item x="676"/>
        <item x="549"/>
        <item x="675"/>
        <item x="358"/>
        <item x="1076"/>
        <item x="1782"/>
        <item x="1063"/>
        <item x="1083"/>
        <item x="1059"/>
        <item x="2939"/>
        <item x="2941"/>
        <item x="108"/>
        <item x="93"/>
        <item x="522"/>
        <item x="1781"/>
        <item x="3898"/>
        <item x="1057"/>
        <item x="3901"/>
        <item x="1078"/>
        <item x="1054"/>
        <item x="673"/>
        <item x="678"/>
        <item x="107"/>
        <item x="506"/>
        <item x="3899"/>
        <item x="1084"/>
        <item x="523"/>
        <item x="1053"/>
        <item x="1085"/>
        <item x="1069"/>
        <item x="674"/>
        <item x="1070"/>
        <item x="1055"/>
        <item x="1056"/>
        <item x="1075"/>
        <item x="1046"/>
        <item x="3900"/>
        <item x="356"/>
        <item x="1077"/>
        <item x="671"/>
        <item x="2947"/>
        <item x="2944"/>
        <item x="3897"/>
        <item x="2953"/>
        <item x="1087"/>
        <item x="2943"/>
        <item x="2945"/>
        <item x="90"/>
        <item x="2950"/>
        <item x="2946"/>
        <item x="1605"/>
        <item x="2954"/>
        <item x="670"/>
        <item x="1086"/>
        <item x="1604"/>
        <item x="1082"/>
        <item x="2952"/>
        <item x="662"/>
        <item x="1088"/>
        <item x="661"/>
        <item x="92"/>
        <item x="2942"/>
        <item x="1050"/>
        <item x="1067"/>
        <item x="656"/>
        <item x="3896"/>
        <item x="1049"/>
        <item x="1048"/>
        <item x="1052"/>
        <item x="657"/>
        <item x="1042"/>
        <item x="1047"/>
        <item x="547"/>
        <item x="2948"/>
        <item x="1089"/>
        <item x="1039"/>
        <item x="672"/>
        <item x="1064"/>
        <item x="1038"/>
        <item x="2951"/>
        <item x="1041"/>
        <item x="1040"/>
        <item x="663"/>
        <item x="1043"/>
        <item x="1066"/>
        <item x="505"/>
        <item x="3892"/>
        <item x="534"/>
        <item x="357"/>
        <item x="1068"/>
        <item x="1051"/>
        <item x="2938"/>
        <item x="1065"/>
        <item x="3895"/>
        <item x="659"/>
        <item x="535"/>
        <item x="3891"/>
        <item x="3894"/>
        <item x="658"/>
        <item x="527"/>
        <item x="2949"/>
        <item x="3890"/>
        <item x="660"/>
        <item x="524"/>
        <item x="3887"/>
        <item x="530"/>
        <item x="536"/>
        <item x="2931"/>
        <item x="2930"/>
        <item x="1044"/>
        <item x="655"/>
        <item x="3893"/>
        <item x="1045"/>
        <item x="669"/>
        <item x="87"/>
        <item x="355"/>
        <item x="3888"/>
        <item x="665"/>
        <item x="86"/>
        <item x="3889"/>
        <item x="538"/>
        <item x="540"/>
        <item x="668"/>
        <item x="91"/>
        <item x="526"/>
        <item x="2933"/>
        <item x="542"/>
        <item x="525"/>
        <item x="84"/>
        <item x="537"/>
        <item x="541"/>
        <item x="664"/>
        <item x="95"/>
        <item x="94"/>
        <item x="88"/>
        <item x="486"/>
        <item x="85"/>
        <item x="539"/>
        <item x="96"/>
        <item x="2937"/>
        <item x="532"/>
        <item x="89"/>
        <item x="1601"/>
        <item x="533"/>
        <item x="2936"/>
        <item x="529"/>
        <item x="485"/>
        <item x="546"/>
        <item x="83"/>
        <item x="106"/>
        <item x="2929"/>
        <item x="2927"/>
        <item x="531"/>
        <item x="653"/>
        <item x="105"/>
        <item x="487"/>
        <item x="666"/>
        <item x="2932"/>
        <item x="652"/>
        <item x="354"/>
        <item x="2934"/>
        <item x="489"/>
        <item x="654"/>
        <item x="491"/>
        <item x="500"/>
        <item x="353"/>
        <item x="545"/>
        <item x="649"/>
        <item x="544"/>
        <item x="101"/>
        <item x="102"/>
        <item x="650"/>
        <item x="97"/>
        <item x="651"/>
        <item x="351"/>
        <item x="352"/>
        <item x="3048"/>
        <item x="2935"/>
        <item x="667"/>
        <item x="104"/>
        <item x="528"/>
        <item x="503"/>
        <item x="543"/>
        <item x="3047"/>
        <item x="350"/>
        <item x="98"/>
        <item x="498"/>
        <item x="99"/>
        <item x="3036"/>
        <item x="494"/>
        <item x="499"/>
        <item x="100"/>
        <item x="3046"/>
        <item x="490"/>
        <item x="3037"/>
        <item x="492"/>
        <item x="3038"/>
        <item x="488"/>
        <item x="643"/>
        <item x="482"/>
        <item x="483"/>
        <item x="501"/>
        <item x="502"/>
        <item x="497"/>
        <item x="1596"/>
        <item x="2928"/>
        <item x="493"/>
        <item x="484"/>
        <item x="645"/>
        <item x="3035"/>
        <item x="642"/>
        <item x="1600"/>
        <item x="3050"/>
        <item x="3039"/>
        <item x="3044"/>
        <item x="81"/>
        <item x="504"/>
        <item x="3040"/>
        <item x="3041"/>
        <item x="1587"/>
        <item x="496"/>
        <item x="103"/>
        <item x="1599"/>
        <item x="648"/>
        <item x="349"/>
        <item x="3049"/>
        <item x="641"/>
        <item x="495"/>
        <item x="1595"/>
        <item x="3045"/>
        <item x="3034"/>
        <item x="639"/>
        <item x="3043"/>
        <item x="347"/>
        <item x="80"/>
        <item x="3042"/>
        <item x="1592"/>
        <item x="348"/>
        <item x="1590"/>
        <item x="1598"/>
        <item x="647"/>
        <item x="640"/>
        <item x="82"/>
        <item x="638"/>
        <item x="1591"/>
        <item x="1584"/>
        <item x="1597"/>
        <item x="644"/>
        <item x="1589"/>
        <item x="1594"/>
        <item x="646"/>
        <item x="637"/>
        <item x="79"/>
        <item x="345"/>
        <item x="346"/>
        <item x="1593"/>
        <item x="342"/>
        <item x="78"/>
        <item x="1588"/>
        <item x="2926"/>
        <item x="1581"/>
        <item x="636"/>
        <item x="343"/>
        <item x="341"/>
        <item x="3033"/>
        <item x="344"/>
        <item x="77"/>
        <item x="3032"/>
        <item x="635"/>
        <item x="3031"/>
        <item x="76"/>
        <item x="3030"/>
        <item x="625"/>
        <item x="624"/>
        <item x="2922"/>
        <item x="1586"/>
        <item x="634"/>
        <item x="2920"/>
        <item x="630"/>
        <item x="627"/>
        <item x="3028"/>
        <item x="623"/>
        <item x="75"/>
        <item x="629"/>
        <item x="2913"/>
        <item x="628"/>
        <item x="626"/>
        <item x="633"/>
        <item x="3029"/>
        <item x="2515"/>
        <item x="2494"/>
        <item x="74"/>
        <item x="2919"/>
        <item x="632"/>
        <item x="2516"/>
        <item x="2923"/>
        <item x="2491"/>
        <item x="2911"/>
        <item x="621"/>
        <item x="1578"/>
        <item x="1238"/>
        <item x="3027"/>
        <item x="2490"/>
        <item x="1235"/>
        <item x="622"/>
        <item x="2492"/>
        <item x="2486"/>
        <item x="2493"/>
        <item x="2495"/>
        <item x="2489"/>
        <item x="2485"/>
        <item x="2921"/>
        <item x="2496"/>
        <item x="631"/>
        <item x="2514"/>
        <item x="2925"/>
        <item x="2513"/>
        <item x="2924"/>
        <item x="1239"/>
        <item x="1585"/>
        <item x="3026"/>
        <item x="2912"/>
        <item x="2487"/>
        <item x="3025"/>
        <item x="72"/>
        <item x="1237"/>
        <item x="1242"/>
        <item x="2512"/>
        <item x="1583"/>
        <item x="2488"/>
        <item x="1230"/>
        <item x="2482"/>
        <item x="73"/>
        <item x="2498"/>
        <item x="2511"/>
        <item x="2507"/>
        <item x="2497"/>
        <item x="2499"/>
        <item x="2509"/>
        <item x="2510"/>
        <item x="2483"/>
        <item x="2484"/>
        <item x="2508"/>
        <item x="2501"/>
        <item x="1582"/>
        <item x="2914"/>
        <item x="1233"/>
        <item x="3010"/>
        <item x="2481"/>
        <item x="2506"/>
        <item x="1234"/>
        <item x="2503"/>
        <item x="2500"/>
        <item x="2502"/>
        <item x="2504"/>
        <item x="2915"/>
        <item x="1236"/>
        <item x="2916"/>
        <item x="2505"/>
        <item x="1231"/>
        <item x="1580"/>
        <item x="2518"/>
        <item x="1240"/>
        <item x="1241"/>
        <item x="2917"/>
        <item x="3024"/>
        <item x="2517"/>
        <item x="1245"/>
        <item x="3022"/>
        <item x="71"/>
        <item x="2918"/>
        <item x="2480"/>
        <item x="3023"/>
        <item x="1232"/>
        <item x="3011"/>
        <item x="3009"/>
        <item x="3021"/>
        <item x="2479"/>
        <item x="70"/>
        <item x="2473"/>
        <item x="3020"/>
        <item x="1229"/>
        <item x="69"/>
        <item x="3014"/>
        <item x="1243"/>
        <item x="2478"/>
        <item x="2474"/>
        <item x="2477"/>
        <item x="3013"/>
        <item x="2475"/>
        <item x="1579"/>
        <item x="1244"/>
        <item x="2476"/>
        <item x="2472"/>
        <item x="3015"/>
        <item x="3017"/>
        <item x="3008"/>
        <item x="3016"/>
        <item x="3018"/>
        <item x="2470"/>
        <item x="3019"/>
        <item x="3012"/>
        <item x="2458"/>
        <item x="2469"/>
        <item x="2471"/>
        <item x="3001"/>
        <item x="2459"/>
        <item x="2467"/>
        <item x="3007"/>
        <item x="3000"/>
        <item x="2457"/>
        <item x="3003"/>
        <item x="2468"/>
        <item x="2465"/>
        <item x="2466"/>
        <item x="3006"/>
        <item x="2464"/>
        <item x="3002"/>
        <item x="2999"/>
        <item x="2461"/>
        <item x="2463"/>
        <item x="3004"/>
        <item x="2460"/>
        <item x="3005"/>
        <item x="2462"/>
        <item x="2998"/>
        <item x="1228"/>
        <item x="1227"/>
        <item x="2450"/>
        <item x="2449"/>
        <item x="2451"/>
        <item x="1225"/>
        <item x="1226"/>
        <item x="2452"/>
        <item x="1210"/>
        <item x="1211"/>
        <item x="1208"/>
        <item x="1224"/>
        <item x="2456"/>
        <item x="2455"/>
        <item x="2454"/>
        <item x="2453"/>
        <item x="2997"/>
        <item x="1209"/>
        <item x="1201"/>
        <item x="1205"/>
        <item x="1203"/>
        <item x="1221"/>
        <item x="1218"/>
        <item x="1216"/>
        <item x="1223"/>
        <item x="1204"/>
        <item x="1206"/>
        <item x="1220"/>
        <item x="1202"/>
        <item x="1200"/>
        <item x="1207"/>
        <item x="1217"/>
        <item x="1219"/>
        <item x="1215"/>
        <item x="2983"/>
        <item x="1212"/>
        <item x="1214"/>
        <item x="2996"/>
        <item x="1222"/>
        <item x="1199"/>
        <item x="2981"/>
        <item x="2982"/>
        <item x="2984"/>
        <item x="2986"/>
        <item x="1213"/>
        <item x="2985"/>
        <item x="2987"/>
        <item x="2988"/>
        <item x="2992"/>
        <item x="1198"/>
        <item x="3051"/>
        <item x="2993"/>
        <item x="2990"/>
        <item x="3054"/>
        <item x="2994"/>
        <item x="3052"/>
        <item x="3053"/>
        <item x="1197"/>
        <item x="2995"/>
        <item x="2991"/>
        <item x="1196"/>
        <item x="2989"/>
        <item x="1194"/>
        <item x="1186"/>
        <item x="1193"/>
        <item x="3056"/>
        <item x="3055"/>
        <item x="1191"/>
        <item x="1195"/>
        <item x="1185"/>
        <item x="3057"/>
        <item x="1188"/>
        <item x="1192"/>
        <item x="1190"/>
        <item x="1184"/>
        <item x="3061"/>
        <item x="3063"/>
        <item x="3060"/>
        <item x="3058"/>
        <item x="1187"/>
        <item x="3070"/>
        <item x="3068"/>
        <item x="3062"/>
        <item x="1189"/>
        <item x="3075"/>
        <item x="3069"/>
        <item x="3064"/>
        <item x="3065"/>
        <item x="3071"/>
        <item x="3066"/>
        <item x="3076"/>
        <item x="1183"/>
        <item x="3067"/>
        <item x="3074"/>
        <item x="3059"/>
        <item x="3072"/>
        <item x="3077"/>
        <item x="1182"/>
        <item x="1181"/>
        <item x="3073"/>
        <item x="3078"/>
        <item x="3079"/>
        <item x="3080"/>
        <item x="3083"/>
        <item x="1180"/>
        <item x="3084"/>
        <item x="1177"/>
        <item x="3085"/>
        <item x="3081"/>
        <item x="3082"/>
        <item x="3086"/>
        <item x="1176"/>
        <item x="3087"/>
        <item x="1179"/>
        <item x="3088"/>
        <item x="1178"/>
        <item x="3089"/>
        <item x="3091"/>
        <item x="3090"/>
        <item x="3092"/>
        <item x="3093"/>
        <item x="3094"/>
        <item x="3095"/>
        <item x="3096"/>
        <item x="3097"/>
        <item x="3101"/>
        <item x="3100"/>
        <item x="3098"/>
        <item x="3111"/>
        <item x="3411"/>
        <item x="3112"/>
        <item x="3103"/>
        <item x="3110"/>
        <item x="3437"/>
        <item x="3099"/>
        <item x="3113"/>
        <item x="3102"/>
        <item x="3109"/>
        <item x="3117"/>
        <item x="3114"/>
        <item x="3115"/>
        <item x="3435"/>
        <item x="3104"/>
        <item x="3120"/>
        <item x="3410"/>
        <item x="3433"/>
        <item x="3118"/>
        <item x="3436"/>
        <item x="3116"/>
        <item x="3426"/>
        <item x="3432"/>
        <item x="3412"/>
        <item x="3417"/>
        <item x="3119"/>
        <item x="3416"/>
        <item x="3108"/>
        <item x="3414"/>
        <item x="3105"/>
        <item x="3430"/>
        <item x="3425"/>
        <item x="3106"/>
        <item x="3413"/>
        <item x="3434"/>
        <item x="3429"/>
        <item x="3107"/>
        <item x="3418"/>
        <item x="3415"/>
        <item x="3428"/>
        <item x="3423"/>
        <item x="3427"/>
        <item x="3438"/>
        <item x="3431"/>
        <item x="3409"/>
        <item x="3419"/>
        <item x="3424"/>
        <item x="3408"/>
        <item x="1507"/>
        <item x="3407"/>
        <item x="3406"/>
        <item x="1505"/>
        <item x="3422"/>
        <item x="3421"/>
        <item x="3405"/>
        <item x="3404"/>
        <item x="1504"/>
        <item x="1491"/>
        <item x="3420"/>
        <item x="1492"/>
        <item x="1494"/>
        <item x="1493"/>
        <item x="3403"/>
        <item x="1506"/>
        <item x="1499"/>
        <item x="1503"/>
        <item x="3402"/>
        <item x="1501"/>
        <item x="3439"/>
        <item x="1497"/>
        <item x="3401"/>
        <item x="1495"/>
        <item x="1498"/>
        <item x="1500"/>
        <item x="3470"/>
        <item x="1496"/>
        <item x="3443"/>
        <item x="1502"/>
        <item x="3442"/>
        <item x="3444"/>
        <item x="3440"/>
        <item x="3441"/>
        <item x="3456"/>
        <item x="3459"/>
        <item x="3457"/>
        <item x="3466"/>
        <item x="1575"/>
        <item x="3460"/>
        <item x="3465"/>
        <item x="3454"/>
        <item x="3467"/>
        <item x="3469"/>
        <item x="3468"/>
        <item x="3461"/>
        <item x="3462"/>
        <item x="3455"/>
        <item x="3458"/>
        <item x="3463"/>
        <item x="3453"/>
        <item x="1574"/>
        <item x="3464"/>
        <item x="3450"/>
        <item x="3446"/>
        <item x="3447"/>
        <item x="3445"/>
        <item x="1489"/>
        <item x="1562"/>
        <item x="3452"/>
        <item x="1561"/>
        <item x="1563"/>
        <item x="1564"/>
        <item x="1573"/>
        <item x="1569"/>
        <item x="1576"/>
        <item x="3451"/>
        <item x="3449"/>
        <item x="1487"/>
        <item x="1488"/>
        <item x="3448"/>
        <item x="1474"/>
        <item x="1490"/>
        <item x="1471"/>
        <item x="1473"/>
        <item x="1567"/>
        <item x="1571"/>
        <item x="1483"/>
        <item x="1475"/>
        <item x="1568"/>
        <item x="1470"/>
        <item x="1570"/>
        <item x="1486"/>
        <item x="1479"/>
        <item x="1477"/>
        <item x="1565"/>
        <item x="1572"/>
        <item x="1476"/>
        <item x="1472"/>
        <item x="1480"/>
        <item x="1566"/>
        <item x="1478"/>
        <item x="1469"/>
        <item x="1485"/>
        <item x="1468"/>
        <item x="1481"/>
        <item x="1482"/>
        <item x="1467"/>
        <item x="1484"/>
        <item x="1462"/>
        <item x="1466"/>
        <item x="1465"/>
        <item x="1544"/>
        <item x="1559"/>
        <item x="1541"/>
        <item x="1545"/>
        <item x="1543"/>
        <item x="1463"/>
        <item x="1557"/>
        <item x="1540"/>
        <item x="1558"/>
        <item x="1464"/>
        <item x="1549"/>
        <item x="1560"/>
        <item x="1546"/>
        <item x="1542"/>
        <item x="1547"/>
        <item x="1553"/>
        <item x="1548"/>
        <item x="1556"/>
        <item x="1550"/>
        <item x="1539"/>
        <item x="1555"/>
        <item x="1538"/>
        <item x="1461"/>
        <item x="1551"/>
        <item x="1537"/>
        <item x="1459"/>
        <item x="1552"/>
        <item x="1460"/>
        <item x="1554"/>
        <item x="1532"/>
        <item x="1536"/>
        <item x="1458"/>
        <item x="1456"/>
        <item x="1535"/>
        <item x="1457"/>
        <item x="1533"/>
        <item x="1455"/>
        <item x="1534"/>
        <item x="1454"/>
        <item x="1531"/>
        <item x="1529"/>
        <item x="1453"/>
        <item x="1530"/>
        <item x="1452"/>
        <item x="1577"/>
        <item x="1528"/>
        <item x="1526"/>
        <item x="1527"/>
        <item x="1525"/>
        <item x="1450"/>
        <item x="1447"/>
        <item x="1524"/>
        <item x="1449"/>
        <item x="1448"/>
        <item x="1451"/>
        <item x="1523"/>
        <item x="1446"/>
        <item x="1445"/>
        <item x="1522"/>
        <item x="1442"/>
        <item x="1443"/>
        <item x="1444"/>
        <item x="1441"/>
        <item x="1520"/>
        <item x="1517"/>
        <item x="1440"/>
        <item x="1519"/>
        <item x="1518"/>
        <item x="1439"/>
        <item x="1521"/>
        <item x="1438"/>
        <item x="1516"/>
        <item x="1515"/>
        <item x="1512"/>
        <item x="1513"/>
        <item x="1514"/>
        <item x="1511"/>
        <item x="1434"/>
        <item x="1437"/>
        <item x="1510"/>
        <item x="1435"/>
        <item x="1509"/>
        <item x="1429"/>
        <item x="1433"/>
        <item x="1427"/>
        <item x="1431"/>
        <item x="1423"/>
        <item x="1508"/>
        <item x="1430"/>
        <item x="1422"/>
        <item x="1428"/>
        <item x="1424"/>
        <item x="1425"/>
        <item x="1432"/>
        <item x="1426"/>
        <item x="1436"/>
        <item x="1421"/>
        <item x="1419"/>
        <item x="1403"/>
        <item x="1420"/>
        <item x="1402"/>
        <item x="1417"/>
        <item x="1418"/>
        <item x="1404"/>
        <item x="1416"/>
        <item x="1401"/>
        <item x="1400"/>
        <item x="1410"/>
        <item x="1413"/>
        <item x="1408"/>
        <item x="1415"/>
        <item x="1405"/>
        <item x="1409"/>
        <item x="1407"/>
        <item x="1406"/>
        <item x="1411"/>
        <item x="1412"/>
        <item x="1399"/>
        <item x="1398"/>
        <item x="1414"/>
        <item x="1397"/>
        <item x="1392"/>
        <item x="1393"/>
        <item x="1395"/>
        <item x="1396"/>
        <item x="1394"/>
        <item x="1391"/>
        <item x="5079"/>
        <item x="5067"/>
        <item x="5078"/>
        <item x="5081"/>
        <item x="1390"/>
        <item x="1389"/>
        <item x="5073"/>
        <item x="5077"/>
        <item x="5068"/>
        <item x="5071"/>
        <item x="5066"/>
        <item x="5074"/>
        <item x="5070"/>
        <item x="5069"/>
        <item x="5072"/>
        <item x="5075"/>
        <item x="5076"/>
        <item x="1388"/>
        <item x="5065"/>
        <item x="1386"/>
        <item x="5080"/>
        <item x="1387"/>
        <item x="1385"/>
        <item x="1384"/>
        <item x="1383"/>
        <item x="1382"/>
        <item x="1378"/>
        <item x="1380"/>
        <item x="1377"/>
        <item x="1379"/>
        <item x="1381"/>
        <item x="1376"/>
        <item x="5064"/>
        <item x="5063"/>
        <item x="4131"/>
        <item x="4119"/>
        <item x="5062"/>
        <item x="5061"/>
        <item x="4120"/>
        <item x="1375"/>
        <item x="1373"/>
        <item x="4130"/>
        <item x="4129"/>
        <item x="4132"/>
        <item x="1374"/>
        <item x="4127"/>
        <item x="4121"/>
        <item x="4118"/>
        <item x="4122"/>
        <item x="4123"/>
        <item x="1372"/>
        <item x="4128"/>
        <item x="5060"/>
        <item x="4124"/>
        <item x="4126"/>
        <item x="4115"/>
        <item x="5048"/>
        <item x="5047"/>
        <item x="5057"/>
        <item x="5059"/>
        <item x="4113"/>
        <item x="5046"/>
        <item x="4117"/>
        <item x="4112"/>
        <item x="4116"/>
        <item x="5054"/>
        <item x="5049"/>
        <item x="4114"/>
        <item x="5053"/>
        <item x="4125"/>
        <item x="4111"/>
        <item x="1371"/>
        <item x="5052"/>
        <item x="5044"/>
        <item x="1369"/>
        <item x="5055"/>
        <item x="5056"/>
        <item x="4136"/>
        <item x="5051"/>
        <item x="4110"/>
        <item x="4105"/>
        <item x="4135"/>
        <item x="1368"/>
        <item x="5045"/>
        <item x="4133"/>
        <item x="4978"/>
        <item x="5050"/>
        <item x="1370"/>
        <item x="4137"/>
        <item x="5058"/>
        <item x="4134"/>
        <item x="4104"/>
        <item x="4966"/>
        <item x="4109"/>
        <item x="4977"/>
        <item x="4106"/>
        <item x="4108"/>
        <item x="4976"/>
        <item x="4107"/>
        <item x="5041"/>
        <item x="4965"/>
        <item x="4967"/>
        <item x="4974"/>
        <item x="5043"/>
        <item x="4975"/>
        <item x="4979"/>
        <item x="5042"/>
        <item x="4098"/>
        <item x="4100"/>
        <item x="4101"/>
        <item x="4138"/>
        <item x="4099"/>
        <item x="4968"/>
        <item x="4161"/>
        <item x="4969"/>
        <item x="4102"/>
        <item x="4096"/>
        <item x="4962"/>
        <item x="4160"/>
        <item x="4970"/>
        <item x="4973"/>
        <item x="4162"/>
        <item x="4097"/>
        <item x="4103"/>
        <item x="4971"/>
        <item x="4159"/>
        <item x="4164"/>
        <item x="4960"/>
        <item x="4095"/>
        <item x="4972"/>
        <item x="4952"/>
        <item x="5040"/>
        <item x="4964"/>
        <item x="4959"/>
        <item x="4963"/>
        <item x="4155"/>
        <item x="4961"/>
        <item x="5037"/>
        <item x="4951"/>
        <item x="4153"/>
        <item x="4154"/>
        <item x="4157"/>
        <item x="4958"/>
        <item x="4156"/>
        <item x="4150"/>
        <item x="5039"/>
        <item x="5036"/>
        <item x="4139"/>
        <item x="4957"/>
        <item x="4158"/>
        <item x="4982"/>
        <item x="4149"/>
        <item x="4954"/>
        <item x="4148"/>
        <item x="4953"/>
        <item x="4140"/>
        <item x="4983"/>
        <item x="4151"/>
        <item x="4152"/>
        <item x="4956"/>
        <item x="4141"/>
        <item x="4980"/>
        <item x="4942"/>
        <item x="5038"/>
        <item x="4147"/>
        <item x="4163"/>
        <item x="4947"/>
        <item x="4943"/>
        <item x="4981"/>
        <item x="4945"/>
        <item x="4144"/>
        <item x="4946"/>
        <item x="4145"/>
        <item x="4984"/>
        <item x="4950"/>
        <item x="4955"/>
        <item x="4948"/>
        <item x="4142"/>
        <item x="4143"/>
        <item x="4944"/>
        <item x="4949"/>
        <item x="4146"/>
        <item x="4985"/>
        <item x="5035"/>
        <item x="5008"/>
        <item x="5007"/>
        <item x="4988"/>
        <item x="5009"/>
        <item x="4986"/>
        <item x="4987"/>
        <item x="5034"/>
        <item x="5006"/>
        <item x="5033"/>
        <item x="4989"/>
        <item x="5002"/>
        <item x="5011"/>
        <item x="5001"/>
        <item x="4990"/>
        <item x="5000"/>
        <item x="5005"/>
        <item x="5003"/>
        <item x="5004"/>
        <item x="4996"/>
        <item x="4997"/>
        <item x="4991"/>
        <item x="4994"/>
        <item x="4992"/>
        <item x="4999"/>
        <item x="4995"/>
        <item x="5032"/>
        <item x="4998"/>
        <item x="5030"/>
        <item x="4993"/>
        <item x="5010"/>
        <item x="5031"/>
        <item x="5029"/>
        <item x="5028"/>
        <item x="5027"/>
        <item x="5026"/>
        <item x="5021"/>
        <item x="5022"/>
        <item x="5024"/>
        <item x="5025"/>
        <item x="5023"/>
        <item x="5020"/>
        <item x="5018"/>
        <item x="5019"/>
        <item x="5017"/>
        <item x="5016"/>
        <item x="5015"/>
        <item x="5014"/>
        <item x="5013"/>
        <item x="5012"/>
        <item x="4671"/>
        <item x="4672"/>
        <item x="4938"/>
        <item x="4670"/>
        <item x="4939"/>
        <item x="4674"/>
        <item x="4660"/>
        <item x="4937"/>
        <item x="4669"/>
        <item x="4664"/>
        <item x="4666"/>
        <item x="4665"/>
        <item x="4667"/>
        <item x="4668"/>
        <item x="4663"/>
        <item x="4659"/>
        <item x="4941"/>
        <item x="4927"/>
        <item x="4661"/>
        <item x="4931"/>
        <item x="4936"/>
        <item x="4662"/>
        <item x="4933"/>
        <item x="4932"/>
        <item x="4930"/>
        <item x="4926"/>
        <item x="4641"/>
        <item x="4934"/>
        <item x="4658"/>
        <item x="4935"/>
        <item x="4928"/>
        <item x="4929"/>
        <item x="4640"/>
        <item x="4908"/>
        <item x="4639"/>
        <item x="4925"/>
        <item x="4673"/>
        <item x="4907"/>
        <item x="4906"/>
        <item x="4642"/>
        <item x="4637"/>
        <item x="4940"/>
        <item x="4909"/>
        <item x="4638"/>
        <item x="4873"/>
        <item x="4872"/>
        <item x="4646"/>
        <item x="4645"/>
        <item x="4647"/>
        <item x="4629"/>
        <item x="4634"/>
        <item x="4913"/>
        <item x="4636"/>
        <item x="4912"/>
        <item x="4644"/>
        <item x="4630"/>
        <item x="4643"/>
        <item x="4914"/>
        <item x="4635"/>
        <item x="4876"/>
        <item x="4657"/>
        <item x="4874"/>
        <item x="4881"/>
        <item x="4911"/>
        <item x="4633"/>
        <item x="4910"/>
        <item x="4875"/>
        <item x="4880"/>
        <item x="4656"/>
        <item x="4654"/>
        <item x="4632"/>
        <item x="4924"/>
        <item x="4655"/>
        <item x="4648"/>
        <item x="4631"/>
        <item x="4877"/>
        <item x="4923"/>
        <item x="4921"/>
        <item x="4922"/>
        <item x="4650"/>
        <item x="4878"/>
        <item x="4653"/>
        <item x="4915"/>
        <item x="4879"/>
        <item x="4652"/>
        <item x="4628"/>
        <item x="4649"/>
        <item x="4917"/>
        <item x="4920"/>
        <item x="4651"/>
        <item x="4919"/>
        <item x="4916"/>
        <item x="4882"/>
        <item x="4918"/>
        <item x="4627"/>
        <item x="4626"/>
        <item x="4625"/>
        <item x="4883"/>
        <item x="4623"/>
        <item x="4884"/>
        <item x="4885"/>
        <item x="4624"/>
        <item x="4622"/>
        <item x="4887"/>
        <item x="4886"/>
        <item x="4888"/>
        <item x="4621"/>
        <item x="4889"/>
        <item x="4620"/>
        <item x="4890"/>
        <item x="4615"/>
        <item x="4619"/>
        <item x="4614"/>
        <item x="4617"/>
        <item x="4891"/>
        <item x="4616"/>
        <item x="4895"/>
        <item x="4896"/>
        <item x="4618"/>
        <item x="4893"/>
        <item x="4894"/>
        <item x="4892"/>
        <item x="4613"/>
        <item x="4897"/>
        <item x="4611"/>
        <item x="4610"/>
        <item x="4612"/>
        <item x="4899"/>
        <item x="4609"/>
        <item x="4900"/>
        <item x="4608"/>
        <item x="4898"/>
        <item x="4901"/>
        <item x="4902"/>
        <item x="4605"/>
        <item x="4606"/>
        <item x="4607"/>
        <item x="4905"/>
        <item x="4904"/>
        <item x="4903"/>
        <item x="481"/>
      </items>
    </pivotField>
    <pivotField showAll="0" defaultSubtotal="0">
      <items count="2088">
        <item x="1183"/>
        <item x="1881"/>
        <item x="2016"/>
        <item x="2061"/>
        <item x="716"/>
        <item x="710"/>
        <item x="2024"/>
        <item x="713"/>
        <item x="1243"/>
        <item x="551"/>
        <item x="2022"/>
        <item x="2033"/>
        <item x="1875"/>
        <item x="653"/>
        <item x="686"/>
        <item x="1272"/>
        <item x="1207"/>
        <item x="1711"/>
        <item x="719"/>
        <item x="2038"/>
        <item x="1239"/>
        <item x="2055"/>
        <item x="635"/>
        <item x="509"/>
        <item x="701"/>
        <item x="1716"/>
        <item x="779"/>
        <item x="2011"/>
        <item x="668"/>
        <item x="1886"/>
        <item x="34"/>
        <item x="319"/>
        <item x="361"/>
        <item x="1435"/>
        <item x="1436"/>
        <item x="1275"/>
        <item x="1727"/>
        <item x="58"/>
        <item x="1247"/>
        <item x="621"/>
        <item x="1216"/>
        <item x="542"/>
        <item x="728"/>
        <item x="2046"/>
        <item x="1266"/>
        <item x="2047"/>
        <item x="1124"/>
        <item x="1441"/>
        <item x="1045"/>
        <item x="2040"/>
        <item x="1276"/>
        <item x="1265"/>
        <item x="1714"/>
        <item x="1450"/>
        <item x="1044"/>
        <item x="1052"/>
        <item x="1738"/>
        <item x="771"/>
        <item x="1284"/>
        <item x="1225"/>
        <item x="2066"/>
        <item x="1290"/>
        <item x="663"/>
        <item x="40"/>
        <item x="683"/>
        <item x="650"/>
        <item x="1737"/>
        <item x="1258"/>
        <item x="1332"/>
        <item x="1432"/>
        <item x="1885"/>
        <item x="55"/>
        <item x="1717"/>
        <item x="1687"/>
        <item x="1327"/>
        <item x="1430"/>
        <item x="1620"/>
        <item x="1448"/>
        <item x="1305"/>
        <item x="46"/>
        <item x="1269"/>
        <item x="1227"/>
        <item x="1256"/>
        <item x="1721"/>
        <item x="1899"/>
        <item x="61"/>
        <item x="1205"/>
        <item x="1434"/>
        <item x="735"/>
        <item x="1289"/>
        <item x="612"/>
        <item x="304"/>
        <item x="43"/>
        <item x="2064"/>
        <item x="724"/>
        <item x="53"/>
        <item x="241"/>
        <item x="696"/>
        <item x="513"/>
        <item x="1298"/>
        <item x="1924"/>
        <item x="256"/>
        <item x="656"/>
        <item x="1979"/>
        <item x="772"/>
        <item x="368"/>
        <item x="1288"/>
        <item x="1720"/>
        <item x="1341"/>
        <item x="1331"/>
        <item x="1292"/>
        <item x="37"/>
        <item x="770"/>
        <item x="250"/>
        <item x="1282"/>
        <item x="1437"/>
        <item x="165"/>
        <item x="1144"/>
        <item x="1599"/>
        <item x="2029"/>
        <item x="1286"/>
        <item x="1224"/>
        <item x="933"/>
        <item x="1444"/>
        <item x="1572"/>
        <item x="689"/>
        <item x="1233"/>
        <item x="559"/>
        <item x="557"/>
        <item x="49"/>
        <item x="554"/>
        <item x="236"/>
        <item x="1968"/>
        <item x="1237"/>
        <item x="1270"/>
        <item x="2023"/>
        <item x="1296"/>
        <item x="638"/>
        <item x="63"/>
        <item x="491"/>
        <item x="383"/>
        <item x="1335"/>
        <item x="299"/>
        <item x="1043"/>
        <item x="1295"/>
        <item x="1337"/>
        <item x="1271"/>
        <item x="522"/>
        <item x="173"/>
        <item x="1342"/>
        <item x="2034"/>
        <item x="1429"/>
        <item x="734"/>
        <item x="1308"/>
        <item x="1319"/>
        <item x="1051"/>
        <item x="247"/>
        <item x="233"/>
        <item x="365"/>
        <item x="1294"/>
        <item x="196"/>
        <item x="378"/>
        <item x="1283"/>
        <item x="199"/>
        <item x="260"/>
        <item x="1684"/>
        <item x="190"/>
        <item x="1920"/>
        <item x="1208"/>
        <item x="202"/>
        <item x="2050"/>
        <item x="1693"/>
        <item x="1221"/>
        <item x="442"/>
        <item x="426"/>
        <item x="2025"/>
        <item x="1776"/>
        <item x="179"/>
        <item x="1346"/>
        <item x="1681"/>
        <item x="1334"/>
        <item x="423"/>
        <item x="1974"/>
        <item x="1725"/>
        <item x="1700"/>
        <item x="1410"/>
        <item x="1143"/>
        <item x="568"/>
        <item x="1740"/>
        <item x="570"/>
        <item x="1856"/>
        <item x="1240"/>
        <item x="517"/>
        <item x="186"/>
        <item x="371"/>
        <item x="1594"/>
        <item x="1929"/>
        <item x="1726"/>
        <item x="1998"/>
        <item x="1355"/>
        <item x="326"/>
        <item x="1255"/>
        <item x="313"/>
        <item x="1914"/>
        <item x="259"/>
        <item x="1330"/>
        <item x="1325"/>
        <item x="1544"/>
        <item x="1470"/>
        <item x="334"/>
        <item x="1568"/>
        <item x="1234"/>
        <item x="366"/>
        <item x="769"/>
        <item x="698"/>
        <item x="1300"/>
        <item x="1273"/>
        <item x="1801"/>
        <item x="1810"/>
        <item x="1848"/>
        <item x="183"/>
        <item x="238"/>
        <item x="380"/>
        <item x="928"/>
        <item x="1274"/>
        <item x="487"/>
        <item x="1984"/>
        <item x="1458"/>
        <item x="1654"/>
        <item x="1943"/>
        <item x="488"/>
        <item x="523"/>
        <item x="1918"/>
        <item x="1757"/>
        <item x="1962"/>
        <item x="1174"/>
        <item x="301"/>
        <item x="333"/>
        <item x="372"/>
        <item x="239"/>
        <item x="1425"/>
        <item x="671"/>
        <item x="2049"/>
        <item x="295"/>
        <item x="1662"/>
        <item x="942"/>
        <item x="1573"/>
        <item x="742"/>
        <item x="499"/>
        <item x="230"/>
        <item x="1398"/>
        <item x="1129"/>
        <item x="1631"/>
        <item x="338"/>
        <item x="1967"/>
        <item x="666"/>
        <item x="1913"/>
        <item x="1416"/>
        <item x="1665"/>
        <item x="1297"/>
        <item x="1166"/>
        <item x="2027"/>
        <item x="1938"/>
        <item x="1735"/>
        <item x="935"/>
        <item x="1820"/>
        <item x="330"/>
        <item x="1861"/>
        <item x="1814"/>
        <item x="704"/>
        <item x="1870"/>
        <item x="1804"/>
        <item x="623"/>
        <item x="1349"/>
        <item x="1512"/>
        <item x="1063"/>
        <item x="458"/>
        <item x="1590"/>
        <item x="1066"/>
        <item x="56"/>
        <item x="1705"/>
        <item x="1383"/>
        <item x="1433"/>
        <item x="843"/>
        <item x="854"/>
        <item x="370"/>
        <item x="1806"/>
        <item x="1467"/>
        <item x="385"/>
        <item x="832"/>
        <item x="1461"/>
        <item x="790"/>
        <item x="1418"/>
        <item x="1574"/>
        <item x="1854"/>
        <item x="1476"/>
        <item x="778"/>
        <item x="795"/>
        <item x="1808"/>
        <item x="1634"/>
        <item x="1321"/>
        <item x="793"/>
        <item x="1214"/>
        <item x="432"/>
        <item x="485"/>
        <item x="1481"/>
        <item x="987"/>
        <item x="1236"/>
        <item x="424"/>
        <item x="248"/>
        <item x="927"/>
        <item x="556"/>
        <item x="1152"/>
        <item x="459"/>
        <item x="340"/>
        <item x="1209"/>
        <item x="1798"/>
        <item x="1228"/>
        <item x="1858"/>
        <item x="1708"/>
        <item x="510"/>
        <item x="1628"/>
        <item x="60"/>
        <item x="930"/>
        <item x="2044"/>
        <item x="1057"/>
        <item x="1333"/>
        <item x="1792"/>
        <item x="302"/>
        <item x="573"/>
        <item x="1685"/>
        <item x="1692"/>
        <item x="1399"/>
        <item x="833"/>
        <item x="699"/>
        <item x="786"/>
        <item x="564"/>
        <item x="617"/>
        <item x="1195"/>
        <item x="1235"/>
        <item x="1821"/>
        <item x="1812"/>
        <item x="1850"/>
        <item x="219"/>
        <item x="1723"/>
        <item x="1551"/>
        <item x="1369"/>
        <item x="1190"/>
        <item x="648"/>
        <item x="1391"/>
        <item x="983"/>
        <item x="1358"/>
        <item x="245"/>
        <item x="205"/>
        <item x="52"/>
        <item x="1916"/>
        <item x="721"/>
        <item x="1803"/>
        <item x="1571"/>
        <item x="603"/>
        <item x="1363"/>
        <item x="1852"/>
        <item x="201"/>
        <item x="781"/>
        <item x="1602"/>
        <item x="1765"/>
        <item x="447"/>
        <item x="1934"/>
        <item x="820"/>
        <item x="1588"/>
        <item x="1824"/>
        <item x="1759"/>
        <item x="1127"/>
        <item x="290"/>
        <item x="489"/>
        <item x="829"/>
        <item x="1645"/>
        <item x="1658"/>
        <item x="1674"/>
        <item x="1959"/>
        <item x="347"/>
        <item x="1058"/>
        <item x="1625"/>
        <item x="353"/>
        <item x="1382"/>
        <item x="629"/>
        <item x="504"/>
        <item x="289"/>
        <item x="436"/>
        <item x="229"/>
        <item x="1173"/>
        <item x="815"/>
        <item x="1408"/>
        <item x="1022"/>
        <item x="1874"/>
        <item x="1615"/>
        <item x="1192"/>
        <item x="1946"/>
        <item x="1696"/>
        <item x="271"/>
        <item x="1451"/>
        <item x="358"/>
        <item x="508"/>
        <item x="1157"/>
        <item x="1790"/>
        <item x="1503"/>
        <item x="495"/>
        <item x="105"/>
        <item x="1581"/>
        <item x="9"/>
        <item x="281"/>
        <item x="596"/>
        <item x="1520"/>
        <item x="978"/>
        <item x="975"/>
        <item x="221"/>
        <item x="1164"/>
        <item x="50"/>
        <item x="830"/>
        <item x="1354"/>
        <item x="1972"/>
        <item x="1492"/>
        <item x="293"/>
        <item x="1278"/>
        <item x="1359"/>
        <item x="761"/>
        <item x="1196"/>
        <item x="1650"/>
        <item x="1657"/>
        <item x="213"/>
        <item x="582"/>
        <item x="597"/>
        <item x="1131"/>
        <item x="1412"/>
        <item x="817"/>
        <item x="1970"/>
        <item x="1146"/>
        <item x="590"/>
        <item x="1872"/>
        <item x="355"/>
        <item x="999"/>
        <item x="1498"/>
        <item x="1167"/>
        <item x="203"/>
        <item x="1311"/>
        <item x="602"/>
        <item x="54"/>
        <item x="1675"/>
        <item x="1156"/>
        <item x="303"/>
        <item x="813"/>
        <item x="1782"/>
        <item x="450"/>
        <item x="932"/>
        <item x="1388"/>
        <item x="473"/>
        <item x="1941"/>
        <item x="1780"/>
        <item x="208"/>
        <item x="1016"/>
        <item x="1562"/>
        <item x="1797"/>
        <item x="1018"/>
        <item x="822"/>
        <item x="1015"/>
        <item x="1793"/>
        <item x="1159"/>
        <item x="996"/>
        <item x="584"/>
        <item x="1816"/>
        <item x="21"/>
        <item x="1762"/>
        <item x="1002"/>
        <item x="1007"/>
        <item x="1957"/>
        <item x="1356"/>
        <item x="591"/>
        <item x="125"/>
        <item x="604"/>
        <item x="108"/>
        <item x="780"/>
        <item x="1811"/>
        <item x="732"/>
        <item x="463"/>
        <item x="586"/>
        <item x="995"/>
        <item x="1863"/>
        <item x="609"/>
        <item x="1576"/>
        <item x="1822"/>
        <item x="1367"/>
        <item x="964"/>
        <item x="1343"/>
        <item x="1122"/>
        <item x="1672"/>
        <item x="1006"/>
        <item x="1509"/>
        <item x="818"/>
        <item x="784"/>
        <item x="121"/>
        <item x="1545"/>
        <item x="235"/>
        <item x="42"/>
        <item x="823"/>
        <item x="736"/>
        <item x="796"/>
        <item x="1867"/>
        <item x="1676"/>
        <item x="1785"/>
        <item x="837"/>
        <item x="1168"/>
        <item x="1199"/>
        <item x="0"/>
        <item x="323"/>
        <item x="462"/>
        <item x="116"/>
        <item x="1697"/>
        <item x="1493"/>
        <item x="1500"/>
        <item x="30"/>
        <item x="1910"/>
        <item x="6"/>
        <item x="1160"/>
        <item x="386"/>
        <item x="836"/>
        <item x="951"/>
        <item x="1121"/>
        <item x="109"/>
        <item x="104"/>
        <item x="1833"/>
        <item x="816"/>
        <item x="595"/>
        <item x="419"/>
        <item x="600"/>
        <item x="114"/>
        <item x="294"/>
        <item x="598"/>
        <item x="1521"/>
        <item x="857"/>
        <item x="608"/>
        <item x="494"/>
        <item x="1767"/>
        <item x="1935"/>
        <item x="965"/>
        <item x="472"/>
        <item x="506"/>
        <item x="1506"/>
        <item x="903"/>
        <item x="917"/>
        <item x="455"/>
        <item x="1465"/>
        <item x="154"/>
        <item x="437"/>
        <item x="1376"/>
        <item x="1619"/>
        <item x="1021"/>
        <item x="285"/>
        <item x="102"/>
        <item x="1596"/>
        <item x="3"/>
        <item x="103"/>
        <item x="1042"/>
        <item x="1559"/>
        <item x="787"/>
        <item x="344"/>
        <item x="1789"/>
        <item x="1502"/>
        <item x="1339"/>
        <item x="744"/>
        <item x="1535"/>
        <item x="1344"/>
        <item x="126"/>
        <item x="1835"/>
        <item x="106"/>
        <item x="215"/>
        <item x="12"/>
        <item x="100"/>
        <item x="665"/>
        <item x="811"/>
        <item x="349"/>
        <item x="1389"/>
        <item x="20"/>
        <item x="1136"/>
        <item x="869"/>
        <item x="429"/>
        <item x="910"/>
        <item x="821"/>
        <item x="1507"/>
        <item x="962"/>
        <item x="1623"/>
        <item x="465"/>
        <item x="980"/>
        <item x="1832"/>
        <item x="920"/>
        <item x="1529"/>
        <item x="1616"/>
        <item x="1468"/>
        <item x="870"/>
        <item x="1671"/>
        <item x="404"/>
        <item x="1114"/>
        <item x="1087"/>
        <item x="1589"/>
        <item x="1646"/>
        <item x="1866"/>
        <item x="2028"/>
        <item x="1462"/>
        <item x="1831"/>
        <item x="1010"/>
        <item x="1386"/>
        <item x="1075"/>
        <item x="431"/>
        <item x="1357"/>
        <item x="212"/>
        <item x="286"/>
        <item x="1760"/>
        <item x="457"/>
        <item x="1541"/>
        <item x="871"/>
        <item x="1508"/>
        <item x="288"/>
        <item x="1510"/>
        <item x="858"/>
        <item x="32"/>
        <item x="982"/>
        <item x="156"/>
        <item x="535"/>
        <item x="507"/>
        <item x="389"/>
        <item x="1201"/>
        <item x="1495"/>
        <item x="1366"/>
        <item x="887"/>
        <item x="1988"/>
        <item x="132"/>
        <item x="1834"/>
        <item x="123"/>
        <item x="1472"/>
        <item x="1518"/>
        <item x="266"/>
        <item x="810"/>
        <item x="916"/>
        <item x="1908"/>
        <item x="1769"/>
        <item x="1704"/>
        <item x="838"/>
        <item x="345"/>
        <item x="1823"/>
        <item x="814"/>
        <item x="782"/>
        <item x="133"/>
        <item x="29"/>
        <item x="802"/>
        <item x="357"/>
        <item x="918"/>
        <item x="1753"/>
        <item x="1955"/>
        <item x="127"/>
        <item x="129"/>
        <item x="270"/>
        <item x="958"/>
        <item x="1857"/>
        <item x="921"/>
        <item x="113"/>
        <item x="1029"/>
        <item x="1112"/>
        <item x="594"/>
        <item x="1111"/>
        <item x="309"/>
        <item x="1106"/>
        <item x="150"/>
        <item x="896"/>
        <item x="751"/>
        <item x="864"/>
        <item x="1873"/>
        <item x="924"/>
        <item x="1768"/>
        <item x="891"/>
        <item x="1317"/>
        <item x="750"/>
        <item x="1838"/>
        <item x="136"/>
        <item x="430"/>
        <item x="1118"/>
        <item x="540"/>
        <item x="1074"/>
        <item x="1375"/>
        <item x="397"/>
        <item x="1752"/>
        <item x="1827"/>
        <item x="149"/>
        <item x="908"/>
        <item x="1501"/>
        <item x="1078"/>
        <item x="804"/>
        <item x="941"/>
        <item x="939"/>
        <item x="117"/>
        <item x="420"/>
        <item x="894"/>
        <item x="329"/>
        <item x="1754"/>
        <item x="803"/>
        <item x="1090"/>
        <item x="453"/>
        <item x="972"/>
        <item x="112"/>
        <item x="1054"/>
        <item x="1094"/>
        <item x="1485"/>
        <item x="886"/>
        <item x="1108"/>
        <item x="1098"/>
        <item x="865"/>
        <item x="895"/>
        <item x="73"/>
        <item x="406"/>
        <item x="79"/>
        <item x="1079"/>
        <item x="24"/>
        <item x="1842"/>
        <item x="946"/>
        <item x="484"/>
        <item x="68"/>
        <item x="151"/>
        <item x="88"/>
        <item x="1755"/>
        <item x="14"/>
        <item x="15"/>
        <item x="155"/>
        <item x="1117"/>
        <item x="76"/>
        <item x="521"/>
        <item x="1701"/>
        <item x="394"/>
        <item x="1109"/>
        <item x="141"/>
        <item x="888"/>
        <item x="1125"/>
        <item x="395"/>
        <item x="882"/>
        <item x="1101"/>
        <item x="409"/>
        <item x="849"/>
        <item x="681"/>
        <item x="909"/>
        <item x="993"/>
        <item x="866"/>
        <item x="1026"/>
        <item x="411"/>
        <item x="433"/>
        <item x="867"/>
        <item x="407"/>
        <item x="537"/>
        <item x="1749"/>
        <item x="1099"/>
        <item x="1119"/>
        <item x="1033"/>
        <item x="1526"/>
        <item x="147"/>
        <item x="1082"/>
        <item x="1028"/>
        <item x="884"/>
        <item x="1085"/>
        <item x="78"/>
        <item x="538"/>
        <item x="414"/>
        <item x="402"/>
        <item x="580"/>
        <item x="1035"/>
        <item x="875"/>
        <item x="1743"/>
        <item x="469"/>
        <item x="868"/>
        <item x="1110"/>
        <item x="86"/>
        <item x="403"/>
        <item x="1077"/>
        <item x="75"/>
        <item x="70"/>
        <item x="1744"/>
        <item x="574"/>
        <item x="1040"/>
        <item x="92"/>
        <item x="578"/>
        <item x="576"/>
        <item x="531"/>
        <item x="575"/>
        <item x="97"/>
        <item x="94"/>
        <item x="99"/>
        <item x="533"/>
        <item x="393"/>
        <item x="84"/>
        <item x="579"/>
        <item x="577"/>
        <item x="91"/>
        <item x="1036"/>
        <item x="93"/>
        <item x="897"/>
        <item x="98"/>
        <item x="898"/>
        <item x="96"/>
        <item x="1742"/>
        <item x="81"/>
        <item x="1377"/>
        <item x="77"/>
        <item x="1747"/>
        <item x="416"/>
        <item x="71"/>
        <item x="587"/>
        <item x="1039"/>
        <item x="90"/>
        <item x="1034"/>
        <item x="970"/>
        <item x="401"/>
        <item x="1037"/>
        <item x="162"/>
        <item x="1038"/>
        <item x="95"/>
        <item x="82"/>
        <item x="552"/>
        <item x="859"/>
        <item x="1091"/>
        <item x="1560"/>
        <item x="398"/>
        <item x="148"/>
        <item x="153"/>
        <item x="1364"/>
        <item x="146"/>
        <item x="1746"/>
        <item x="940"/>
        <item x="27"/>
        <item x="963"/>
        <item x="885"/>
        <item x="881"/>
        <item x="214"/>
        <item x="308"/>
        <item x="913"/>
        <item x="957"/>
        <item x="400"/>
        <item x="282"/>
        <item x="861"/>
        <item x="145"/>
        <item x="5"/>
        <item x="760"/>
        <item x="1104"/>
        <item x="892"/>
        <item x="1836"/>
        <item x="89"/>
        <item x="1751"/>
        <item x="85"/>
        <item x="915"/>
        <item x="1032"/>
        <item x="1843"/>
        <item x="862"/>
        <item x="412"/>
        <item x="1083"/>
        <item x="754"/>
        <item x="143"/>
        <item x="1097"/>
        <item x="399"/>
        <item x="1103"/>
        <item x="1497"/>
        <item x="408"/>
        <item x="1695"/>
        <item x="1564"/>
        <item x="1542"/>
        <item x="1095"/>
        <item x="1748"/>
        <item x="80"/>
        <item x="806"/>
        <item x="277"/>
        <item x="1102"/>
        <item x="74"/>
        <item x="1041"/>
        <item x="157"/>
        <item x="160"/>
        <item x="83"/>
        <item x="1092"/>
        <item x="1076"/>
        <item x="863"/>
        <item x="1531"/>
        <item x="350"/>
        <item x="72"/>
        <item x="1084"/>
        <item x="475"/>
        <item x="111"/>
        <item x="593"/>
        <item x="527"/>
        <item x="135"/>
        <item x="1525"/>
        <item x="890"/>
        <item x="893"/>
        <item x="606"/>
        <item x="17"/>
        <item x="530"/>
        <item x="1096"/>
        <item x="348"/>
        <item x="883"/>
        <item x="1093"/>
        <item x="1163"/>
        <item x="87"/>
        <item x="1745"/>
        <item x="1001"/>
        <item x="539"/>
        <item x="877"/>
        <item x="1524"/>
        <item x="961"/>
        <item x="417"/>
        <item x="144"/>
        <item x="1750"/>
        <item x="413"/>
        <item x="415"/>
        <item x="1081"/>
        <item x="163"/>
        <item x="1089"/>
        <item x="1299"/>
        <item x="1116"/>
        <item x="161"/>
        <item x="152"/>
        <item x="1080"/>
        <item x="1113"/>
        <item x="536"/>
        <item x="878"/>
        <item x="959"/>
        <item x="1105"/>
        <item x="18"/>
        <item x="967"/>
        <item x="396"/>
        <item x="899"/>
        <item x="421"/>
        <item x="759"/>
        <item x="2"/>
        <item x="925"/>
        <item x="10"/>
        <item x="1909"/>
        <item x="852"/>
        <item x="764"/>
        <item x="1794"/>
        <item x="142"/>
        <item x="31"/>
        <item x="1003"/>
        <item x="960"/>
        <item x="1115"/>
        <item x="25"/>
        <item x="831"/>
        <item x="1088"/>
        <item x="234"/>
        <item x="876"/>
        <item x="758"/>
        <item x="747"/>
        <item x="763"/>
        <item x="765"/>
        <item x="287"/>
        <item x="352"/>
        <item x="418"/>
        <item x="1030"/>
        <item x="905"/>
        <item x="969"/>
        <item x="534"/>
        <item x="1547"/>
        <item x="275"/>
        <item x="601"/>
        <item x="1107"/>
        <item x="7"/>
        <item x="264"/>
        <item x="749"/>
        <item x="405"/>
        <item x="1981"/>
        <item x="128"/>
        <item x="1554"/>
        <item x="1532"/>
        <item x="912"/>
        <item x="873"/>
        <item x="1528"/>
        <item x="755"/>
        <item x="846"/>
        <item x="1702"/>
        <item x="137"/>
        <item x="67"/>
        <item x="948"/>
        <item x="1533"/>
        <item x="675"/>
        <item x="1837"/>
        <item x="971"/>
        <item x="889"/>
        <item x="1772"/>
        <item x="977"/>
        <item x="766"/>
        <item x="1527"/>
        <item x="901"/>
        <item x="997"/>
        <item x="1951"/>
        <item x="1009"/>
        <item x="605"/>
        <item x="1086"/>
        <item x="1407"/>
        <item x="1100"/>
        <item x="1187"/>
        <item x="1952"/>
        <item x="26"/>
        <item x="900"/>
        <item x="115"/>
        <item x="1953"/>
        <item x="1259"/>
        <item x="860"/>
        <item x="118"/>
        <item x="1561"/>
        <item x="1661"/>
        <item x="923"/>
        <item x="130"/>
        <item x="1473"/>
        <item x="51"/>
        <item x="23"/>
        <item x="1523"/>
        <item x="762"/>
        <item x="1194"/>
        <item x="723"/>
        <item x="69"/>
        <item x="362"/>
        <item x="1019"/>
        <item x="1"/>
        <item x="1828"/>
        <item x="834"/>
        <item x="1479"/>
        <item x="768"/>
        <item x="906"/>
        <item x="1575"/>
        <item x="139"/>
        <item x="1008"/>
        <item x="158"/>
        <item x="1202"/>
        <item x="478"/>
        <item x="1387"/>
        <item x="274"/>
        <item x="753"/>
        <item x="583"/>
        <item x="1536"/>
        <item x="159"/>
        <item x="65"/>
        <item x="819"/>
        <item x="835"/>
        <item x="284"/>
        <item x="101"/>
        <item x="1031"/>
        <item x="1682"/>
        <item x="812"/>
        <item x="11"/>
        <item x="746"/>
        <item x="808"/>
        <item x="974"/>
        <item x="1565"/>
        <item x="914"/>
        <item x="1942"/>
        <item x="1519"/>
        <item x="1770"/>
        <item x="474"/>
        <item x="1639"/>
        <item x="481"/>
        <item x="1926"/>
        <item x="988"/>
        <item x="874"/>
        <item x="454"/>
        <item x="207"/>
        <item x="1948"/>
        <item x="1585"/>
        <item x="880"/>
        <item x="1012"/>
        <item x="1703"/>
        <item x="16"/>
        <item x="1025"/>
        <item x="850"/>
        <item x="138"/>
        <item x="1488"/>
        <item x="410"/>
        <item x="748"/>
        <item x="1826"/>
        <item x="745"/>
        <item x="476"/>
        <item x="599"/>
        <item x="968"/>
        <item x="1839"/>
        <item x="856"/>
        <item x="581"/>
        <item x="468"/>
        <item x="479"/>
        <item x="801"/>
        <item x="498"/>
        <item x="851"/>
        <item x="1763"/>
        <item x="269"/>
        <item x="1197"/>
        <item x="263"/>
        <item x="22"/>
        <item x="1460"/>
        <item x="1534"/>
        <item x="1020"/>
        <item x="1546"/>
        <item x="120"/>
        <item x="1764"/>
        <item x="1499"/>
        <item x="124"/>
        <item x="1169"/>
        <item x="1555"/>
        <item x="986"/>
        <item x="589"/>
        <item x="840"/>
        <item x="218"/>
        <item x="283"/>
        <item x="36"/>
        <item x="1530"/>
        <item x="1558"/>
        <item x="520"/>
        <item x="907"/>
        <item x="134"/>
        <item x="1774"/>
        <item x="1011"/>
        <item x="267"/>
        <item x="872"/>
        <item x="1486"/>
        <item x="1245"/>
        <item x="1600"/>
        <item x="456"/>
        <item x="1612"/>
        <item x="879"/>
        <item x="998"/>
        <item x="1825"/>
        <item x="445"/>
        <item x="1017"/>
        <item x="356"/>
        <item x="384"/>
        <item x="1677"/>
        <item x="1487"/>
        <item x="1945"/>
        <item x="1818"/>
        <item x="1788"/>
        <item x="1912"/>
        <item x="1381"/>
        <item x="809"/>
        <item x="1787"/>
        <item x="328"/>
        <item x="911"/>
        <item x="1176"/>
        <item x="788"/>
        <item x="1368"/>
        <item x="919"/>
        <item x="526"/>
        <item x="855"/>
        <item x="1511"/>
        <item x="1013"/>
        <item x="1484"/>
        <item x="1540"/>
        <item x="752"/>
        <item x="1522"/>
        <item x="1385"/>
        <item x="1513"/>
        <item x="714"/>
        <item x="926"/>
        <item x="1543"/>
        <item x="1579"/>
        <item x="1402"/>
        <item x="268"/>
        <item x="767"/>
        <item x="776"/>
        <item x="4"/>
        <item x="990"/>
        <item x="966"/>
        <item x="471"/>
        <item x="1324"/>
        <item x="122"/>
        <item x="1046"/>
        <item x="845"/>
        <item x="8"/>
        <item x="1950"/>
        <item x="1844"/>
        <item x="1845"/>
        <item x="1577"/>
        <item x="1005"/>
        <item x="1663"/>
        <item x="532"/>
        <item x="1392"/>
        <item x="317"/>
        <item x="1796"/>
        <item x="1771"/>
        <item x="1860"/>
        <item x="1000"/>
        <item x="828"/>
        <item x="467"/>
        <item x="227"/>
        <item x="1004"/>
        <item x="1374"/>
        <item x="1954"/>
        <item x="1494"/>
        <item x="375"/>
        <item x="278"/>
        <item x="1014"/>
        <item x="438"/>
        <item x="209"/>
        <item x="222"/>
        <item x="1698"/>
        <item x="1459"/>
        <item x="1706"/>
        <item x="1373"/>
        <item x="950"/>
        <item x="757"/>
        <item x="805"/>
        <item x="1624"/>
        <item x="19"/>
        <item x="1989"/>
        <item x="1514"/>
        <item x="1629"/>
        <item x="1149"/>
        <item x="1830"/>
        <item x="1027"/>
        <item x="807"/>
        <item x="1553"/>
        <item x="1475"/>
        <item x="1482"/>
        <item x="1956"/>
        <item x="1709"/>
        <item x="311"/>
        <item x="1773"/>
        <item x="839"/>
        <item x="989"/>
        <item x="1516"/>
        <item x="973"/>
        <item x="13"/>
        <item x="140"/>
        <item x="466"/>
        <item x="789"/>
        <item x="1370"/>
        <item x="740"/>
        <item x="1158"/>
        <item x="492"/>
        <item x="446"/>
        <item x="449"/>
        <item x="981"/>
        <item x="1405"/>
        <item x="1180"/>
        <item x="994"/>
        <item x="1478"/>
        <item x="1151"/>
        <item x="1949"/>
        <item x="756"/>
        <item x="1669"/>
        <item x="1805"/>
        <item x="1456"/>
        <item x="1415"/>
        <item x="482"/>
        <item x="503"/>
        <item x="110"/>
        <item x="1517"/>
        <item x="1966"/>
        <item x="1351"/>
        <item x="28"/>
        <item x="1964"/>
        <item x="1784"/>
        <item x="1162"/>
        <item x="949"/>
        <item x="1396"/>
        <item x="1123"/>
        <item x="825"/>
        <item x="922"/>
        <item x="1829"/>
        <item x="1933"/>
        <item x="1177"/>
        <item x="483"/>
        <item x="1515"/>
        <item x="1550"/>
        <item x="516"/>
        <item x="477"/>
        <item x="1406"/>
        <item x="1795"/>
        <item x="131"/>
        <item x="848"/>
        <item x="387"/>
        <item x="342"/>
        <item x="1603"/>
        <item x="592"/>
        <item x="1024"/>
        <item x="273"/>
        <item x="461"/>
        <item x="1142"/>
        <item x="774"/>
        <item x="1023"/>
        <item x="1636"/>
        <item x="1783"/>
        <item x="844"/>
        <item x="444"/>
        <item x="276"/>
        <item x="792"/>
        <item x="1200"/>
        <item x="1198"/>
        <item x="1175"/>
        <item x="1855"/>
        <item x="1582"/>
        <item x="902"/>
        <item x="1756"/>
        <item x="470"/>
        <item x="607"/>
        <item x="1362"/>
        <item x="1279"/>
        <item x="272"/>
        <item x="1566"/>
        <item x="979"/>
        <item x="947"/>
        <item x="1779"/>
        <item x="1139"/>
        <item x="1868"/>
        <item x="57"/>
        <item x="435"/>
        <item x="1548"/>
        <item x="1876"/>
        <item x="1538"/>
        <item x="1647"/>
        <item x="743"/>
        <item x="1210"/>
        <item x="1673"/>
        <item x="1179"/>
        <item x="1413"/>
        <item x="1569"/>
        <item x="336"/>
        <item x="1120"/>
        <item x="1841"/>
        <item x="1670"/>
        <item x="226"/>
        <item x="1549"/>
        <item x="1491"/>
        <item x="1958"/>
        <item x="1181"/>
        <item x="1937"/>
        <item x="261"/>
        <item x="827"/>
        <item x="1928"/>
        <item x="107"/>
        <item x="359"/>
        <item x="585"/>
        <item x="298"/>
        <item x="1140"/>
        <item x="1153"/>
        <item x="841"/>
        <item x="337"/>
        <item x="1371"/>
        <item x="1652"/>
        <item x="262"/>
        <item x="1161"/>
        <item x="1583"/>
        <item x="1778"/>
        <item x="254"/>
        <item x="773"/>
        <item x="1150"/>
        <item x="729"/>
        <item x="391"/>
        <item x="1268"/>
        <item x="847"/>
        <item x="1940"/>
        <item x="1809"/>
        <item x="351"/>
        <item x="1761"/>
        <item x="1961"/>
        <item x="1134"/>
        <item x="1133"/>
        <item x="1640"/>
        <item x="1557"/>
        <item x="242"/>
        <item x="1474"/>
        <item x="1055"/>
        <item x="441"/>
        <item x="464"/>
        <item x="310"/>
        <item x="1293"/>
        <item x="955"/>
        <item x="1786"/>
        <item x="119"/>
        <item x="985"/>
        <item x="1983"/>
        <item x="1452"/>
        <item x="1411"/>
        <item x="244"/>
        <item x="1135"/>
        <item x="427"/>
        <item x="1977"/>
        <item x="1864"/>
        <item x="1170"/>
        <item x="1395"/>
        <item x="1348"/>
        <item x="1490"/>
        <item x="904"/>
        <item x="332"/>
        <item x="1241"/>
        <item x="1664"/>
        <item x="1365"/>
        <item x="937"/>
        <item x="1463"/>
        <item x="1627"/>
        <item x="1840"/>
        <item x="1328"/>
        <item x="1229"/>
        <item x="1567"/>
        <item x="826"/>
        <item x="1352"/>
        <item x="797"/>
        <item x="524"/>
        <item x="791"/>
        <item x="1188"/>
        <item x="1960"/>
        <item x="991"/>
        <item x="1147"/>
        <item x="1614"/>
        <item x="223"/>
        <item x="519"/>
        <item x="1361"/>
        <item x="224"/>
        <item x="775"/>
        <item x="312"/>
        <item x="1155"/>
        <item x="1280"/>
        <item x="1454"/>
        <item x="1766"/>
        <item x="1871"/>
        <item x="306"/>
        <item x="929"/>
        <item x="265"/>
        <item x="984"/>
        <item x="1922"/>
        <item x="1592"/>
        <item x="708"/>
        <item x="1384"/>
        <item x="1314"/>
        <item x="783"/>
        <item x="1552"/>
        <item x="1936"/>
        <item x="1145"/>
        <item x="1819"/>
        <item x="853"/>
        <item x="1307"/>
        <item x="1360"/>
        <item x="228"/>
        <item x="1442"/>
        <item x="1137"/>
        <item x="785"/>
        <item x="1597"/>
        <item x="610"/>
        <item x="992"/>
        <item x="976"/>
        <item x="529"/>
        <item x="1048"/>
        <item x="1182"/>
        <item x="588"/>
        <item x="1537"/>
        <item x="794"/>
        <item x="1668"/>
        <item x="934"/>
        <item x="1976"/>
        <item x="1347"/>
        <item x="1379"/>
        <item x="1504"/>
        <item x="1138"/>
        <item x="677"/>
        <item x="1477"/>
        <item x="41"/>
        <item x="1505"/>
        <item x="1659"/>
        <item x="1758"/>
        <item x="443"/>
        <item x="1539"/>
        <item x="1609"/>
        <item x="1165"/>
        <item x="1653"/>
        <item x="1642"/>
        <item x="1193"/>
        <item x="515"/>
        <item x="448"/>
        <item x="1965"/>
        <item x="216"/>
        <item x="377"/>
        <item x="292"/>
        <item x="1869"/>
        <item x="434"/>
        <item x="1053"/>
        <item x="1471"/>
        <item x="390"/>
        <item x="1378"/>
        <item x="440"/>
        <item x="217"/>
        <item x="1171"/>
        <item x="1587"/>
        <item x="1578"/>
        <item x="480"/>
        <item x="1404"/>
        <item x="1591"/>
        <item x="1947"/>
        <item x="1807"/>
        <item x="1563"/>
        <item x="1060"/>
        <item x="1610"/>
        <item x="237"/>
        <item x="565"/>
        <item x="1815"/>
        <item x="1213"/>
        <item x="181"/>
        <item x="543"/>
        <item x="343"/>
        <item x="1648"/>
        <item x="1630"/>
        <item x="1315"/>
        <item x="1939"/>
        <item x="331"/>
        <item x="1791"/>
        <item x="954"/>
        <item x="1649"/>
        <item x="1613"/>
        <item x="2012"/>
        <item x="1799"/>
        <item x="1607"/>
        <item x="1651"/>
        <item x="1781"/>
        <item x="1879"/>
        <item x="1128"/>
        <item x="460"/>
        <item x="1056"/>
        <item x="1148"/>
        <item x="952"/>
        <item x="360"/>
        <item x="1853"/>
        <item x="240"/>
        <item x="842"/>
        <item x="938"/>
        <item x="741"/>
        <item x="1067"/>
        <item x="1626"/>
        <item x="1141"/>
        <item x="258"/>
        <item x="339"/>
        <item x="174"/>
        <item x="824"/>
        <item x="1211"/>
        <item x="1466"/>
        <item x="1638"/>
        <item x="166"/>
        <item x="644"/>
        <item x="1851"/>
        <item x="170"/>
        <item x="374"/>
        <item x="1862"/>
        <item x="324"/>
        <item x="39"/>
        <item x="2021"/>
        <item x="1380"/>
        <item x="1281"/>
        <item x="486"/>
        <item x="1393"/>
        <item x="225"/>
        <item x="210"/>
        <item x="279"/>
        <item x="1189"/>
        <item x="1666"/>
        <item x="1312"/>
        <item x="325"/>
        <item x="1911"/>
        <item x="1489"/>
        <item x="1556"/>
        <item x="1595"/>
        <item x="1154"/>
        <item x="493"/>
        <item x="1846"/>
        <item x="354"/>
        <item x="1423"/>
        <item x="611"/>
        <item x="197"/>
        <item x="1643"/>
        <item x="502"/>
        <item x="45"/>
        <item x="1667"/>
        <item x="189"/>
        <item x="569"/>
        <item x="1800"/>
        <item x="1777"/>
        <item x="1496"/>
        <item x="1336"/>
        <item x="511"/>
        <item x="800"/>
        <item x="1457"/>
        <item x="1426"/>
        <item x="692"/>
        <item x="1126"/>
        <item x="1731"/>
        <item x="1178"/>
        <item x="1944"/>
        <item x="1570"/>
        <item x="1185"/>
        <item x="953"/>
        <item x="2077"/>
        <item x="1390"/>
        <item x="799"/>
        <item x="943"/>
        <item x="1580"/>
        <item x="1691"/>
        <item x="1394"/>
        <item x="1655"/>
        <item x="305"/>
        <item x="1186"/>
        <item x="936"/>
        <item x="1847"/>
        <item x="346"/>
        <item x="1353"/>
        <item x="1598"/>
        <item x="1679"/>
        <item x="956"/>
        <item x="1401"/>
        <item x="1633"/>
        <item x="388"/>
        <item x="1217"/>
        <item x="220"/>
        <item x="1480"/>
        <item x="1068"/>
        <item x="1069"/>
        <item x="945"/>
        <item x="798"/>
        <item x="1464"/>
        <item x="1417"/>
        <item x="452"/>
        <item x="1204"/>
        <item x="206"/>
        <item x="300"/>
        <item x="1775"/>
        <item x="1329"/>
        <item x="1403"/>
        <item x="725"/>
        <item x="1345"/>
        <item x="1350"/>
        <item x="1323"/>
        <item x="659"/>
        <item x="525"/>
        <item x="722"/>
        <item x="1065"/>
        <item x="2037"/>
        <item x="682"/>
        <item x="1919"/>
        <item x="451"/>
        <item x="777"/>
        <item x="1637"/>
        <item x="496"/>
        <item x="291"/>
        <item x="528"/>
        <item x="1635"/>
        <item x="1397"/>
        <item x="1340"/>
        <item x="1059"/>
        <item x="1605"/>
        <item x="505"/>
        <item x="1130"/>
        <item x="944"/>
        <item x="1660"/>
        <item x="1641"/>
        <item x="1203"/>
        <item x="1621"/>
        <item x="1644"/>
        <item x="66"/>
        <item x="1985"/>
        <item x="307"/>
        <item x="1618"/>
        <item x="1617"/>
        <item x="1678"/>
        <item x="2036"/>
        <item x="1291"/>
        <item x="1285"/>
        <item x="280"/>
        <item x="246"/>
        <item x="193"/>
        <item x="626"/>
        <item x="341"/>
        <item x="188"/>
        <item x="195"/>
        <item x="738"/>
        <item x="632"/>
        <item x="439"/>
        <item x="1971"/>
        <item x="204"/>
        <item x="1656"/>
        <item x="373"/>
        <item x="1453"/>
        <item x="1469"/>
        <item x="1963"/>
        <item x="1973"/>
        <item x="1690"/>
        <item x="315"/>
        <item x="382"/>
        <item x="1813"/>
        <item x="1632"/>
        <item x="1680"/>
        <item x="1586"/>
        <item x="172"/>
        <item x="191"/>
        <item x="1859"/>
        <item x="1622"/>
        <item x="168"/>
        <item x="1420"/>
        <item x="2039"/>
        <item x="562"/>
        <item x="501"/>
        <item x="48"/>
        <item x="931"/>
        <item x="1326"/>
        <item x="1611"/>
        <item x="1260"/>
        <item x="1604"/>
        <item x="1707"/>
        <item x="232"/>
        <item x="314"/>
        <item x="1930"/>
        <item x="1455"/>
        <item x="381"/>
        <item x="1817"/>
        <item x="553"/>
        <item x="1925"/>
        <item x="335"/>
        <item x="1064"/>
        <item x="1483"/>
        <item x="1231"/>
        <item x="363"/>
        <item x="1987"/>
        <item x="182"/>
        <item x="737"/>
        <item x="1320"/>
        <item x="176"/>
        <item x="1414"/>
        <item x="1261"/>
        <item x="1062"/>
        <item x="500"/>
        <item x="1253"/>
        <item x="1601"/>
        <item x="1304"/>
        <item x="1242"/>
        <item x="428"/>
        <item x="1917"/>
        <item x="1303"/>
        <item x="200"/>
        <item x="1699"/>
        <item x="1372"/>
        <item x="64"/>
        <item x="1301"/>
        <item x="1980"/>
        <item x="1606"/>
        <item x="1923"/>
        <item x="1713"/>
        <item x="1267"/>
        <item x="59"/>
        <item x="1584"/>
        <item x="1982"/>
        <item x="1419"/>
        <item x="652"/>
        <item x="1070"/>
        <item x="1248"/>
        <item x="1932"/>
        <item x="1409"/>
        <item x="1978"/>
        <item x="566"/>
        <item x="2035"/>
        <item x="497"/>
        <item x="1222"/>
        <item x="253"/>
        <item x="1927"/>
        <item x="62"/>
        <item x="316"/>
        <item x="243"/>
        <item x="1865"/>
        <item x="1736"/>
        <item x="1921"/>
        <item x="1686"/>
        <item x="1975"/>
        <item x="376"/>
        <item x="1050"/>
        <item x="1310"/>
        <item x="518"/>
        <item x="1422"/>
        <item x="558"/>
        <item x="177"/>
        <item x="1729"/>
        <item x="1302"/>
        <item x="1445"/>
        <item x="169"/>
        <item x="1047"/>
        <item x="731"/>
        <item x="251"/>
        <item x="175"/>
        <item x="649"/>
        <item x="1802"/>
        <item x="727"/>
        <item x="1694"/>
        <item x="2018"/>
        <item x="1849"/>
        <item x="1072"/>
        <item x="662"/>
        <item x="695"/>
        <item x="1277"/>
        <item x="563"/>
        <item x="422"/>
        <item x="198"/>
        <item x="1244"/>
        <item x="627"/>
        <item x="1306"/>
        <item x="571"/>
        <item x="296"/>
        <item x="379"/>
        <item x="1071"/>
        <item x="1316"/>
        <item x="1446"/>
        <item x="1424"/>
        <item x="1338"/>
        <item x="1931"/>
        <item x="171"/>
        <item x="249"/>
        <item x="619"/>
        <item x="1172"/>
        <item x="1400"/>
        <item x="514"/>
        <item x="1593"/>
        <item x="1232"/>
        <item x="1249"/>
        <item x="1683"/>
        <item x="2051"/>
        <item x="1073"/>
        <item x="660"/>
        <item x="2048"/>
        <item x="1215"/>
        <item x="178"/>
        <item x="685"/>
        <item x="180"/>
        <item x="252"/>
        <item x="1428"/>
        <item x="392"/>
        <item x="327"/>
        <item x="1061"/>
        <item x="1257"/>
        <item x="1447"/>
        <item x="1263"/>
        <item x="320"/>
        <item x="567"/>
        <item x="2059"/>
        <item x="1986"/>
        <item x="2079"/>
        <item x="2026"/>
        <item x="661"/>
        <item x="549"/>
        <item x="555"/>
        <item x="1438"/>
        <item x="1608"/>
        <item x="2053"/>
        <item x="2084"/>
        <item x="38"/>
        <item x="1309"/>
        <item x="654"/>
        <item x="1732"/>
        <item x="720"/>
        <item x="185"/>
        <item x="678"/>
        <item x="673"/>
        <item x="231"/>
        <item x="425"/>
        <item x="1915"/>
        <item x="693"/>
        <item x="184"/>
        <item x="44"/>
        <item x="369"/>
        <item x="211"/>
        <item x="1322"/>
        <item x="687"/>
        <item x="364"/>
        <item x="1733"/>
        <item x="726"/>
        <item x="561"/>
        <item x="651"/>
        <item x="1218"/>
        <item x="1226"/>
        <item x="706"/>
        <item x="694"/>
        <item x="645"/>
        <item x="1206"/>
        <item x="1710"/>
        <item x="164"/>
        <item x="622"/>
        <item x="1734"/>
        <item x="545"/>
        <item x="730"/>
        <item x="2074"/>
        <item x="1724"/>
        <item x="1421"/>
        <item x="35"/>
        <item x="1230"/>
        <item x="321"/>
        <item x="167"/>
        <item x="322"/>
        <item x="512"/>
        <item x="717"/>
        <item x="633"/>
        <item x="297"/>
        <item x="679"/>
        <item x="1969"/>
        <item x="684"/>
        <item x="2080"/>
        <item x="541"/>
        <item x="1246"/>
        <item x="1219"/>
        <item x="615"/>
        <item x="1313"/>
        <item x="1287"/>
        <item x="1318"/>
        <item x="2087"/>
        <item x="1262"/>
        <item x="658"/>
        <item x="1443"/>
        <item x="1223"/>
        <item x="691"/>
        <item x="1712"/>
        <item x="318"/>
        <item x="1440"/>
        <item x="1902"/>
        <item x="1689"/>
        <item x="655"/>
        <item x="1897"/>
        <item x="1254"/>
        <item x="709"/>
        <item x="1184"/>
        <item x="192"/>
        <item x="676"/>
        <item x="2001"/>
        <item x="255"/>
        <item x="2030"/>
        <item x="1132"/>
        <item x="702"/>
        <item x="669"/>
        <item x="688"/>
        <item x="646"/>
        <item x="490"/>
        <item x="1264"/>
        <item x="1439"/>
        <item x="194"/>
        <item x="560"/>
        <item x="1688"/>
        <item x="620"/>
        <item x="637"/>
        <item x="1238"/>
        <item x="2076"/>
        <item x="2058"/>
        <item x="2045"/>
        <item x="1212"/>
        <item x="2013"/>
        <item x="1741"/>
        <item x="548"/>
        <item x="1995"/>
        <item x="2052"/>
        <item x="711"/>
        <item x="636"/>
        <item x="1250"/>
        <item x="547"/>
        <item x="1900"/>
        <item x="630"/>
        <item x="1427"/>
        <item x="1431"/>
        <item x="616"/>
        <item x="2000"/>
        <item x="2042"/>
        <item x="47"/>
        <item x="1715"/>
        <item x="2043"/>
        <item x="1997"/>
        <item x="546"/>
        <item x="739"/>
        <item x="674"/>
        <item x="640"/>
        <item x="257"/>
        <item x="1892"/>
        <item x="1449"/>
        <item x="544"/>
        <item x="2041"/>
        <item x="628"/>
        <item x="1904"/>
        <item x="2082"/>
        <item x="707"/>
        <item x="2073"/>
        <item x="1896"/>
        <item x="367"/>
        <item x="664"/>
        <item x="1884"/>
        <item x="613"/>
        <item x="2031"/>
        <item x="1739"/>
        <item x="670"/>
        <item x="703"/>
        <item x="697"/>
        <item x="641"/>
        <item x="550"/>
        <item x="2065"/>
        <item x="2019"/>
        <item x="1996"/>
        <item x="2032"/>
        <item x="643"/>
        <item x="187"/>
        <item x="2005"/>
        <item x="1993"/>
        <item x="647"/>
        <item x="733"/>
        <item x="1878"/>
        <item x="2081"/>
        <item x="680"/>
        <item x="1901"/>
        <item x="1894"/>
        <item x="718"/>
        <item x="1719"/>
        <item x="1730"/>
        <item x="1191"/>
        <item x="2003"/>
        <item x="1251"/>
        <item x="631"/>
        <item x="1220"/>
        <item x="2054"/>
        <item x="2085"/>
        <item x="625"/>
        <item x="657"/>
        <item x="712"/>
        <item x="572"/>
        <item x="2056"/>
        <item x="624"/>
        <item x="690"/>
        <item x="2072"/>
        <item x="1728"/>
        <item x="1890"/>
        <item x="715"/>
        <item x="634"/>
        <item x="2068"/>
        <item x="2007"/>
        <item x="1893"/>
        <item x="1252"/>
        <item x="1992"/>
        <item x="1905"/>
        <item x="1877"/>
        <item x="2004"/>
        <item x="2020"/>
        <item x="642"/>
        <item x="2009"/>
        <item x="672"/>
        <item x="1888"/>
        <item x="1049"/>
        <item x="1990"/>
        <item x="1907"/>
        <item x="1722"/>
        <item x="2071"/>
        <item x="2057"/>
        <item x="700"/>
        <item x="667"/>
        <item x="705"/>
        <item x="2006"/>
        <item x="2069"/>
        <item x="2067"/>
        <item x="1718"/>
        <item x="1887"/>
        <item x="1906"/>
        <item x="2086"/>
        <item x="1891"/>
        <item x="1991"/>
        <item x="2008"/>
        <item x="1889"/>
        <item x="2075"/>
        <item x="2010"/>
        <item x="2070"/>
        <item x="639"/>
        <item x="614"/>
        <item x="618"/>
        <item x="1895"/>
        <item x="2062"/>
        <item x="2002"/>
        <item x="1903"/>
        <item x="2063"/>
        <item x="2083"/>
        <item x="1898"/>
        <item x="1999"/>
        <item x="1880"/>
        <item x="2017"/>
        <item x="2060"/>
        <item x="1994"/>
        <item x="1882"/>
        <item x="2015"/>
        <item x="2078"/>
        <item x="2014"/>
        <item x="1883"/>
        <item x="33"/>
      </items>
    </pivotField>
    <pivotField numFmtId="165" showAll="0" defaultSubtotal="0"/>
    <pivotField showAll="0" defaultSubtotal="0"/>
    <pivotField showAll="0" defaultSubtotal="0"/>
    <pivotField showAll="0" defaultSubtotal="0">
      <items count="4442">
        <item x="3210"/>
        <item x="1135"/>
        <item x="1134"/>
        <item x="1132"/>
        <item x="1131"/>
        <item x="1137"/>
        <item x="1133"/>
        <item x="1129"/>
        <item x="760"/>
        <item x="756"/>
        <item x="757"/>
        <item x="781"/>
        <item x="1136"/>
        <item x="1138"/>
        <item x="758"/>
        <item x="783"/>
        <item x="1130"/>
        <item x="785"/>
        <item x="3670"/>
        <item x="3672"/>
        <item x="2283"/>
        <item x="3683"/>
        <item x="784"/>
        <item x="3673"/>
        <item x="761"/>
        <item x="3684"/>
        <item x="2281"/>
        <item x="2138"/>
        <item x="3671"/>
        <item x="3674"/>
        <item x="2282"/>
        <item x="1840"/>
        <item x="2139"/>
        <item x="2140"/>
        <item x="1841"/>
        <item x="1838"/>
        <item x="1839"/>
        <item x="2137"/>
        <item x="1843"/>
        <item x="762"/>
        <item x="1842"/>
        <item x="1837"/>
        <item x="1798"/>
        <item x="3682"/>
        <item x="2280"/>
        <item x="2141"/>
        <item x="2142"/>
        <item x="1836"/>
        <item x="1797"/>
        <item x="3197"/>
        <item x="185"/>
        <item x="1835"/>
        <item x="192"/>
        <item x="178"/>
        <item x="1796"/>
        <item x="181"/>
        <item x="191"/>
        <item x="186"/>
        <item x="1886"/>
        <item x="2143"/>
        <item x="180"/>
        <item x="780"/>
        <item x="190"/>
        <item x="2144"/>
        <item x="187"/>
        <item x="3681"/>
        <item x="179"/>
        <item x="184"/>
        <item x="1872"/>
        <item x="182"/>
        <item x="1844"/>
        <item x="2289"/>
        <item x="183"/>
        <item x="189"/>
        <item x="3199"/>
        <item x="188"/>
        <item x="3212"/>
        <item x="2279"/>
        <item x="1834"/>
        <item x="2136"/>
        <item x="1800"/>
        <item x="196"/>
        <item x="2288"/>
        <item x="1799"/>
        <item x="1845"/>
        <item x="195"/>
        <item x="1846"/>
        <item x="786"/>
        <item x="2284"/>
        <item x="3201"/>
        <item x="759"/>
        <item x="320"/>
        <item x="782"/>
        <item x="3676"/>
        <item x="3209"/>
        <item x="1806"/>
        <item x="1889"/>
        <item x="1802"/>
        <item x="3200"/>
        <item x="319"/>
        <item x="2285"/>
        <item x="1795"/>
        <item x="1801"/>
        <item x="177"/>
        <item x="1808"/>
        <item x="318"/>
        <item x="1807"/>
        <item x="1805"/>
        <item x="296"/>
        <item x="3198"/>
        <item x="286"/>
        <item x="2135"/>
        <item x="811"/>
        <item x="2145"/>
        <item x="3675"/>
        <item x="2287"/>
        <item x="1794"/>
        <item x="3678"/>
        <item x="295"/>
        <item x="3208"/>
        <item x="763"/>
        <item x="3207"/>
        <item x="2286"/>
        <item x="3213"/>
        <item x="2278"/>
        <item x="1847"/>
        <item x="1884"/>
        <item x="818"/>
        <item x="2272"/>
        <item x="1803"/>
        <item x="2134"/>
        <item x="3211"/>
        <item x="194"/>
        <item x="175"/>
        <item x="193"/>
        <item x="3206"/>
        <item x="1873"/>
        <item x="174"/>
        <item x="3204"/>
        <item x="3205"/>
        <item x="834"/>
        <item x="3677"/>
        <item x="2274"/>
        <item x="176"/>
        <item x="1849"/>
        <item x="173"/>
        <item x="311"/>
        <item x="1874"/>
        <item x="1793"/>
        <item x="3679"/>
        <item x="3202"/>
        <item x="1848"/>
        <item x="290"/>
        <item x="2051"/>
        <item x="312"/>
        <item x="1792"/>
        <item x="172"/>
        <item x="2273"/>
        <item x="287"/>
        <item x="170"/>
        <item x="1887"/>
        <item x="1883"/>
        <item x="171"/>
        <item x="1804"/>
        <item x="1871"/>
        <item x="169"/>
        <item x="168"/>
        <item x="3680"/>
        <item x="3669"/>
        <item x="3203"/>
        <item x="1809"/>
        <item x="165"/>
        <item x="314"/>
        <item x="1875"/>
        <item x="1034"/>
        <item x="161"/>
        <item x="900"/>
        <item x="2275"/>
        <item x="160"/>
        <item x="167"/>
        <item x="166"/>
        <item x="1033"/>
        <item x="1035"/>
        <item x="901"/>
        <item x="162"/>
        <item x="779"/>
        <item x="163"/>
        <item x="157"/>
        <item x="812"/>
        <item x="1032"/>
        <item x="2276"/>
        <item x="164"/>
        <item x="315"/>
        <item x="159"/>
        <item x="276"/>
        <item x="293"/>
        <item x="3893"/>
        <item x="835"/>
        <item x="810"/>
        <item x="271"/>
        <item x="2251"/>
        <item x="2029"/>
        <item x="272"/>
        <item x="288"/>
        <item x="770"/>
        <item x="813"/>
        <item x="778"/>
        <item x="265"/>
        <item x="2049"/>
        <item x="2030"/>
        <item x="771"/>
        <item x="2038"/>
        <item x="2270"/>
        <item x="275"/>
        <item x="1058"/>
        <item x="294"/>
        <item x="939"/>
        <item x="3894"/>
        <item x="2039"/>
        <item x="292"/>
        <item x="313"/>
        <item x="1791"/>
        <item x="2132"/>
        <item x="158"/>
        <item x="270"/>
        <item x="809"/>
        <item x="2044"/>
        <item x="2050"/>
        <item x="902"/>
        <item x="2121"/>
        <item x="266"/>
        <item x="2133"/>
        <item x="291"/>
        <item x="938"/>
        <item x="2122"/>
        <item x="2277"/>
        <item x="273"/>
        <item x="269"/>
        <item x="2041"/>
        <item x="821"/>
        <item x="2045"/>
        <item x="1833"/>
        <item x="808"/>
        <item x="1888"/>
        <item x="936"/>
        <item x="2033"/>
        <item x="1753"/>
        <item x="144"/>
        <item x="2037"/>
        <item x="2034"/>
        <item x="2032"/>
        <item x="755"/>
        <item x="43"/>
        <item x="3892"/>
        <item x="754"/>
        <item x="145"/>
        <item x="277"/>
        <item x="1882"/>
        <item x="935"/>
        <item x="823"/>
        <item x="1789"/>
        <item x="155"/>
        <item x="822"/>
        <item x="2123"/>
        <item x="278"/>
        <item x="817"/>
        <item x="279"/>
        <item x="2131"/>
        <item x="820"/>
        <item x="2248"/>
        <item x="2042"/>
        <item x="941"/>
        <item x="289"/>
        <item x="919"/>
        <item x="274"/>
        <item x="3895"/>
        <item x="147"/>
        <item x="1755"/>
        <item x="2271"/>
        <item x="2043"/>
        <item x="2124"/>
        <item x="903"/>
        <item x="156"/>
        <item x="142"/>
        <item x="146"/>
        <item x="753"/>
        <item x="47"/>
        <item x="280"/>
        <item x="2125"/>
        <item x="49"/>
        <item x="740"/>
        <item x="2046"/>
        <item x="297"/>
        <item x="153"/>
        <item x="2129"/>
        <item x="154"/>
        <item x="738"/>
        <item x="2128"/>
        <item x="2127"/>
        <item x="2246"/>
        <item x="51"/>
        <item x="787"/>
        <item x="42"/>
        <item x="52"/>
        <item x="137"/>
        <item x="942"/>
        <item x="50"/>
        <item x="824"/>
        <item x="268"/>
        <item x="946"/>
        <item x="2267"/>
        <item x="2250"/>
        <item x="3668"/>
        <item x="148"/>
        <item x="1881"/>
        <item x="2126"/>
        <item x="48"/>
        <item x="788"/>
        <item x="150"/>
        <item x="940"/>
        <item x="264"/>
        <item x="804"/>
        <item x="2040"/>
        <item x="136"/>
        <item x="3667"/>
        <item x="2130"/>
        <item x="937"/>
        <item x="795"/>
        <item x="828"/>
        <item x="904"/>
        <item x="737"/>
        <item x="825"/>
        <item x="1756"/>
        <item x="143"/>
        <item x="267"/>
        <item x="807"/>
        <item x="806"/>
        <item x="2247"/>
        <item x="736"/>
        <item x="764"/>
        <item x="1790"/>
        <item x="1038"/>
        <item x="139"/>
        <item x="814"/>
        <item x="796"/>
        <item x="2245"/>
        <item x="1045"/>
        <item x="747"/>
        <item x="53"/>
        <item x="138"/>
        <item x="800"/>
        <item x="905"/>
        <item x="1885"/>
        <item x="920"/>
        <item x="741"/>
        <item x="805"/>
        <item x="242"/>
        <item x="765"/>
        <item x="831"/>
        <item x="152"/>
        <item x="826"/>
        <item x="1749"/>
        <item x="244"/>
        <item x="2269"/>
        <item x="140"/>
        <item x="1036"/>
        <item x="3666"/>
        <item x="1850"/>
        <item x="734"/>
        <item x="1049"/>
        <item x="1047"/>
        <item x="907"/>
        <item x="316"/>
        <item x="141"/>
        <item x="815"/>
        <item x="752"/>
        <item x="54"/>
        <item x="789"/>
        <item x="151"/>
        <item x="298"/>
        <item x="41"/>
        <item x="1044"/>
        <item x="1048"/>
        <item x="748"/>
        <item x="1046"/>
        <item x="801"/>
        <item x="792"/>
        <item x="3880"/>
        <item x="943"/>
        <item x="3879"/>
        <item x="933"/>
        <item x="1869"/>
        <item x="749"/>
        <item x="1057"/>
        <item x="1851"/>
        <item x="65"/>
        <item x="149"/>
        <item x="791"/>
        <item x="803"/>
        <item x="830"/>
        <item x="1139"/>
        <item x="39"/>
        <item x="829"/>
        <item x="906"/>
        <item x="2268"/>
        <item x="1880"/>
        <item x="2266"/>
        <item x="832"/>
        <item x="1617"/>
        <item x="2327"/>
        <item x="739"/>
        <item x="827"/>
        <item x="794"/>
        <item x="248"/>
        <item x="317"/>
        <item x="912"/>
        <item x="917"/>
        <item x="793"/>
        <item x="1217"/>
        <item x="2048"/>
        <item x="2253"/>
        <item x="246"/>
        <item x="1625"/>
        <item x="1216"/>
        <item x="766"/>
        <item x="1788"/>
        <item x="2047"/>
        <item x="243"/>
        <item x="303"/>
        <item x="1787"/>
        <item x="1754"/>
        <item x="304"/>
        <item x="45"/>
        <item x="934"/>
        <item x="1037"/>
        <item x="2324"/>
        <item x="790"/>
        <item x="2325"/>
        <item x="816"/>
        <item x="1786"/>
        <item x="2019"/>
        <item x="1785"/>
        <item x="833"/>
        <item x="746"/>
        <item x="2326"/>
        <item x="944"/>
        <item x="299"/>
        <item x="44"/>
        <item x="1628"/>
        <item x="918"/>
        <item x="306"/>
        <item x="909"/>
        <item x="263"/>
        <item x="305"/>
        <item x="908"/>
        <item x="37"/>
        <item x="1825"/>
        <item x="300"/>
        <item x="1043"/>
        <item x="819"/>
        <item x="1042"/>
        <item x="1784"/>
        <item x="910"/>
        <item x="927"/>
        <item x="245"/>
        <item x="797"/>
        <item x="2323"/>
        <item x="1879"/>
        <item x="241"/>
        <item x="2321"/>
        <item x="2249"/>
        <item x="1832"/>
        <item x="802"/>
        <item x="1627"/>
        <item x="1626"/>
        <item x="2265"/>
        <item x="2035"/>
        <item x="247"/>
        <item x="38"/>
        <item x="735"/>
        <item x="3896"/>
        <item x="921"/>
        <item x="1041"/>
        <item x="301"/>
        <item x="55"/>
        <item x="64"/>
        <item x="2257"/>
        <item x="2018"/>
        <item x="302"/>
        <item x="2264"/>
        <item x="3897"/>
        <item x="3899"/>
        <item x="1783"/>
        <item x="2258"/>
        <item x="922"/>
        <item x="768"/>
        <item x="799"/>
        <item x="285"/>
        <item x="769"/>
        <item x="798"/>
        <item x="743"/>
        <item x="913"/>
        <item x="2263"/>
        <item x="911"/>
        <item x="928"/>
        <item x="2252"/>
        <item x="2322"/>
        <item x="926"/>
        <item x="1782"/>
        <item x="1050"/>
        <item x="36"/>
        <item x="1751"/>
        <item x="3240"/>
        <item x="2320"/>
        <item x="742"/>
        <item x="1854"/>
        <item x="745"/>
        <item x="249"/>
        <item x="3241"/>
        <item x="1039"/>
        <item x="1040"/>
        <item x="2260"/>
        <item x="916"/>
        <item x="945"/>
        <item x="1861"/>
        <item x="2319"/>
        <item x="240"/>
        <item x="310"/>
        <item x="307"/>
        <item x="2243"/>
        <item x="237"/>
        <item x="3898"/>
        <item x="1824"/>
        <item x="57"/>
        <item x="2318"/>
        <item x="929"/>
        <item x="239"/>
        <item x="2262"/>
        <item x="1826"/>
        <item x="235"/>
        <item x="2244"/>
        <item x="1056"/>
        <item x="2255"/>
        <item x="2261"/>
        <item x="40"/>
        <item x="2317"/>
        <item x="1619"/>
        <item x="46"/>
        <item x="1620"/>
        <item x="3891"/>
        <item x="914"/>
        <item x="234"/>
        <item x="1870"/>
        <item x="1054"/>
        <item x="1618"/>
        <item x="1867"/>
        <item x="2259"/>
        <item x="1052"/>
        <item x="1772"/>
        <item x="1773"/>
        <item x="1852"/>
        <item x="1771"/>
        <item x="28"/>
        <item x="1748"/>
        <item x="932"/>
        <item x="1752"/>
        <item x="1763"/>
        <item x="1624"/>
        <item x="1759"/>
        <item x="1761"/>
        <item x="1814"/>
        <item x="3915"/>
        <item x="2022"/>
        <item x="30"/>
        <item x="236"/>
        <item x="1781"/>
        <item x="1750"/>
        <item x="1051"/>
        <item x="1616"/>
        <item x="3233"/>
        <item x="925"/>
        <item x="2254"/>
        <item x="309"/>
        <item x="2256"/>
        <item x="4166"/>
        <item x="308"/>
        <item x="767"/>
        <item x="923"/>
        <item x="1815"/>
        <item x="281"/>
        <item x="1053"/>
        <item x="233"/>
        <item x="1770"/>
        <item x="924"/>
        <item x="1868"/>
        <item x="1778"/>
        <item x="751"/>
        <item x="1827"/>
        <item x="2329"/>
        <item x="915"/>
        <item x="1765"/>
        <item x="1621"/>
        <item x="63"/>
        <item x="3881"/>
        <item x="1622"/>
        <item x="3883"/>
        <item x="1811"/>
        <item x="2007"/>
        <item x="1215"/>
        <item x="1055"/>
        <item x="1591"/>
        <item x="283"/>
        <item x="744"/>
        <item x="1758"/>
        <item x="2330"/>
        <item x="282"/>
        <item x="1816"/>
        <item x="56"/>
        <item x="930"/>
        <item x="1779"/>
        <item x="58"/>
        <item x="1764"/>
        <item x="717"/>
        <item x="719"/>
        <item x="705"/>
        <item x="1810"/>
        <item x="1777"/>
        <item x="872"/>
        <item x="1615"/>
        <item x="1812"/>
        <item x="870"/>
        <item x="238"/>
        <item x="1774"/>
        <item x="2331"/>
        <item x="1817"/>
        <item x="1769"/>
        <item x="220"/>
        <item x="1821"/>
        <item x="1776"/>
        <item x="1813"/>
        <item x="1828"/>
        <item x="931"/>
        <item x="774"/>
        <item x="218"/>
        <item x="1775"/>
        <item x="565"/>
        <item x="2036"/>
        <item x="567"/>
        <item x="1593"/>
        <item x="2242"/>
        <item x="3232"/>
        <item x="715"/>
        <item x="3247"/>
        <item x="1876"/>
        <item x="3246"/>
        <item x="284"/>
        <item x="2006"/>
        <item x="1831"/>
        <item x="869"/>
        <item x="35"/>
        <item x="59"/>
        <item x="62"/>
        <item x="714"/>
        <item x="1745"/>
        <item x="1218"/>
        <item x="2316"/>
        <item x="2328"/>
        <item x="750"/>
        <item x="712"/>
        <item x="31"/>
        <item x="1855"/>
        <item x="3900"/>
        <item x="2220"/>
        <item x="706"/>
        <item x="3141"/>
        <item x="2223"/>
        <item x="231"/>
        <item x="1877"/>
        <item x="251"/>
        <item x="2315"/>
        <item x="1853"/>
        <item x="1862"/>
        <item x="718"/>
        <item x="868"/>
        <item x="776"/>
        <item x="3901"/>
        <item x="732"/>
        <item x="566"/>
        <item x="703"/>
        <item x="29"/>
        <item x="873"/>
        <item x="874"/>
        <item x="2222"/>
        <item x="1766"/>
        <item x="232"/>
        <item x="2936"/>
        <item x="773"/>
        <item x="262"/>
        <item x="2903"/>
        <item x="1823"/>
        <item x="221"/>
        <item x="2216"/>
        <item x="777"/>
        <item x="2238"/>
        <item x="709"/>
        <item x="1830"/>
        <item x="1818"/>
        <item x="1"/>
        <item x="6"/>
        <item x="252"/>
        <item x="1822"/>
        <item x="3249"/>
        <item x="1767"/>
        <item x="1829"/>
        <item x="250"/>
        <item x="1583"/>
        <item x="702"/>
        <item x="1757"/>
        <item x="33"/>
        <item x="253"/>
        <item x="2027"/>
        <item x="2241"/>
        <item x="1614"/>
        <item x="32"/>
        <item x="775"/>
        <item x="2240"/>
        <item x="3149"/>
        <item x="1878"/>
        <item x="0"/>
        <item x="1780"/>
        <item x="2907"/>
        <item x="2026"/>
        <item x="2217"/>
        <item x="5"/>
        <item x="2218"/>
        <item x="1859"/>
        <item x="3142"/>
        <item x="1768"/>
        <item x="2314"/>
        <item x="2904"/>
        <item x="2836"/>
        <item x="2219"/>
        <item x="11"/>
        <item x="61"/>
        <item x="871"/>
        <item x="4"/>
        <item x="733"/>
        <item x="1030"/>
        <item x="562"/>
        <item x="2224"/>
        <item x="1760"/>
        <item x="3148"/>
        <item x="3248"/>
        <item x="1031"/>
        <item x="879"/>
        <item x="1746"/>
        <item x="2313"/>
        <item x="1857"/>
        <item x="2221"/>
        <item x="1029"/>
        <item x="3139"/>
        <item x="1592"/>
        <item x="2"/>
        <item x="3263"/>
        <item x="1860"/>
        <item x="60"/>
        <item x="205"/>
        <item x="571"/>
        <item x="26"/>
        <item x="219"/>
        <item x="7"/>
        <item x="881"/>
        <item x="2230"/>
        <item x="27"/>
        <item x="713"/>
        <item x="25"/>
        <item x="199"/>
        <item x="2226"/>
        <item x="3239"/>
        <item x="1744"/>
        <item x="197"/>
        <item x="3"/>
        <item x="3882"/>
        <item x="731"/>
        <item x="261"/>
        <item x="1629"/>
        <item x="1623"/>
        <item x="3146"/>
        <item x="1762"/>
        <item x="2853"/>
        <item x="2309"/>
        <item x="254"/>
        <item x="2225"/>
        <item x="3903"/>
        <item x="3138"/>
        <item x="1582"/>
        <item x="875"/>
        <item x="228"/>
        <item x="2307"/>
        <item x="3147"/>
        <item x="707"/>
        <item x="229"/>
        <item x="9"/>
        <item x="1584"/>
        <item x="1856"/>
        <item x="3262"/>
        <item x="699"/>
        <item x="2298"/>
        <item x="2906"/>
        <item x="883"/>
        <item x="2934"/>
        <item x="12"/>
        <item x="198"/>
        <item x="568"/>
        <item x="2312"/>
        <item x="10"/>
        <item x="1819"/>
        <item x="8"/>
        <item x="3155"/>
        <item x="582"/>
        <item x="716"/>
        <item x="3717"/>
        <item x="2000"/>
        <item x="2308"/>
        <item x="880"/>
        <item x="3150"/>
        <item x="726"/>
        <item x="2237"/>
        <item x="2232"/>
        <item x="20"/>
        <item x="2852"/>
        <item x="200"/>
        <item x="3140"/>
        <item x="569"/>
        <item x="24"/>
        <item x="700"/>
        <item x="576"/>
        <item x="2229"/>
        <item x="2294"/>
        <item x="2023"/>
        <item x="3251"/>
        <item x="867"/>
        <item x="3144"/>
        <item x="260"/>
        <item x="2010"/>
        <item x="2299"/>
        <item x="572"/>
        <item x="3250"/>
        <item x="2227"/>
        <item x="4144"/>
        <item x="1631"/>
        <item x="2015"/>
        <item x="4164"/>
        <item x="2304"/>
        <item x="882"/>
        <item x="2236"/>
        <item x="2239"/>
        <item x="1219"/>
        <item x="2228"/>
        <item x="577"/>
        <item x="2293"/>
        <item x="1866"/>
        <item x="230"/>
        <item x="581"/>
        <item x="217"/>
        <item x="701"/>
        <item x="2233"/>
        <item x="2306"/>
        <item x="2290"/>
        <item x="1858"/>
        <item x="2297"/>
        <item x="2310"/>
        <item x="1022"/>
        <item x="21"/>
        <item x="2235"/>
        <item x="2296"/>
        <item x="2231"/>
        <item x="570"/>
        <item x="2291"/>
        <item x="2295"/>
        <item x="1747"/>
        <item x="2234"/>
        <item x="3217"/>
        <item x="2303"/>
        <item x="878"/>
        <item x="2004"/>
        <item x="4165"/>
        <item x="2311"/>
        <item x="3143"/>
        <item x="34"/>
        <item x="3224"/>
        <item x="1163"/>
        <item x="2905"/>
        <item x="3902"/>
        <item x="563"/>
        <item x="23"/>
        <item x="564"/>
        <item x="580"/>
        <item x="3219"/>
        <item x="2011"/>
        <item x="3231"/>
        <item x="2003"/>
        <item x="4143"/>
        <item x="2014"/>
        <item x="884"/>
        <item x="2837"/>
        <item x="4146"/>
        <item x="578"/>
        <item x="575"/>
        <item x="725"/>
        <item x="2908"/>
        <item x="668"/>
        <item x="579"/>
        <item x="1820"/>
        <item x="897"/>
        <item x="2008"/>
        <item x="772"/>
        <item x="876"/>
        <item x="19"/>
        <item x="3910"/>
        <item x="2305"/>
        <item x="2005"/>
        <item x="1646"/>
        <item x="3913"/>
        <item x="2002"/>
        <item x="2031"/>
        <item x="2292"/>
        <item x="877"/>
        <item x="1742"/>
        <item x="4147"/>
        <item x="1995"/>
        <item x="2302"/>
        <item x="2931"/>
        <item x="2301"/>
        <item x="3225"/>
        <item x="2902"/>
        <item x="1863"/>
        <item x="3909"/>
        <item x="2028"/>
        <item x="209"/>
        <item x="583"/>
        <item x="865"/>
        <item x="2012"/>
        <item x="1740"/>
        <item x="4141"/>
        <item x="708"/>
        <item x="573"/>
        <item x="3145"/>
        <item x="22"/>
        <item x="2300"/>
        <item x="866"/>
        <item x="1613"/>
        <item x="1864"/>
        <item x="864"/>
        <item x="2001"/>
        <item x="885"/>
        <item x="722"/>
        <item x="3742"/>
        <item x="222"/>
        <item x="2930"/>
        <item x="3226"/>
        <item x="1998"/>
        <item x="1645"/>
        <item x="886"/>
        <item x="1743"/>
        <item x="2933"/>
        <item x="18"/>
        <item x="3914"/>
        <item x="584"/>
        <item x="2013"/>
        <item x="4157"/>
        <item x="669"/>
        <item x="1741"/>
        <item x="3911"/>
        <item x="1999"/>
        <item x="3222"/>
        <item x="14"/>
        <item x="3884"/>
        <item x="13"/>
        <item x="889"/>
        <item x="2854"/>
        <item x="887"/>
        <item x="698"/>
        <item x="2016"/>
        <item x="4081"/>
        <item x="3227"/>
        <item x="899"/>
        <item x="2025"/>
        <item x="1144"/>
        <item x="1143"/>
        <item x="671"/>
        <item x="1142"/>
        <item x="1141"/>
        <item x="728"/>
        <item x="1140"/>
        <item x="3214"/>
        <item x="730"/>
        <item x="210"/>
        <item x="720"/>
        <item x="891"/>
        <item x="2024"/>
        <item x="596"/>
        <item x="208"/>
        <item x="673"/>
        <item x="898"/>
        <item x="3216"/>
        <item x="2929"/>
        <item x="3221"/>
        <item x="574"/>
        <item x="670"/>
        <item x="888"/>
        <item x="3215"/>
        <item x="3886"/>
        <item x="202"/>
        <item x="15"/>
        <item x="3718"/>
        <item x="729"/>
        <item x="4134"/>
        <item x="1214"/>
        <item x="1222"/>
        <item x="1221"/>
        <item x="4139"/>
        <item x="1865"/>
        <item x="3234"/>
        <item x="4149"/>
        <item x="4148"/>
        <item x="255"/>
        <item x="890"/>
        <item x="1997"/>
        <item x="3252"/>
        <item x="1021"/>
        <item x="588"/>
        <item x="704"/>
        <item x="3907"/>
        <item x="201"/>
        <item x="1688"/>
        <item x="4160"/>
        <item x="3152"/>
        <item x="585"/>
        <item x="3887"/>
        <item x="672"/>
        <item x="2894"/>
        <item x="2851"/>
        <item x="16"/>
        <item x="3156"/>
        <item x="1647"/>
        <item x="723"/>
        <item x="1213"/>
        <item x="3220"/>
        <item x="3230"/>
        <item x="3229"/>
        <item x="17"/>
        <item x="595"/>
        <item x="2716"/>
        <item x="1212"/>
        <item x="586"/>
        <item x="1633"/>
        <item x="1996"/>
        <item x="724"/>
        <item x="896"/>
        <item x="4140"/>
        <item x="1630"/>
        <item x="4150"/>
        <item x="1713"/>
        <item x="1562"/>
        <item x="892"/>
        <item x="3218"/>
        <item x="1560"/>
        <item x="1739"/>
        <item x="1559"/>
        <item x="587"/>
        <item x="590"/>
        <item x="1563"/>
        <item x="1148"/>
        <item x="591"/>
        <item x="225"/>
        <item x="3719"/>
        <item x="1689"/>
        <item x="1564"/>
        <item x="2932"/>
        <item x="1566"/>
        <item x="223"/>
        <item x="3228"/>
        <item x="854"/>
        <item x="1558"/>
        <item x="3253"/>
        <item x="1561"/>
        <item x="1687"/>
        <item x="1220"/>
        <item x="589"/>
        <item x="4159"/>
        <item x="2927"/>
        <item x="1737"/>
        <item x="2850"/>
        <item x="3151"/>
        <item x="1565"/>
        <item x="2021"/>
        <item x="216"/>
        <item x="3235"/>
        <item x="4145"/>
        <item x="863"/>
        <item x="1994"/>
        <item x="1738"/>
        <item x="3904"/>
        <item x="4152"/>
        <item x="1993"/>
        <item x="721"/>
        <item x="1653"/>
        <item x="1567"/>
        <item x="1557"/>
        <item x="2956"/>
        <item x="3741"/>
        <item x="2893"/>
        <item x="224"/>
        <item x="840"/>
        <item x="1649"/>
        <item x="3242"/>
        <item x="2895"/>
        <item x="697"/>
        <item x="3890"/>
        <item x="4135"/>
        <item x="4136"/>
        <item x="2890"/>
        <item x="2020"/>
        <item x="2856"/>
        <item x="560"/>
        <item x="1568"/>
        <item x="674"/>
        <item x="3716"/>
        <item x="1223"/>
        <item x="2838"/>
        <item x="3255"/>
        <item x="4142"/>
        <item x="1712"/>
        <item x="1225"/>
        <item x="3888"/>
        <item x="3908"/>
        <item x="2955"/>
        <item x="1159"/>
        <item x="1676"/>
        <item x="3889"/>
        <item x="203"/>
        <item x="1654"/>
        <item x="2843"/>
        <item x="2892"/>
        <item x="226"/>
        <item x="2891"/>
        <item x="533"/>
        <item x="861"/>
        <item x="592"/>
        <item x="856"/>
        <item x="1176"/>
        <item x="3223"/>
        <item x="2896"/>
        <item x="1594"/>
        <item x="3713"/>
        <item x="1595"/>
        <item x="4158"/>
        <item x="2901"/>
        <item x="1652"/>
        <item x="211"/>
        <item x="2909"/>
        <item x="1736"/>
        <item x="857"/>
        <item x="1648"/>
        <item x="1675"/>
        <item x="2957"/>
        <item x="3715"/>
        <item x="1569"/>
        <item x="1556"/>
        <item x="1570"/>
        <item x="557"/>
        <item x="227"/>
        <item x="844"/>
        <item x="3875"/>
        <item x="1161"/>
        <item x="2724"/>
        <item x="204"/>
        <item x="558"/>
        <item x="862"/>
        <item x="893"/>
        <item x="2719"/>
        <item x="2017"/>
        <item x="4080"/>
        <item x="685"/>
        <item x="3878"/>
        <item x="3243"/>
        <item x="696"/>
        <item x="206"/>
        <item x="686"/>
        <item x="845"/>
        <item x="676"/>
        <item x="895"/>
        <item x="3407"/>
        <item x="4133"/>
        <item x="1650"/>
        <item x="1992"/>
        <item x="2926"/>
        <item x="4137"/>
        <item x="2928"/>
        <item x="594"/>
        <item x="1164"/>
        <item x="3912"/>
        <item x="1027"/>
        <item x="692"/>
        <item x="693"/>
        <item x="3905"/>
        <item x="3876"/>
        <item x="1555"/>
        <item x="3194"/>
        <item x="1674"/>
        <item x="3874"/>
        <item x="3906"/>
        <item x="1664"/>
        <item x="1154"/>
        <item x="1651"/>
        <item x="689"/>
        <item x="850"/>
        <item x="2009"/>
        <item x="4156"/>
        <item x="207"/>
        <item x="3710"/>
        <item x="4153"/>
        <item x="1554"/>
        <item x="860"/>
        <item x="1028"/>
        <item x="842"/>
        <item x="3877"/>
        <item x="4083"/>
        <item x="1677"/>
        <item x="3261"/>
        <item x="1612"/>
        <item x="3260"/>
        <item x="3153"/>
        <item x="2845"/>
        <item x="2848"/>
        <item x="4154"/>
        <item x="1571"/>
        <item x="2849"/>
        <item x="2844"/>
        <item x="1667"/>
        <item x="556"/>
        <item x="1690"/>
        <item x="551"/>
        <item x="3403"/>
        <item x="894"/>
        <item x="3417"/>
        <item x="691"/>
        <item x="4132"/>
        <item x="3714"/>
        <item x="1162"/>
        <item x="1669"/>
        <item x="593"/>
        <item x="2958"/>
        <item x="2855"/>
        <item x="2725"/>
        <item x="688"/>
        <item x="2959"/>
        <item x="1673"/>
        <item x="555"/>
        <item x="3408"/>
        <item x="2910"/>
        <item x="1572"/>
        <item x="687"/>
        <item x="695"/>
        <item x="1585"/>
        <item x="3158"/>
        <item x="694"/>
        <item x="1666"/>
        <item x="1175"/>
        <item x="711"/>
        <item x="851"/>
        <item x="3885"/>
        <item x="3409"/>
        <item x="859"/>
        <item x="3236"/>
        <item x="1735"/>
        <item x="3135"/>
        <item x="1596"/>
        <item x="4131"/>
        <item x="841"/>
        <item x="215"/>
        <item x="3157"/>
        <item x="684"/>
        <item x="1149"/>
        <item x="1668"/>
        <item x="3720"/>
        <item x="3159"/>
        <item x="3401"/>
        <item x="1634"/>
        <item x="4130"/>
        <item x="1734"/>
        <item x="559"/>
        <item x="1160"/>
        <item x="3414"/>
        <item x="2847"/>
        <item x="3413"/>
        <item x="3129"/>
        <item x="2713"/>
        <item x="554"/>
        <item x="4151"/>
        <item x="2842"/>
        <item x="256"/>
        <item x="1662"/>
        <item x="727"/>
        <item x="213"/>
        <item x="2935"/>
        <item x="852"/>
        <item x="1678"/>
        <item x="1026"/>
        <item x="1553"/>
        <item x="853"/>
        <item x="3708"/>
        <item x="3410"/>
        <item x="1721"/>
        <item x="1632"/>
        <item x="1573"/>
        <item x="4155"/>
        <item x="855"/>
        <item x="682"/>
        <item x="3154"/>
        <item x="1685"/>
        <item x="2727"/>
        <item x="3402"/>
        <item x="1991"/>
        <item x="3128"/>
        <item x="1665"/>
        <item x="3711"/>
        <item x="1211"/>
        <item x="553"/>
        <item x="2119"/>
        <item x="677"/>
        <item x="2897"/>
        <item x="212"/>
        <item x="3412"/>
        <item x="1655"/>
        <item x="1663"/>
        <item x="1157"/>
        <item x="679"/>
        <item x="552"/>
        <item x="532"/>
        <item x="2742"/>
        <item x="3160"/>
        <item x="4082"/>
        <item x="683"/>
        <item x="3254"/>
        <item x="678"/>
        <item x="2120"/>
        <item x="4163"/>
        <item x="2963"/>
        <item x="1661"/>
        <item x="3415"/>
        <item x="2911"/>
        <item x="2846"/>
        <item x="2400"/>
        <item x="1226"/>
        <item x="1715"/>
        <item x="1152"/>
        <item x="2965"/>
        <item x="2399"/>
        <item x="3400"/>
        <item x="3245"/>
        <item x="843"/>
        <item x="3709"/>
        <item x="1158"/>
        <item x="1574"/>
        <item x="2962"/>
        <item x="3707"/>
        <item x="681"/>
        <item x="3712"/>
        <item x="537"/>
        <item x="1714"/>
        <item x="3404"/>
        <item x="1686"/>
        <item x="2715"/>
        <item x="1575"/>
        <item x="259"/>
        <item x="1704"/>
        <item x="1672"/>
        <item x="3416"/>
        <item x="1716"/>
        <item x="534"/>
        <item x="837"/>
        <item x="2841"/>
        <item x="836"/>
        <item x="1153"/>
        <item x="1990"/>
        <item x="839"/>
        <item x="1656"/>
        <item x="257"/>
        <item x="1691"/>
        <item x="214"/>
        <item x="1720"/>
        <item x="3514"/>
        <item x="1552"/>
        <item x="3406"/>
        <item x="1023"/>
        <item x="1151"/>
        <item x="2398"/>
        <item x="3418"/>
        <item x="680"/>
        <item x="848"/>
        <item x="2961"/>
        <item x="3460"/>
        <item x="1587"/>
        <item x="2389"/>
        <item x="3461"/>
        <item x="2889"/>
        <item x="2964"/>
        <item x="1145"/>
        <item x="3458"/>
        <item x="597"/>
        <item x="846"/>
        <item x="1682"/>
        <item x="1722"/>
        <item x="2925"/>
        <item x="4161"/>
        <item x="1150"/>
        <item x="2392"/>
        <item x="2969"/>
        <item x="1147"/>
        <item x="3459"/>
        <item x="1670"/>
        <item x="1224"/>
        <item x="538"/>
        <item x="1576"/>
        <item x="1718"/>
        <item x="4138"/>
        <item x="2924"/>
        <item x="2960"/>
        <item x="2880"/>
        <item x="849"/>
        <item x="2839"/>
        <item x="1586"/>
        <item x="3706"/>
        <item x="3133"/>
        <item x="3244"/>
        <item x="3703"/>
        <item x="2968"/>
        <item x="3721"/>
        <item x="2397"/>
        <item x="2391"/>
        <item x="1551"/>
        <item x="1719"/>
        <item x="1577"/>
        <item x="2881"/>
        <item x="3405"/>
        <item x="1957"/>
        <item x="1671"/>
        <item x="1733"/>
        <item x="1177"/>
        <item x="3411"/>
        <item x="3134"/>
        <item x="1611"/>
        <item x="258"/>
        <item x="2923"/>
        <item x="3686"/>
        <item x="1180"/>
        <item x="2967"/>
        <item x="3725"/>
        <item x="3704"/>
        <item x="3086"/>
        <item x="3740"/>
        <item x="2714"/>
        <item x="2912"/>
        <item x="1680"/>
        <item x="1578"/>
        <item x="1693"/>
        <item x="1167"/>
        <item x="3002"/>
        <item x="4196"/>
        <item x="1723"/>
        <item x="3446"/>
        <item x="1959"/>
        <item x="4162"/>
        <item x="3723"/>
        <item x="1989"/>
        <item x="675"/>
        <item x="2390"/>
        <item x="2882"/>
        <item x="1609"/>
        <item x="3702"/>
        <item x="1644"/>
        <item x="2393"/>
        <item x="2396"/>
        <item x="2888"/>
        <item x="1958"/>
        <item x="1209"/>
        <item x="3512"/>
        <item x="3131"/>
        <item x="847"/>
        <item x="1020"/>
        <item x="1679"/>
        <item x="1179"/>
        <item x="3426"/>
        <item x="1227"/>
        <item x="1681"/>
        <item x="1550"/>
        <item x="3511"/>
        <item x="2722"/>
        <item x="2394"/>
        <item x="2395"/>
        <item x="2975"/>
        <item x="1962"/>
        <item x="2922"/>
        <item x="1597"/>
        <item x="2709"/>
        <item x="1692"/>
        <item x="1717"/>
        <item x="1727"/>
        <item x="1181"/>
        <item x="3238"/>
        <item x="2971"/>
        <item x="3456"/>
        <item x="3237"/>
        <item x="3726"/>
        <item x="2887"/>
        <item x="690"/>
        <item x="1960"/>
        <item x="3739"/>
        <item x="2970"/>
        <item x="1208"/>
        <item x="2974"/>
        <item x="1166"/>
        <item x="1606"/>
        <item x="3705"/>
        <item x="1968"/>
        <item x="2885"/>
        <item x="1610"/>
        <item x="1967"/>
        <item x="1642"/>
        <item x="858"/>
        <item x="3089"/>
        <item x="3132"/>
        <item x="3445"/>
        <item x="2518"/>
        <item x="3722"/>
        <item x="3077"/>
        <item x="1961"/>
        <item x="1146"/>
        <item x="2386"/>
        <item x="2972"/>
        <item x="3161"/>
        <item x="3137"/>
        <item x="540"/>
        <item x="3455"/>
        <item x="1697"/>
        <item x="3076"/>
        <item x="1701"/>
        <item x="2879"/>
        <item x="2519"/>
        <item x="1963"/>
        <item x="2973"/>
        <item x="3000"/>
        <item x="2878"/>
        <item x="2521"/>
        <item x="1579"/>
        <item x="1732"/>
        <item x="2913"/>
        <item x="4125"/>
        <item x="1964"/>
        <item x="3457"/>
        <item x="3084"/>
        <item x="4084"/>
        <item x="3701"/>
        <item x="1549"/>
        <item x="3136"/>
        <item x="1547"/>
        <item x="2524"/>
        <item x="1210"/>
        <item x="1608"/>
        <item x="1965"/>
        <item x="4123"/>
        <item x="536"/>
        <item x="1169"/>
        <item x="2710"/>
        <item x="1172"/>
        <item x="1156"/>
        <item x="1726"/>
        <item x="2883"/>
        <item x="3130"/>
        <item x="3447"/>
        <item x="2515"/>
        <item x="1731"/>
        <item x="710"/>
        <item x="3513"/>
        <item x="2840"/>
        <item x="2966"/>
        <item x="1182"/>
        <item x="1969"/>
        <item x="1728"/>
        <item x="4122"/>
        <item x="3090"/>
        <item x="3419"/>
        <item x="2118"/>
        <item x="3449"/>
        <item x="1533"/>
        <item x="2517"/>
        <item x="1695"/>
        <item x="3685"/>
        <item x="3454"/>
        <item x="2702"/>
        <item x="1535"/>
        <item x="2516"/>
        <item x="1966"/>
        <item x="1657"/>
        <item x="1643"/>
        <item x="1590"/>
        <item x="3694"/>
        <item x="1729"/>
        <item x="1548"/>
        <item x="1730"/>
        <item x="1534"/>
        <item x="2884"/>
        <item x="1580"/>
        <item x="1985"/>
        <item x="3422"/>
        <item x="1702"/>
        <item x="2385"/>
        <item x="1607"/>
        <item x="3425"/>
        <item x="1725"/>
        <item x="4124"/>
        <item x="1536"/>
        <item x="2701"/>
        <item x="1698"/>
        <item x="4195"/>
        <item x="4120"/>
        <item x="1546"/>
        <item x="1705"/>
        <item x="3448"/>
        <item x="1988"/>
        <item x="539"/>
        <item x="3088"/>
        <item x="2921"/>
        <item x="1605"/>
        <item x="2919"/>
        <item x="2886"/>
        <item x="2388"/>
        <item x="1987"/>
        <item x="2522"/>
        <item x="3087"/>
        <item x="1696"/>
        <item x="2954"/>
        <item x="2872"/>
        <item x="1168"/>
        <item x="1724"/>
        <item x="1970"/>
        <item x="4119"/>
        <item x="2920"/>
        <item x="3444"/>
        <item x="1537"/>
        <item x="2520"/>
        <item x="1581"/>
        <item x="2898"/>
        <item x="1971"/>
        <item x="2900"/>
        <item x="3690"/>
        <item x="3420"/>
        <item x="2525"/>
        <item x="1972"/>
        <item x="1178"/>
        <item x="1545"/>
        <item x="2523"/>
        <item x="3450"/>
        <item x="2917"/>
        <item x="2064"/>
        <item x="4087"/>
        <item x="3689"/>
        <item x="3688"/>
        <item x="1589"/>
        <item x="1155"/>
        <item x="3423"/>
        <item x="1228"/>
        <item x="2743"/>
        <item x="1986"/>
        <item x="4126"/>
        <item x="2916"/>
        <item x="1588"/>
        <item x="2914"/>
        <item x="838"/>
        <item x="4197"/>
        <item x="2976"/>
        <item x="3516"/>
        <item x="550"/>
        <item x="3452"/>
        <item x="3258"/>
        <item x="2915"/>
        <item x="3437"/>
        <item x="3695"/>
        <item x="1018"/>
        <item x="3826"/>
        <item x="3873"/>
        <item x="2116"/>
        <item x="1706"/>
        <item x="3515"/>
        <item x="1231"/>
        <item x="1514"/>
        <item x="2072"/>
        <item x="3001"/>
        <item x="2876"/>
        <item x="1174"/>
        <item x="2387"/>
        <item x="3453"/>
        <item x="1229"/>
        <item x="1707"/>
        <item x="2918"/>
        <item x="3738"/>
        <item x="541"/>
        <item x="3451"/>
        <item x="1684"/>
        <item x="1973"/>
        <item x="535"/>
        <item x="3439"/>
        <item x="1956"/>
        <item x="1230"/>
        <item x="1699"/>
        <item x="1173"/>
        <item x="3195"/>
        <item x="3196"/>
        <item x="1984"/>
        <item x="2526"/>
        <item x="1532"/>
        <item x="3085"/>
        <item x="1982"/>
        <item x="3434"/>
        <item x="3699"/>
        <item x="3700"/>
        <item x="4085"/>
        <item x="3436"/>
        <item x="1544"/>
        <item x="2514"/>
        <item x="3510"/>
        <item x="2877"/>
        <item x="1983"/>
        <item x="1980"/>
        <item x="3724"/>
        <item x="542"/>
        <item x="2875"/>
        <item x="3737"/>
        <item x="1981"/>
        <item x="1979"/>
        <item x="3435"/>
        <item x="2071"/>
        <item x="2063"/>
        <item x="1604"/>
        <item x="3421"/>
        <item x="1531"/>
        <item x="3116"/>
        <item x="3424"/>
        <item x="1543"/>
        <item x="4129"/>
        <item x="1171"/>
        <item x="1708"/>
        <item x="2823"/>
        <item x="2835"/>
        <item x="4086"/>
        <item x="2704"/>
        <item x="1978"/>
        <item x="2068"/>
        <item x="1529"/>
        <item x="1517"/>
        <item x="1170"/>
        <item x="2513"/>
        <item x="1183"/>
        <item x="4200"/>
        <item x="2712"/>
        <item x="1530"/>
        <item x="1709"/>
        <item x="2977"/>
        <item x="2997"/>
        <item x="1518"/>
        <item x="1542"/>
        <item x="1683"/>
        <item x="1515"/>
        <item x="1516"/>
        <item x="561"/>
        <item x="1025"/>
        <item x="1703"/>
        <item x="2070"/>
        <item x="1521"/>
        <item x="1520"/>
        <item x="1977"/>
        <item x="3438"/>
        <item x="2065"/>
        <item x="3427"/>
        <item x="1541"/>
        <item x="1658"/>
        <item x="1976"/>
        <item x="2528"/>
        <item x="2062"/>
        <item x="2979"/>
        <item x="2117"/>
        <item x="2066"/>
        <item x="1522"/>
        <item x="4198"/>
        <item x="3259"/>
        <item x="1017"/>
        <item x="3727"/>
        <item x="4128"/>
        <item x="2073"/>
        <item x="3257"/>
        <item x="2053"/>
        <item x="1540"/>
        <item x="1524"/>
        <item x="1519"/>
        <item x="1528"/>
        <item x="4088"/>
        <item x="1523"/>
        <item x="3821"/>
        <item x="2527"/>
        <item x="1539"/>
        <item x="1201"/>
        <item x="2533"/>
        <item x="2708"/>
        <item x="2061"/>
        <item x="1974"/>
        <item x="2115"/>
        <item x="3094"/>
        <item x="3979"/>
        <item x="1165"/>
        <item x="3693"/>
        <item x="2999"/>
        <item x="442"/>
        <item x="3081"/>
        <item x="1232"/>
        <item x="3980"/>
        <item x="1538"/>
        <item x="3432"/>
        <item x="451"/>
        <item x="3518"/>
        <item x="3691"/>
        <item x="3115"/>
        <item x="1525"/>
        <item x="2834"/>
        <item x="3080"/>
        <item x="2510"/>
        <item x="3863"/>
        <item x="2529"/>
        <item x="2114"/>
        <item x="4201"/>
        <item x="1710"/>
        <item x="1694"/>
        <item x="2069"/>
        <item x="2052"/>
        <item x="3440"/>
        <item x="3520"/>
        <item x="1700"/>
        <item x="3433"/>
        <item x="3850"/>
        <item x="2530"/>
        <item x="2054"/>
        <item x="1955"/>
        <item x="2986"/>
        <item x="1526"/>
        <item x="3744"/>
        <item x="3697"/>
        <item x="1635"/>
        <item x="3355"/>
        <item x="3162"/>
        <item x="2055"/>
        <item x="3736"/>
        <item x="1527"/>
        <item x="1659"/>
        <item x="1205"/>
        <item x="2531"/>
        <item x="450"/>
        <item x="2989"/>
        <item x="2991"/>
        <item x="4117"/>
        <item x="2077"/>
        <item x="1660"/>
        <item x="3692"/>
        <item x="3978"/>
        <item x="1975"/>
        <item x="1599"/>
        <item x="3431"/>
        <item x="1711"/>
        <item x="2998"/>
        <item x="2982"/>
        <item x="3818"/>
        <item x="3829"/>
        <item x="445"/>
        <item x="2076"/>
        <item x="2060"/>
        <item x="2057"/>
        <item x="3864"/>
        <item x="443"/>
        <item x="2099"/>
        <item x="2512"/>
        <item x="3849"/>
        <item x="3828"/>
        <item x="452"/>
        <item x="2996"/>
        <item x="3428"/>
        <item x="3866"/>
        <item x="3443"/>
        <item x="3517"/>
        <item x="2990"/>
        <item x="2994"/>
        <item x="1207"/>
        <item x="4118"/>
        <item x="458"/>
        <item x="2113"/>
        <item x="3753"/>
        <item x="430"/>
        <item x="2981"/>
        <item x="3728"/>
        <item x="2101"/>
        <item x="3698"/>
        <item x="1206"/>
        <item x="3953"/>
        <item x="3429"/>
        <item x="3441"/>
        <item x="3824"/>
        <item x="2112"/>
        <item x="441"/>
        <item x="1024"/>
        <item x="446"/>
        <item x="2511"/>
        <item x="3823"/>
        <item x="3519"/>
        <item x="2995"/>
        <item x="3687"/>
        <item x="2700"/>
        <item x="3820"/>
        <item x="433"/>
        <item x="4116"/>
        <item x="3924"/>
        <item x="2534"/>
        <item x="3729"/>
        <item x="448"/>
        <item x="431"/>
        <item x="2993"/>
        <item x="3082"/>
        <item x="4079"/>
        <item x="2987"/>
        <item x="2102"/>
        <item x="2096"/>
        <item x="3430"/>
        <item x="3822"/>
        <item x="2078"/>
        <item x="2509"/>
        <item x="2058"/>
        <item x="2106"/>
        <item x="2535"/>
        <item x="444"/>
        <item x="2056"/>
        <item x="2080"/>
        <item x="3256"/>
        <item x="2103"/>
        <item x="3869"/>
        <item x="543"/>
        <item x="2067"/>
        <item x="3356"/>
        <item x="429"/>
        <item x="2988"/>
        <item x="2111"/>
        <item x="3730"/>
        <item x="4199"/>
        <item x="2059"/>
        <item x="3872"/>
        <item x="3860"/>
        <item x="3861"/>
        <item x="3770"/>
        <item x="2536"/>
        <item x="2107"/>
        <item x="4121"/>
        <item x="2097"/>
        <item x="1598"/>
        <item x="447"/>
        <item x="3399"/>
        <item x="3771"/>
        <item x="3830"/>
        <item x="3819"/>
        <item x="1600"/>
        <item x="3827"/>
        <item x="1202"/>
        <item x="2983"/>
        <item x="3851"/>
        <item x="434"/>
        <item x="2978"/>
        <item x="3093"/>
        <item x="2532"/>
        <item x="3442"/>
        <item x="3078"/>
        <item x="3359"/>
        <item x="1187"/>
        <item x="3814"/>
        <item x="2105"/>
        <item x="3193"/>
        <item x="3083"/>
        <item x="547"/>
        <item x="4202"/>
        <item x="2095"/>
        <item x="422"/>
        <item x="3397"/>
        <item x="4115"/>
        <item x="440"/>
        <item x="3290"/>
        <item x="2899"/>
        <item x="2075"/>
        <item x="2100"/>
        <item x="449"/>
        <item x="2090"/>
        <item x="3816"/>
        <item x="2079"/>
        <item x="3763"/>
        <item x="2104"/>
        <item x="2108"/>
        <item x="2871"/>
        <item x="3832"/>
        <item x="3075"/>
        <item x="3862"/>
        <item x="3761"/>
        <item x="544"/>
        <item x="2992"/>
        <item x="4089"/>
        <item x="3868"/>
        <item x="3696"/>
        <item x="1233"/>
        <item x="3748"/>
        <item x="2074"/>
        <item x="2109"/>
        <item x="453"/>
        <item x="3825"/>
        <item x="439"/>
        <item x="2720"/>
        <item x="4231"/>
        <item x="1601"/>
        <item x="2824"/>
        <item x="1189"/>
        <item x="3384"/>
        <item x="3812"/>
        <item x="2348"/>
        <item x="1204"/>
        <item x="2952"/>
        <item x="548"/>
        <item x="3768"/>
        <item x="438"/>
        <item x="1188"/>
        <item x="3831"/>
        <item x="1184"/>
        <item x="2089"/>
        <item x="1602"/>
        <item x="3383"/>
        <item x="432"/>
        <item x="3732"/>
        <item x="3735"/>
        <item x="3593"/>
        <item x="3760"/>
        <item x="428"/>
        <item x="2081"/>
        <item x="3921"/>
        <item x="3731"/>
        <item x="2094"/>
        <item x="3127"/>
        <item x="427"/>
        <item x="3126"/>
        <item x="3098"/>
        <item x="3079"/>
        <item x="2093"/>
        <item x="2717"/>
        <item x="3923"/>
        <item x="2091"/>
        <item x="3964"/>
        <item x="3372"/>
        <item x="3815"/>
        <item x="546"/>
        <item x="3296"/>
        <item x="435"/>
        <item x="549"/>
        <item x="2953"/>
        <item x="3754"/>
        <item x="3954"/>
        <item x="1203"/>
        <item x="2828"/>
        <item x="3859"/>
        <item x="2508"/>
        <item x="3073"/>
        <item x="1603"/>
        <item x="3848"/>
        <item x="3398"/>
        <item x="545"/>
        <item x="3092"/>
        <item x="421"/>
        <item x="3192"/>
        <item x="3963"/>
        <item x="2092"/>
        <item x="3772"/>
        <item x="3925"/>
        <item x="3865"/>
        <item x="3381"/>
        <item x="3124"/>
        <item x="1190"/>
        <item x="3382"/>
        <item x="1641"/>
        <item x="3767"/>
        <item x="2985"/>
        <item x="423"/>
        <item x="3091"/>
        <item x="3125"/>
        <item x="3967"/>
        <item x="3776"/>
        <item x="3074"/>
        <item x="4114"/>
        <item x="3774"/>
        <item x="1186"/>
        <item x="3386"/>
        <item x="2721"/>
        <item x="3114"/>
        <item x="3922"/>
        <item x="3095"/>
        <item x="3592"/>
        <item x="3817"/>
        <item x="2088"/>
        <item x="3927"/>
        <item x="3769"/>
        <item x="2110"/>
        <item x="2832"/>
        <item x="3973"/>
        <item x="3525"/>
        <item x="3749"/>
        <item x="3387"/>
        <item x="437"/>
        <item x="460"/>
        <item x="436"/>
        <item x="2984"/>
        <item x="3191"/>
        <item x="3840"/>
        <item x="3747"/>
        <item x="3385"/>
        <item x="3867"/>
        <item x="457"/>
        <item x="3929"/>
        <item x="3357"/>
        <item x="2351"/>
        <item x="2082"/>
        <item x="3746"/>
        <item x="3099"/>
        <item x="3764"/>
        <item x="3871"/>
        <item x="3968"/>
        <item x="3780"/>
        <item x="3782"/>
        <item x="3734"/>
        <item x="3965"/>
        <item x="3813"/>
        <item x="1185"/>
        <item x="3349"/>
        <item x="3539"/>
        <item x="4099"/>
        <item x="4230"/>
        <item x="3962"/>
        <item x="3380"/>
        <item x="2711"/>
        <item x="3368"/>
        <item x="4203"/>
        <item x="2833"/>
        <item x="2352"/>
        <item x="3926"/>
        <item x="2098"/>
        <item x="424"/>
        <item x="426"/>
        <item x="3750"/>
        <item x="3966"/>
        <item x="3351"/>
        <item x="3783"/>
        <item x="3759"/>
        <item x="3358"/>
        <item x="3757"/>
        <item x="2353"/>
        <item x="2349"/>
        <item x="3857"/>
        <item x="3781"/>
        <item x="3870"/>
        <item x="3390"/>
        <item x="3758"/>
        <item x="3369"/>
        <item x="3103"/>
        <item x="3371"/>
        <item x="3935"/>
        <item x="3586"/>
        <item x="3171"/>
        <item x="3587"/>
        <item x="3852"/>
        <item x="3952"/>
        <item x="3376"/>
        <item x="459"/>
        <item x="2083"/>
        <item x="454"/>
        <item x="3353"/>
        <item x="3762"/>
        <item x="3291"/>
        <item x="1199"/>
        <item x="3773"/>
        <item x="3354"/>
        <item x="3163"/>
        <item x="3169"/>
        <item x="3858"/>
        <item x="3551"/>
        <item x="3373"/>
        <item x="2857"/>
        <item x="3172"/>
        <item x="3972"/>
        <item x="3931"/>
        <item x="3395"/>
        <item x="3096"/>
        <item x="3969"/>
        <item x="2354"/>
        <item x="3170"/>
        <item x="456"/>
        <item x="3733"/>
        <item x="3752"/>
        <item x="3974"/>
        <item x="3348"/>
        <item x="3856"/>
        <item x="3784"/>
        <item x="2827"/>
        <item x="4127"/>
        <item x="2084"/>
        <item x="2085"/>
        <item x="2830"/>
        <item x="3584"/>
        <item x="3775"/>
        <item x="3766"/>
        <item x="3932"/>
        <item x="3756"/>
        <item x="2507"/>
        <item x="2355"/>
        <item x="1200"/>
        <item x="4098"/>
        <item x="3524"/>
        <item x="3590"/>
        <item x="3552"/>
        <item x="4229"/>
        <item x="3350"/>
        <item x="4096"/>
        <item x="3765"/>
        <item x="3960"/>
        <item x="3541"/>
        <item x="2350"/>
        <item x="3785"/>
        <item x="3751"/>
        <item x="3553"/>
        <item x="2829"/>
        <item x="2718"/>
        <item x="4078"/>
        <item x="3378"/>
        <item x="3374"/>
        <item x="3102"/>
        <item x="1954"/>
        <item x="3779"/>
        <item x="3540"/>
        <item x="3930"/>
        <item x="2357"/>
        <item x="3352"/>
        <item x="4095"/>
        <item x="3164"/>
        <item x="3168"/>
        <item x="3847"/>
        <item x="1191"/>
        <item x="3394"/>
        <item x="3370"/>
        <item x="3853"/>
        <item x="3377"/>
        <item x="2980"/>
        <item x="3961"/>
        <item x="3975"/>
        <item x="2383"/>
        <item x="3920"/>
        <item x="1913"/>
        <item x="3743"/>
        <item x="3959"/>
        <item x="1196"/>
        <item x="3549"/>
        <item x="3846"/>
        <item x="3955"/>
        <item x="3777"/>
        <item x="3933"/>
        <item x="3585"/>
        <item x="3562"/>
        <item x="3834"/>
        <item x="3588"/>
        <item x="3928"/>
        <item x="4100"/>
        <item x="3522"/>
        <item x="3841"/>
        <item x="3289"/>
        <item x="4194"/>
        <item x="2951"/>
        <item x="3943"/>
        <item x="3977"/>
        <item x="1923"/>
        <item x="2356"/>
        <item x="3845"/>
        <item x="3165"/>
        <item x="3843"/>
        <item x="4094"/>
        <item x="3917"/>
        <item x="4090"/>
        <item x="1925"/>
        <item x="3565"/>
        <item x="3854"/>
        <item x="3509"/>
        <item x="3181"/>
        <item x="2874"/>
        <item x="1922"/>
        <item x="3178"/>
        <item x="3167"/>
        <item x="3295"/>
        <item x="3179"/>
        <item x="3097"/>
        <item x="3755"/>
        <item x="4077"/>
        <item x="2703"/>
        <item x="1192"/>
        <item x="3292"/>
        <item x="3375"/>
        <item x="1911"/>
        <item x="2858"/>
        <item x="3365"/>
        <item x="2087"/>
        <item x="1945"/>
        <item x="3182"/>
        <item x="3835"/>
        <item x="3379"/>
        <item x="3778"/>
        <item x="3396"/>
        <item x="412"/>
        <item x="425"/>
        <item x="3177"/>
        <item x="3545"/>
        <item x="4101"/>
        <item x="1019"/>
        <item x="1197"/>
        <item x="3184"/>
        <item x="3951"/>
        <item x="455"/>
        <item x="1944"/>
        <item x="2723"/>
        <item x="3956"/>
        <item x="416"/>
        <item x="3844"/>
        <item x="418"/>
        <item x="3166"/>
        <item x="3934"/>
        <item x="2384"/>
        <item x="3389"/>
        <item x="3185"/>
        <item x="3105"/>
        <item x="3180"/>
        <item x="1948"/>
        <item x="4212"/>
        <item x="3183"/>
        <item x="3946"/>
        <item x="3543"/>
        <item x="3855"/>
        <item x="3916"/>
        <item x="3836"/>
        <item x="3550"/>
        <item x="2358"/>
        <item x="3563"/>
        <item x="3120"/>
        <item x="3101"/>
        <item x="4091"/>
        <item x="3970"/>
        <item x="3176"/>
        <item x="414"/>
        <item x="4097"/>
        <item x="3971"/>
        <item x="1921"/>
        <item x="415"/>
        <item x="2831"/>
        <item x="3104"/>
        <item x="3842"/>
        <item x="1636"/>
        <item x="419"/>
        <item x="420"/>
        <item x="3523"/>
        <item x="3944"/>
        <item x="3957"/>
        <item x="3949"/>
        <item x="1926"/>
        <item x="3839"/>
        <item x="3950"/>
        <item x="3833"/>
        <item x="3918"/>
        <item x="1950"/>
        <item x="3937"/>
        <item x="1920"/>
        <item x="1924"/>
        <item x="3589"/>
        <item x="4076"/>
        <item x="3948"/>
        <item x="1198"/>
        <item x="1951"/>
        <item x="3594"/>
        <item x="3367"/>
        <item x="1195"/>
        <item x="1943"/>
        <item x="3366"/>
        <item x="3100"/>
        <item x="4102"/>
        <item x="3542"/>
        <item x="3521"/>
        <item x="3364"/>
        <item x="1934"/>
        <item x="3123"/>
        <item x="3745"/>
        <item x="410"/>
        <item x="3362"/>
        <item x="3838"/>
        <item x="3919"/>
        <item x="3293"/>
        <item x="1935"/>
        <item x="3583"/>
        <item x="3947"/>
        <item x="3544"/>
        <item x="3388"/>
        <item x="3958"/>
        <item x="3294"/>
        <item x="3567"/>
        <item x="3122"/>
        <item x="1927"/>
        <item x="3360"/>
        <item x="3363"/>
        <item x="3508"/>
        <item x="4209"/>
        <item x="417"/>
        <item x="1914"/>
        <item x="3189"/>
        <item x="1194"/>
        <item x="1946"/>
        <item x="3938"/>
        <item x="4103"/>
        <item x="1949"/>
        <item x="1936"/>
        <item x="3976"/>
        <item x="1941"/>
        <item x="407"/>
        <item x="3591"/>
        <item x="3297"/>
        <item x="1918"/>
        <item x="1904"/>
        <item x="1912"/>
        <item x="413"/>
        <item x="4092"/>
        <item x="4074"/>
        <item x="3945"/>
        <item x="3548"/>
        <item x="1193"/>
        <item x="3190"/>
        <item x="2086"/>
        <item x="1637"/>
        <item x="375"/>
        <item x="3361"/>
        <item x="4208"/>
        <item x="3173"/>
        <item x="1903"/>
        <item x="3939"/>
        <item x="4093"/>
        <item x="3121"/>
        <item x="3174"/>
        <item x="1942"/>
        <item x="3942"/>
        <item x="3495"/>
        <item x="2506"/>
        <item x="3187"/>
        <item x="4104"/>
        <item x="1906"/>
        <item x="2359"/>
        <item x="1910"/>
        <item x="3336"/>
        <item x="1933"/>
        <item x="409"/>
        <item x="4075"/>
        <item x="1940"/>
        <item x="1952"/>
        <item x="4193"/>
        <item x="3186"/>
        <item x="3566"/>
        <item x="4207"/>
        <item x="1905"/>
        <item x="411"/>
        <item x="3936"/>
        <item x="3941"/>
        <item x="377"/>
        <item x="3175"/>
        <item x="1915"/>
        <item x="3188"/>
        <item x="3335"/>
        <item x="1899"/>
        <item x="4211"/>
        <item x="1931"/>
        <item x="1929"/>
        <item x="1909"/>
        <item x="4205"/>
        <item x="408"/>
        <item x="1930"/>
        <item x="1916"/>
        <item x="4204"/>
        <item x="1919"/>
        <item x="1907"/>
        <item x="3332"/>
        <item x="1932"/>
        <item x="374"/>
        <item x="376"/>
        <item x="4192"/>
        <item x="354"/>
        <item x="2814"/>
        <item x="3546"/>
        <item x="2819"/>
        <item x="1908"/>
        <item x="1485"/>
        <item x="2382"/>
        <item x="1928"/>
        <item x="4213"/>
        <item x="1639"/>
        <item x="3837"/>
        <item x="2859"/>
        <item x="1638"/>
        <item x="1898"/>
        <item x="379"/>
        <item x="4073"/>
        <item x="2950"/>
        <item x="3334"/>
        <item x="2809"/>
        <item x="2502"/>
        <item x="2810"/>
        <item x="2360"/>
        <item x="1917"/>
        <item x="2726"/>
        <item x="2695"/>
        <item x="1897"/>
        <item x="1902"/>
        <item x="4113"/>
        <item x="1901"/>
        <item x="3106"/>
        <item x="1953"/>
        <item x="3496"/>
        <item x="1937"/>
        <item x="3547"/>
        <item x="3288"/>
        <item x="355"/>
        <item x="358"/>
        <item x="3338"/>
        <item x="1938"/>
        <item x="1939"/>
        <item x="4216"/>
        <item x="2812"/>
        <item x="3486"/>
        <item x="3497"/>
        <item x="4191"/>
        <item x="3564"/>
        <item x="2707"/>
        <item x="2503"/>
        <item x="378"/>
        <item x="2826"/>
        <item x="1947"/>
        <item x="2728"/>
        <item x="3303"/>
        <item x="3305"/>
        <item x="3304"/>
        <item x="4189"/>
        <item x="2822"/>
        <item x="4214"/>
        <item x="3119"/>
        <item x="3306"/>
        <item x="2813"/>
        <item x="4206"/>
        <item x="4072"/>
        <item x="3333"/>
        <item x="370"/>
        <item x="3337"/>
        <item x="4215"/>
        <item x="3940"/>
        <item x="367"/>
        <item x="1640"/>
        <item x="3487"/>
        <item x="2380"/>
        <item x="3570"/>
        <item x="4210"/>
        <item x="3595"/>
        <item x="2947"/>
        <item x="357"/>
        <item x="2816"/>
        <item x="3301"/>
        <item x="4217"/>
        <item x="4190"/>
        <item x="390"/>
        <item x="2505"/>
        <item x="3507"/>
        <item x="2817"/>
        <item x="3391"/>
        <item x="3504"/>
        <item x="330"/>
        <item x="3506"/>
        <item x="356"/>
        <item x="1484"/>
        <item x="2504"/>
        <item x="2706"/>
        <item x="3488"/>
        <item x="2334"/>
        <item x="331"/>
        <item x="2339"/>
        <item x="2821"/>
        <item x="3108"/>
        <item x="342"/>
        <item x="334"/>
        <item x="2699"/>
        <item x="3347"/>
        <item x="2705"/>
        <item x="3117"/>
        <item x="3505"/>
        <item x="1890"/>
        <item x="2337"/>
        <item x="3502"/>
        <item x="2946"/>
        <item x="2338"/>
        <item x="3568"/>
        <item x="3571"/>
        <item x="2696"/>
        <item x="3300"/>
        <item x="3310"/>
        <item x="2501"/>
        <item x="3526"/>
        <item x="361"/>
        <item x="3302"/>
        <item x="2818"/>
        <item x="328"/>
        <item x="3471"/>
        <item x="3786"/>
        <item x="1892"/>
        <item x="1891"/>
        <item x="4051"/>
        <item x="380"/>
        <item x="4188"/>
        <item x="388"/>
        <item x="3494"/>
        <item x="3572"/>
        <item x="1900"/>
        <item x="2335"/>
        <item x="1494"/>
        <item x="3485"/>
        <item x="337"/>
        <item x="322"/>
        <item x="1496"/>
        <item x="2815"/>
        <item x="2870"/>
        <item x="3569"/>
        <item x="3113"/>
        <item x="3472"/>
        <item x="4068"/>
        <item x="4069"/>
        <item x="343"/>
        <item x="389"/>
        <item x="3489"/>
        <item x="1894"/>
        <item x="3346"/>
        <item x="3298"/>
        <item x="2491"/>
        <item x="1495"/>
        <item x="2333"/>
        <item x="3484"/>
        <item x="2336"/>
        <item x="3107"/>
        <item x="4112"/>
        <item x="2820"/>
        <item x="1896"/>
        <item x="3299"/>
        <item x="3789"/>
        <item x="1493"/>
        <item x="325"/>
        <item x="4067"/>
        <item x="2332"/>
        <item x="1490"/>
        <item x="3557"/>
        <item x="3109"/>
        <item x="4228"/>
        <item x="3309"/>
        <item x="2873"/>
        <item x="4070"/>
        <item x="3466"/>
        <item x="3307"/>
        <item x="3308"/>
        <item x="381"/>
        <item x="351"/>
        <item x="4187"/>
        <item x="352"/>
        <item x="368"/>
        <item x="382"/>
        <item x="3580"/>
        <item x="353"/>
        <item x="333"/>
        <item x="2825"/>
        <item x="1482"/>
        <item x="2381"/>
        <item x="366"/>
        <item x="335"/>
        <item x="4052"/>
        <item x="344"/>
        <item x="3790"/>
        <item x="1481"/>
        <item x="4218"/>
        <item x="3538"/>
        <item x="340"/>
        <item x="362"/>
        <item x="4054"/>
        <item x="3490"/>
        <item x="373"/>
        <item x="1483"/>
        <item x="349"/>
        <item x="3468"/>
        <item x="1513"/>
        <item x="3498"/>
        <item x="3503"/>
        <item x="387"/>
        <item x="1491"/>
        <item x="3558"/>
        <item x="3118"/>
        <item x="2792"/>
        <item x="3341"/>
        <item x="4105"/>
        <item x="4064"/>
        <item x="323"/>
        <item x="4071"/>
        <item x="1893"/>
        <item x="1895"/>
        <item x="360"/>
        <item x="2791"/>
        <item x="3462"/>
        <item x="4053"/>
        <item x="2811"/>
        <item x="3467"/>
        <item x="3499"/>
        <item x="2789"/>
        <item x="1511"/>
        <item x="2697"/>
        <item x="2478"/>
        <item x="3501"/>
        <item x="2736"/>
        <item x="3554"/>
        <item x="4066"/>
        <item x="336"/>
        <item x="2490"/>
        <item x="3339"/>
        <item x="2767"/>
        <item x="3345"/>
        <item x="3807"/>
        <item x="3555"/>
        <item x="3788"/>
        <item x="347"/>
        <item x="2492"/>
        <item x="4062"/>
        <item x="2474"/>
        <item x="4111"/>
        <item x="2489"/>
        <item x="3527"/>
        <item x="3500"/>
        <item x="3110"/>
        <item x="324"/>
        <item x="2948"/>
        <item x="2471"/>
        <item x="3482"/>
        <item x="2860"/>
        <item x="1498"/>
        <item x="3483"/>
        <item x="1497"/>
        <item x="3561"/>
        <item x="2945"/>
        <item x="359"/>
        <item x="2698"/>
        <item x="2796"/>
        <item x="4056"/>
        <item x="3808"/>
        <item x="1499"/>
        <item x="2790"/>
        <item x="3491"/>
        <item x="321"/>
        <item x="2476"/>
        <item x="399"/>
        <item x="3791"/>
        <item x="3581"/>
        <item x="2475"/>
        <item x="3479"/>
        <item x="2793"/>
        <item x="2766"/>
        <item x="2477"/>
        <item x="345"/>
        <item x="3806"/>
        <item x="4219"/>
        <item x="1474"/>
        <item x="3787"/>
        <item x="1504"/>
        <item x="4055"/>
        <item x="2379"/>
        <item x="406"/>
        <item x="1512"/>
        <item x="2472"/>
        <item x="4184"/>
        <item x="4063"/>
        <item x="4058"/>
        <item x="3792"/>
        <item x="2488"/>
        <item x="4227"/>
        <item x="2470"/>
        <item x="2805"/>
        <item x="2487"/>
        <item x="1492"/>
        <item x="2495"/>
        <item x="3393"/>
        <item x="4183"/>
        <item x="2795"/>
        <item x="2499"/>
        <item x="4185"/>
        <item x="3343"/>
        <item x="3481"/>
        <item x="3342"/>
        <item x="1489"/>
        <item x="363"/>
        <item x="3560"/>
        <item x="341"/>
        <item x="3273"/>
        <item x="4220"/>
        <item x="369"/>
        <item x="3340"/>
        <item x="329"/>
        <item x="2768"/>
        <item x="3272"/>
        <item x="384"/>
        <item x="2493"/>
        <item x="2473"/>
        <item x="1500"/>
        <item x="2781"/>
        <item x="3556"/>
        <item x="2498"/>
        <item x="135"/>
        <item x="1487"/>
        <item x="2469"/>
        <item x="2500"/>
        <item x="3573"/>
        <item x="2794"/>
        <item x="1486"/>
        <item x="4182"/>
        <item x="2494"/>
        <item x="2797"/>
        <item x="395"/>
        <item x="383"/>
        <item x="2497"/>
        <item x="2944"/>
        <item x="401"/>
        <item x="386"/>
        <item x="371"/>
        <item x="3559"/>
        <item x="4059"/>
        <item x="3805"/>
        <item x="2804"/>
        <item x="3312"/>
        <item x="1478"/>
        <item x="4186"/>
        <item x="1475"/>
        <item x="2496"/>
        <item x="3112"/>
        <item x="396"/>
        <item x="326"/>
        <item x="2782"/>
        <item x="3470"/>
        <item x="2784"/>
        <item x="3344"/>
        <item x="3804"/>
        <item x="364"/>
        <item x="327"/>
        <item x="348"/>
        <item x="3287"/>
        <item x="3392"/>
        <item x="3480"/>
        <item x="405"/>
        <item x="393"/>
        <item x="404"/>
        <item x="2942"/>
        <item x="4065"/>
        <item x="4181"/>
        <item x="338"/>
        <item x="3275"/>
        <item x="2361"/>
        <item x="1505"/>
        <item x="3492"/>
        <item x="3311"/>
        <item x="1473"/>
        <item x="1510"/>
        <item x="402"/>
        <item x="3315"/>
        <item x="2943"/>
        <item x="1002"/>
        <item x="1480"/>
        <item x="2765"/>
        <item x="2785"/>
        <item x="3793"/>
        <item x="134"/>
        <item x="3803"/>
        <item x="2806"/>
        <item x="3493"/>
        <item x="2949"/>
        <item x="3314"/>
        <item x="1003"/>
        <item x="385"/>
        <item x="4057"/>
        <item x="3286"/>
        <item x="3478"/>
        <item x="1479"/>
        <item x="398"/>
        <item x="4170"/>
        <item x="3802"/>
        <item x="346"/>
        <item x="1004"/>
        <item x="3473"/>
        <item x="3285"/>
        <item x="4226"/>
        <item x="4109"/>
        <item x="4167"/>
        <item x="2788"/>
        <item x="3111"/>
        <item x="332"/>
        <item x="4108"/>
        <item x="3582"/>
        <item x="403"/>
        <item x="2808"/>
        <item x="1503"/>
        <item x="3284"/>
        <item x="1507"/>
        <item x="2786"/>
        <item x="2468"/>
        <item x="3463"/>
        <item x="4169"/>
        <item x="2735"/>
        <item x="372"/>
        <item x="3801"/>
        <item x="1509"/>
        <item x="1502"/>
        <item x="3794"/>
        <item x="4107"/>
        <item x="2770"/>
        <item x="3464"/>
        <item x="365"/>
        <item x="2940"/>
        <item x="1506"/>
        <item x="339"/>
        <item x="3800"/>
        <item x="3574"/>
        <item x="3317"/>
        <item x="400"/>
        <item x="1476"/>
        <item x="1501"/>
        <item x="2783"/>
        <item x="392"/>
        <item x="4172"/>
        <item x="3469"/>
        <item x="1477"/>
        <item x="2939"/>
        <item x="4179"/>
        <item x="1001"/>
        <item x="133"/>
        <item x="3575"/>
        <item x="3269"/>
        <item x="2378"/>
        <item x="3316"/>
        <item x="991"/>
        <item x="3465"/>
        <item x="1508"/>
        <item x="3796"/>
        <item x="3579"/>
        <item x="3313"/>
        <item x="397"/>
        <item x="2769"/>
        <item x="3811"/>
        <item x="4060"/>
        <item x="3274"/>
        <item x="1472"/>
        <item x="3795"/>
        <item x="4174"/>
        <item x="4180"/>
        <item x="2941"/>
        <item x="4168"/>
        <item x="2807"/>
        <item x="1005"/>
        <item x="2938"/>
        <item x="4110"/>
        <item x="3578"/>
        <item x="1000"/>
        <item x="3475"/>
        <item x="4177"/>
        <item x="4106"/>
        <item x="394"/>
        <item x="3318"/>
        <item x="2780"/>
        <item x="4175"/>
        <item x="3268"/>
        <item x="3809"/>
        <item x="1006"/>
        <item x="3577"/>
        <item x="3810"/>
        <item x="2694"/>
        <item x="3276"/>
        <item x="2787"/>
        <item x="3267"/>
        <item x="2371"/>
        <item x="2737"/>
        <item x="3798"/>
        <item x="4178"/>
        <item x="2372"/>
        <item x="3576"/>
        <item x="1007"/>
        <item x="2467"/>
        <item x="2693"/>
        <item x="3271"/>
        <item x="3270"/>
        <item x="3266"/>
        <item x="3319"/>
        <item x="2861"/>
        <item x="3264"/>
        <item x="3265"/>
        <item x="4224"/>
        <item x="3797"/>
        <item x="2466"/>
        <item x="3474"/>
        <item x="3477"/>
        <item x="3283"/>
        <item x="3799"/>
        <item x="1008"/>
        <item x="2802"/>
        <item x="4173"/>
        <item x="4222"/>
        <item x="3281"/>
        <item x="3282"/>
        <item x="1457"/>
        <item x="2764"/>
        <item x="4171"/>
        <item x="4223"/>
        <item x="4221"/>
        <item x="3320"/>
        <item x="2346"/>
        <item x="2772"/>
        <item x="1466"/>
        <item x="3476"/>
        <item x="3278"/>
        <item x="2215"/>
        <item x="2937"/>
        <item x="4225"/>
        <item x="2799"/>
        <item x="1456"/>
        <item x="989"/>
        <item x="4061"/>
        <item x="1488"/>
        <item x="3277"/>
        <item x="120"/>
        <item x="994"/>
        <item x="996"/>
        <item x="2430"/>
        <item x="2803"/>
        <item x="2801"/>
        <item x="2862"/>
        <item x="987"/>
        <item x="993"/>
        <item x="2375"/>
        <item x="2213"/>
        <item x="2191"/>
        <item x="1447"/>
        <item x="3280"/>
        <item x="2344"/>
        <item x="2446"/>
        <item x="117"/>
        <item x="999"/>
        <item x="1464"/>
        <item x="2869"/>
        <item x="1446"/>
        <item x="2800"/>
        <item x="1459"/>
        <item x="3279"/>
        <item x="2190"/>
        <item x="118"/>
        <item x="1453"/>
        <item x="2193"/>
        <item x="1454"/>
        <item x="998"/>
        <item x="2465"/>
        <item x="2464"/>
        <item x="2342"/>
        <item x="2200"/>
        <item x="2377"/>
        <item x="990"/>
        <item x="1458"/>
        <item x="1010"/>
        <item x="1009"/>
        <item x="2214"/>
        <item x="2798"/>
        <item x="2454"/>
        <item x="2734"/>
        <item x="2196"/>
        <item x="2452"/>
        <item x="3321"/>
        <item x="391"/>
        <item x="2763"/>
        <item x="2363"/>
        <item x="995"/>
        <item x="2370"/>
        <item x="2192"/>
        <item x="2692"/>
        <item x="1463"/>
        <item x="992"/>
        <item x="116"/>
        <item x="2199"/>
        <item x="1462"/>
        <item x="2760"/>
        <item x="2453"/>
        <item x="2431"/>
        <item x="2729"/>
        <item x="2759"/>
        <item x="2863"/>
        <item x="2741"/>
        <item x="986"/>
        <item x="2376"/>
        <item x="1448"/>
        <item x="2198"/>
        <item x="2445"/>
        <item x="988"/>
        <item x="1012"/>
        <item x="119"/>
        <item x="1452"/>
        <item x="2456"/>
        <item x="1011"/>
        <item x="2455"/>
        <item x="2779"/>
        <item x="1013"/>
        <item x="3328"/>
        <item x="997"/>
        <item x="1449"/>
        <item x="1016"/>
        <item x="113"/>
        <item x="2451"/>
        <item x="2195"/>
        <item x="1455"/>
        <item x="2364"/>
        <item x="3327"/>
        <item x="2374"/>
        <item x="121"/>
        <item x="1460"/>
        <item x="2447"/>
        <item x="2773"/>
        <item x="2194"/>
        <item x="3325"/>
        <item x="2201"/>
        <item x="2345"/>
        <item x="2343"/>
        <item x="2449"/>
        <item x="350"/>
        <item x="2738"/>
        <item x="2189"/>
        <item x="1014"/>
        <item x="2457"/>
        <item x="2458"/>
        <item x="122"/>
        <item x="2197"/>
        <item x="1445"/>
        <item x="2347"/>
        <item x="2450"/>
        <item x="2771"/>
        <item x="2761"/>
        <item x="985"/>
        <item x="132"/>
        <item x="1015"/>
        <item x="2188"/>
        <item x="2362"/>
        <item x="3326"/>
        <item x="1450"/>
        <item x="2448"/>
        <item x="114"/>
        <item x="2434"/>
        <item x="1470"/>
        <item x="115"/>
        <item x="2762"/>
        <item x="1467"/>
        <item x="2444"/>
        <item x="3322"/>
        <item x="2341"/>
        <item x="1461"/>
        <item x="2463"/>
        <item x="131"/>
        <item x="2340"/>
        <item x="1451"/>
        <item x="2185"/>
        <item x="1468"/>
        <item x="2433"/>
        <item x="3323"/>
        <item x="1471"/>
        <item x="2369"/>
        <item x="2187"/>
        <item x="2443"/>
        <item x="2758"/>
        <item x="126"/>
        <item x="2202"/>
        <item x="2442"/>
        <item x="3324"/>
        <item x="2183"/>
        <item x="2373"/>
        <item x="3329"/>
        <item x="2432"/>
        <item x="984"/>
        <item x="2184"/>
        <item x="2459"/>
        <item x="2368"/>
        <item x="2461"/>
        <item x="2441"/>
        <item x="110"/>
        <item x="2777"/>
        <item x="2204"/>
        <item x="2776"/>
        <item x="2182"/>
        <item x="2868"/>
        <item x="2186"/>
        <item x="2422"/>
        <item x="107"/>
        <item x="2739"/>
        <item x="1469"/>
        <item x="108"/>
        <item x="2460"/>
        <item x="1444"/>
        <item x="2867"/>
        <item x="2462"/>
        <item x="2778"/>
        <item x="2413"/>
        <item x="2733"/>
        <item x="2410"/>
        <item x="2420"/>
        <item x="531"/>
        <item x="2418"/>
        <item x="2409"/>
        <item x="492"/>
        <item x="2419"/>
        <item x="2203"/>
        <item x="2421"/>
        <item x="2366"/>
        <item x="2181"/>
        <item x="2212"/>
        <item x="2414"/>
        <item x="2864"/>
        <item x="123"/>
        <item x="2435"/>
        <item x="2691"/>
        <item x="2439"/>
        <item x="2745"/>
        <item x="2411"/>
        <item x="2440"/>
        <item x="2412"/>
        <item x="2417"/>
        <item x="109"/>
        <item x="2690"/>
        <item x="2423"/>
        <item x="106"/>
        <item x="2415"/>
        <item x="4176"/>
        <item x="2774"/>
        <item x="1465"/>
        <item x="112"/>
        <item x="2365"/>
        <item x="2367"/>
        <item x="665"/>
        <item x="125"/>
        <item x="105"/>
        <item x="2754"/>
        <item x="2689"/>
        <item x="2179"/>
        <item x="2416"/>
        <item x="530"/>
        <item x="2429"/>
        <item x="129"/>
        <item x="2406"/>
        <item x="2756"/>
        <item x="2404"/>
        <item x="2408"/>
        <item x="2403"/>
        <item x="2428"/>
        <item x="2205"/>
        <item x="2405"/>
        <item x="667"/>
        <item x="3330"/>
        <item x="2427"/>
        <item x="128"/>
        <item x="2436"/>
        <item x="130"/>
        <item x="2178"/>
        <item x="2438"/>
        <item x="2180"/>
        <item x="111"/>
        <item x="127"/>
        <item x="2211"/>
        <item x="2746"/>
        <item x="2775"/>
        <item x="2757"/>
        <item x="2424"/>
        <item x="2744"/>
        <item x="101"/>
        <item x="3331"/>
        <item x="2740"/>
        <item x="666"/>
        <item x="2426"/>
        <item x="2402"/>
        <item x="2207"/>
        <item x="2407"/>
        <item x="491"/>
        <item x="2437"/>
        <item x="2158"/>
        <item x="103"/>
        <item x="2755"/>
        <item x="2155"/>
        <item x="2206"/>
        <item x="2157"/>
        <item x="104"/>
        <item x="2753"/>
        <item x="2176"/>
        <item x="2177"/>
        <item x="2425"/>
        <item x="2401"/>
        <item x="2747"/>
        <item x="983"/>
        <item x="493"/>
        <item x="102"/>
        <item x="2865"/>
        <item x="2208"/>
        <item x="2209"/>
        <item x="3537"/>
        <item x="2866"/>
        <item x="982"/>
        <item x="2688"/>
        <item x="124"/>
        <item x="2175"/>
        <item x="1128"/>
        <item x="2174"/>
        <item x="2210"/>
        <item x="2156"/>
        <item x="100"/>
        <item x="2154"/>
        <item x="981"/>
        <item x="2171"/>
        <item x="2170"/>
        <item x="2172"/>
        <item x="99"/>
        <item x="968"/>
        <item x="2166"/>
        <item x="1127"/>
        <item x="2748"/>
        <item x="82"/>
        <item x="2169"/>
        <item x="2163"/>
        <item x="2167"/>
        <item x="2159"/>
        <item x="84"/>
        <item x="81"/>
        <item x="965"/>
        <item x="83"/>
        <item x="966"/>
        <item x="85"/>
        <item x="2160"/>
        <item x="2162"/>
        <item x="2173"/>
        <item x="967"/>
        <item x="971"/>
        <item x="2750"/>
        <item x="980"/>
        <item x="80"/>
        <item x="970"/>
        <item x="972"/>
        <item x="2165"/>
        <item x="529"/>
        <item x="2161"/>
        <item x="496"/>
        <item x="969"/>
        <item x="2168"/>
        <item x="962"/>
        <item x="2730"/>
        <item x="494"/>
        <item x="2164"/>
        <item x="3032"/>
        <item x="3039"/>
        <item x="979"/>
        <item x="973"/>
        <item x="964"/>
        <item x="2732"/>
        <item x="495"/>
        <item x="1113"/>
        <item x="98"/>
        <item x="2752"/>
        <item x="86"/>
        <item x="3532"/>
        <item x="2749"/>
        <item x="948"/>
        <item x="87"/>
        <item x="90"/>
        <item x="963"/>
        <item x="1112"/>
        <item x="976"/>
        <item x="3535"/>
        <item x="2751"/>
        <item x="955"/>
        <item x="78"/>
        <item x="2687"/>
        <item x="952"/>
        <item x="3529"/>
        <item x="77"/>
        <item x="951"/>
        <item x="72"/>
        <item x="93"/>
        <item x="3070"/>
        <item x="947"/>
        <item x="497"/>
        <item x="953"/>
        <item x="92"/>
        <item x="74"/>
        <item x="949"/>
        <item x="950"/>
        <item x="957"/>
        <item x="75"/>
        <item x="956"/>
        <item x="1118"/>
        <item x="3530"/>
        <item x="2686"/>
        <item x="3020"/>
        <item x="97"/>
        <item x="88"/>
        <item x="73"/>
        <item x="975"/>
        <item x="634"/>
        <item x="498"/>
        <item x="3038"/>
        <item x="89"/>
        <item x="3033"/>
        <item x="631"/>
        <item x="961"/>
        <item x="1125"/>
        <item x="3069"/>
        <item x="977"/>
        <item x="958"/>
        <item x="3072"/>
        <item x="1110"/>
        <item x="959"/>
        <item x="71"/>
        <item x="3034"/>
        <item x="3528"/>
        <item x="974"/>
        <item x="3054"/>
        <item x="3055"/>
        <item x="3057"/>
        <item x="3056"/>
        <item x="2680"/>
        <item x="1114"/>
        <item x="3052"/>
        <item x="635"/>
        <item x="633"/>
        <item x="978"/>
        <item x="3071"/>
        <item x="1126"/>
        <item x="3533"/>
        <item x="3058"/>
        <item x="630"/>
        <item x="629"/>
        <item x="79"/>
        <item x="3067"/>
        <item x="1124"/>
        <item x="3061"/>
        <item x="1111"/>
        <item x="3035"/>
        <item x="3060"/>
        <item x="489"/>
        <item x="1115"/>
        <item x="1116"/>
        <item x="954"/>
        <item x="628"/>
        <item x="3068"/>
        <item x="2485"/>
        <item x="91"/>
        <item x="3066"/>
        <item x="3064"/>
        <item x="1119"/>
        <item x="3062"/>
        <item x="2677"/>
        <item x="3063"/>
        <item x="3065"/>
        <item x="3031"/>
        <item x="3053"/>
        <item x="1117"/>
        <item x="632"/>
        <item x="627"/>
        <item x="960"/>
        <item x="76"/>
        <item x="664"/>
        <item x="637"/>
        <item x="2482"/>
        <item x="1122"/>
        <item x="3059"/>
        <item x="3534"/>
        <item x="3536"/>
        <item x="2483"/>
        <item x="1120"/>
        <item x="2486"/>
        <item x="2484"/>
        <item x="3018"/>
        <item x="94"/>
        <item x="3531"/>
        <item x="2678"/>
        <item x="3043"/>
        <item x="95"/>
        <item x="69"/>
        <item x="1109"/>
        <item x="3036"/>
        <item x="68"/>
        <item x="1121"/>
        <item x="3044"/>
        <item x="636"/>
        <item x="66"/>
        <item x="3019"/>
        <item x="626"/>
        <item x="638"/>
        <item x="2682"/>
        <item x="490"/>
        <item x="2681"/>
        <item x="3030"/>
        <item x="2481"/>
        <item x="96"/>
        <item x="2731"/>
        <item x="3051"/>
        <item x="1123"/>
        <item x="663"/>
        <item x="2685"/>
        <item x="1069"/>
        <item x="3041"/>
        <item x="1107"/>
        <item x="1065"/>
        <item x="3047"/>
        <item x="3042"/>
        <item x="2679"/>
        <item x="2480"/>
        <item x="1108"/>
        <item x="3040"/>
        <item x="639"/>
        <item x="3037"/>
        <item x="1071"/>
        <item x="1059"/>
        <item x="625"/>
        <item x="1094"/>
        <item x="70"/>
        <item x="501"/>
        <item x="3050"/>
        <item x="1064"/>
        <item x="1068"/>
        <item x="1067"/>
        <item x="1060"/>
        <item x="1088"/>
        <item x="1098"/>
        <item x="661"/>
        <item x="500"/>
        <item x="3027"/>
        <item x="1061"/>
        <item x="2683"/>
        <item x="1070"/>
        <item x="3046"/>
        <item x="659"/>
        <item x="1072"/>
        <item x="3045"/>
        <item x="1062"/>
        <item x="67"/>
        <item x="640"/>
        <item x="3029"/>
        <item x="1095"/>
        <item x="3048"/>
        <item x="662"/>
        <item x="1063"/>
        <item x="3026"/>
        <item x="2684"/>
        <item x="3025"/>
        <item x="3021"/>
        <item x="499"/>
        <item x="658"/>
        <item x="3049"/>
        <item x="3028"/>
        <item x="1074"/>
        <item x="1099"/>
        <item x="1106"/>
        <item x="660"/>
        <item x="657"/>
        <item x="1104"/>
        <item x="3024"/>
        <item x="651"/>
        <item x="488"/>
        <item x="641"/>
        <item x="1089"/>
        <item x="622"/>
        <item x="1066"/>
        <item x="3017"/>
        <item x="487"/>
        <item x="1087"/>
        <item x="1090"/>
        <item x="1100"/>
        <item x="624"/>
        <item x="1073"/>
        <item x="1096"/>
        <item x="1086"/>
        <item x="2606"/>
        <item x="653"/>
        <item x="478"/>
        <item x="1105"/>
        <item x="652"/>
        <item x="602"/>
        <item x="503"/>
        <item x="1101"/>
        <item x="606"/>
        <item x="649"/>
        <item x="601"/>
        <item x="502"/>
        <item x="480"/>
        <item x="1097"/>
        <item x="598"/>
        <item x="655"/>
        <item x="605"/>
        <item x="648"/>
        <item x="479"/>
        <item x="654"/>
        <item x="2605"/>
        <item x="2604"/>
        <item x="486"/>
        <item x="528"/>
        <item x="656"/>
        <item x="614"/>
        <item x="466"/>
        <item x="3023"/>
        <item x="623"/>
        <item x="1075"/>
        <item x="477"/>
        <item x="615"/>
        <item x="3022"/>
        <item x="616"/>
        <item x="1093"/>
        <item x="604"/>
        <item x="611"/>
        <item x="465"/>
        <item x="607"/>
        <item x="1076"/>
        <item x="1082"/>
        <item x="612"/>
        <item x="610"/>
        <item x="600"/>
        <item x="603"/>
        <item x="599"/>
        <item x="1080"/>
        <item x="1083"/>
        <item x="2479"/>
        <item x="1085"/>
        <item x="650"/>
        <item x="613"/>
        <item x="644"/>
        <item x="1079"/>
        <item x="3016"/>
        <item x="619"/>
        <item x="476"/>
        <item x="1103"/>
        <item x="618"/>
        <item x="462"/>
        <item x="1092"/>
        <item x="3015"/>
        <item x="647"/>
        <item x="620"/>
        <item x="1102"/>
        <item x="481"/>
        <item x="483"/>
        <item x="2566"/>
        <item x="467"/>
        <item x="643"/>
        <item x="621"/>
        <item x="485"/>
        <item x="475"/>
        <item x="463"/>
        <item x="1081"/>
        <item x="2603"/>
        <item x="468"/>
        <item x="1091"/>
        <item x="642"/>
        <item x="1077"/>
        <item x="609"/>
        <item x="617"/>
        <item x="646"/>
        <item x="3014"/>
        <item x="2600"/>
        <item x="2592"/>
        <item x="1084"/>
        <item x="469"/>
        <item x="2599"/>
        <item x="3013"/>
        <item x="1078"/>
        <item x="482"/>
        <item x="2602"/>
        <item x="2594"/>
        <item x="608"/>
        <item x="2590"/>
        <item x="2591"/>
        <item x="471"/>
        <item x="2597"/>
        <item x="2593"/>
        <item x="504"/>
        <item x="645"/>
        <item x="515"/>
        <item x="464"/>
        <item x="2567"/>
        <item x="2598"/>
        <item x="484"/>
        <item x="2601"/>
        <item x="472"/>
        <item x="527"/>
        <item x="3008"/>
        <item x="2596"/>
        <item x="516"/>
        <item x="507"/>
        <item x="474"/>
        <item x="3011"/>
        <item x="2595"/>
        <item x="3012"/>
        <item x="3009"/>
        <item x="2583"/>
        <item x="2588"/>
        <item x="511"/>
        <item x="470"/>
        <item x="473"/>
        <item x="2589"/>
        <item x="506"/>
        <item x="3010"/>
        <item x="505"/>
        <item x="2565"/>
        <item x="2584"/>
        <item x="2587"/>
        <item x="523"/>
        <item x="2568"/>
        <item x="513"/>
        <item x="3007"/>
        <item x="2586"/>
        <item x="2578"/>
        <item x="522"/>
        <item x="2576"/>
        <item x="512"/>
        <item x="2582"/>
        <item x="2570"/>
        <item x="2564"/>
        <item x="517"/>
        <item x="2577"/>
        <item x="2571"/>
        <item x="2585"/>
        <item x="510"/>
        <item x="2676"/>
        <item x="508"/>
        <item x="2572"/>
        <item x="526"/>
        <item x="3006"/>
        <item x="2148"/>
        <item x="514"/>
        <item x="519"/>
        <item x="521"/>
        <item x="3005"/>
        <item x="2556"/>
        <item x="2675"/>
        <item x="525"/>
        <item x="2149"/>
        <item x="518"/>
        <item x="2580"/>
        <item x="3004"/>
        <item x="2147"/>
        <item x="2581"/>
        <item x="2569"/>
        <item x="2579"/>
        <item x="2557"/>
        <item x="520"/>
        <item x="509"/>
        <item x="2575"/>
        <item x="2674"/>
        <item x="3003"/>
        <item x="2559"/>
        <item x="2146"/>
        <item x="2558"/>
        <item x="2573"/>
        <item x="2574"/>
        <item x="2153"/>
        <item x="524"/>
        <item x="2555"/>
        <item x="2152"/>
        <item x="1373"/>
        <item x="2151"/>
        <item x="2560"/>
        <item x="2550"/>
        <item x="2554"/>
        <item x="2150"/>
        <item x="2545"/>
        <item x="2549"/>
        <item x="2548"/>
        <item x="2553"/>
        <item x="2563"/>
        <item x="2544"/>
        <item x="2552"/>
        <item x="2673"/>
        <item x="1372"/>
        <item x="2562"/>
        <item x="2551"/>
        <item x="2543"/>
        <item x="2561"/>
        <item x="2546"/>
        <item x="2539"/>
        <item x="2672"/>
        <item x="2670"/>
        <item x="2662"/>
        <item x="1371"/>
        <item x="2541"/>
        <item x="2538"/>
        <item x="2547"/>
        <item x="1442"/>
        <item x="2540"/>
        <item x="2661"/>
        <item x="2542"/>
        <item x="2669"/>
        <item x="2664"/>
        <item x="2671"/>
        <item x="1441"/>
        <item x="2663"/>
        <item x="2660"/>
        <item x="2537"/>
        <item x="2667"/>
        <item x="2668"/>
        <item x="2665"/>
        <item x="2666"/>
        <item x="2659"/>
        <item x="2658"/>
        <item x="2636"/>
        <item x="2657"/>
        <item x="2656"/>
        <item x="2654"/>
        <item x="2655"/>
        <item x="2653"/>
        <item x="1443"/>
        <item x="2637"/>
        <item x="2652"/>
        <item x="2648"/>
        <item x="3624"/>
        <item x="3620"/>
        <item x="1340"/>
        <item x="2635"/>
        <item x="4338"/>
        <item x="1339"/>
        <item x="2647"/>
        <item x="1337"/>
        <item x="2651"/>
        <item x="3621"/>
        <item x="3622"/>
        <item x="1338"/>
        <item x="3632"/>
        <item x="1410"/>
        <item x="2628"/>
        <item x="2634"/>
        <item x="2646"/>
        <item x="3625"/>
        <item x="2627"/>
        <item x="2626"/>
        <item x="3623"/>
        <item x="1407"/>
        <item x="1409"/>
        <item x="1335"/>
        <item x="1408"/>
        <item x="2650"/>
        <item x="2629"/>
        <item x="2640"/>
        <item x="2625"/>
        <item x="3619"/>
        <item x="4337"/>
        <item x="1336"/>
        <item x="2624"/>
        <item x="1405"/>
        <item x="1334"/>
        <item x="2649"/>
        <item x="4339"/>
        <item x="4330"/>
        <item x="3633"/>
        <item x="3631"/>
        <item x="1406"/>
        <item x="2638"/>
        <item x="2630"/>
        <item x="2639"/>
        <item x="1404"/>
        <item x="1343"/>
        <item x="2645"/>
        <item x="3663"/>
        <item x="3636"/>
        <item x="1341"/>
        <item x="2633"/>
        <item x="3646"/>
        <item x="1413"/>
        <item x="3626"/>
        <item x="3645"/>
        <item x="3618"/>
        <item x="4340"/>
        <item x="2641"/>
        <item x="4332"/>
        <item x="2614"/>
        <item x="1411"/>
        <item x="3648"/>
        <item x="3635"/>
        <item x="3634"/>
        <item x="2632"/>
        <item x="2642"/>
        <item x="3644"/>
        <item x="3617"/>
        <item x="4341"/>
        <item x="4331"/>
        <item x="4327"/>
        <item x="4326"/>
        <item x="2644"/>
        <item x="2631"/>
        <item x="4329"/>
        <item x="4328"/>
        <item x="3665"/>
        <item x="1342"/>
        <item x="4342"/>
        <item x="3613"/>
        <item x="2613"/>
        <item x="3647"/>
        <item x="4336"/>
        <item x="3643"/>
        <item x="1370"/>
        <item x="4349"/>
        <item x="1412"/>
        <item x="3637"/>
        <item x="2609"/>
        <item x="1344"/>
        <item x="3628"/>
        <item x="3629"/>
        <item x="2610"/>
        <item x="3649"/>
        <item x="2611"/>
        <item x="2643"/>
        <item x="3642"/>
        <item x="3664"/>
        <item x="1414"/>
        <item x="3630"/>
        <item x="2608"/>
        <item x="4325"/>
        <item x="2612"/>
        <item x="1345"/>
        <item x="1333"/>
        <item x="3627"/>
        <item x="4348"/>
        <item x="4350"/>
        <item x="1303"/>
        <item x="4343"/>
        <item x="3614"/>
        <item x="1440"/>
        <item x="4335"/>
        <item x="3616"/>
        <item x="4324"/>
        <item x="4323"/>
        <item x="3641"/>
        <item x="1415"/>
        <item x="3640"/>
        <item x="4333"/>
        <item x="1403"/>
        <item x="3612"/>
        <item x="2607"/>
        <item x="4319"/>
        <item x="3615"/>
        <item x="4351"/>
        <item x="4344"/>
        <item x="4334"/>
        <item x="4352"/>
        <item x="1331"/>
        <item x="4345"/>
        <item x="3638"/>
        <item x="3639"/>
        <item x="3650"/>
        <item x="4320"/>
        <item x="1302"/>
        <item x="3662"/>
        <item x="3611"/>
        <item x="1332"/>
        <item x="1357"/>
        <item x="4322"/>
        <item x="4347"/>
        <item x="4321"/>
        <item x="1401"/>
        <item x="4318"/>
        <item x="4354"/>
        <item x="1358"/>
        <item x="4317"/>
        <item x="1346"/>
        <item x="1301"/>
        <item x="1369"/>
        <item x="1402"/>
        <item x="4353"/>
        <item x="1416"/>
        <item x="4346"/>
        <item x="1427"/>
        <item x="4369"/>
        <item x="1359"/>
        <item x="1364"/>
        <item x="1365"/>
        <item x="1439"/>
        <item x="1428"/>
        <item x="1355"/>
        <item x="2620"/>
        <item x="1347"/>
        <item x="1353"/>
        <item x="1330"/>
        <item x="1354"/>
        <item x="3661"/>
        <item x="2622"/>
        <item x="2618"/>
        <item x="1320"/>
        <item x="2619"/>
        <item x="3654"/>
        <item x="1328"/>
        <item x="1417"/>
        <item x="4371"/>
        <item x="1363"/>
        <item x="1360"/>
        <item x="4355"/>
        <item x="2623"/>
        <item x="1400"/>
        <item x="1356"/>
        <item x="3660"/>
        <item x="3655"/>
        <item x="1361"/>
        <item x="1423"/>
        <item x="1398"/>
        <item x="1429"/>
        <item x="1367"/>
        <item x="3658"/>
        <item x="2621"/>
        <item x="1322"/>
        <item x="3651"/>
        <item x="3656"/>
        <item x="3657"/>
        <item x="1349"/>
        <item x="1390"/>
        <item x="3610"/>
        <item x="1321"/>
        <item x="1424"/>
        <item x="4313"/>
        <item x="1368"/>
        <item x="1329"/>
        <item x="4370"/>
        <item x="2615"/>
        <item x="3653"/>
        <item x="4312"/>
        <item x="1348"/>
        <item x="4316"/>
        <item x="1434"/>
        <item x="1425"/>
        <item x="1435"/>
        <item x="1366"/>
        <item x="1352"/>
        <item x="1325"/>
        <item x="1323"/>
        <item x="1350"/>
        <item x="1399"/>
        <item x="1392"/>
        <item x="3659"/>
        <item x="2616"/>
        <item x="1362"/>
        <item x="4314"/>
        <item x="1395"/>
        <item x="1419"/>
        <item x="1391"/>
        <item x="1319"/>
        <item x="2617"/>
        <item x="1426"/>
        <item x="1430"/>
        <item x="1393"/>
        <item x="1351"/>
        <item x="1420"/>
        <item x="4315"/>
        <item x="1418"/>
        <item x="1431"/>
        <item x="1433"/>
        <item x="1422"/>
        <item x="4356"/>
        <item x="1318"/>
        <item x="1327"/>
        <item x="1324"/>
        <item x="1389"/>
        <item x="1438"/>
        <item x="3608"/>
        <item x="1437"/>
        <item x="1421"/>
        <item x="1311"/>
        <item x="3607"/>
        <item x="3609"/>
        <item x="1397"/>
        <item x="1309"/>
        <item x="1394"/>
        <item x="1308"/>
        <item x="1326"/>
        <item x="1310"/>
        <item x="1388"/>
        <item x="4368"/>
        <item x="1313"/>
        <item x="1307"/>
        <item x="1312"/>
        <item x="1317"/>
        <item x="1396"/>
        <item x="1432"/>
        <item x="1436"/>
        <item x="3652"/>
        <item x="1381"/>
        <item x="1379"/>
        <item x="1304"/>
        <item x="3606"/>
        <item x="1378"/>
        <item x="1380"/>
        <item x="1316"/>
        <item x="1387"/>
        <item x="1377"/>
        <item x="1383"/>
        <item x="1306"/>
        <item x="1374"/>
        <item x="1305"/>
        <item x="1382"/>
        <item x="1314"/>
        <item x="1375"/>
        <item x="1386"/>
        <item x="1315"/>
        <item x="1269"/>
        <item x="1376"/>
        <item x="4367"/>
        <item x="1270"/>
        <item x="1273"/>
        <item x="1300"/>
        <item x="4357"/>
        <item x="4360"/>
        <item x="1384"/>
        <item x="1385"/>
        <item x="4361"/>
        <item x="4303"/>
        <item x="4363"/>
        <item x="4311"/>
        <item x="4362"/>
        <item x="1287"/>
        <item x="1271"/>
        <item x="1268"/>
        <item x="4359"/>
        <item x="1274"/>
        <item x="4366"/>
        <item x="1288"/>
        <item x="4364"/>
        <item x="1267"/>
        <item x="4302"/>
        <item x="1272"/>
        <item x="1275"/>
        <item x="3605"/>
        <item x="4365"/>
        <item x="1265"/>
        <item x="1299"/>
        <item x="1264"/>
        <item x="4307"/>
        <item x="1289"/>
        <item x="4306"/>
        <item x="1266"/>
        <item x="4358"/>
        <item x="4305"/>
        <item x="4441"/>
        <item x="4304"/>
        <item x="4308"/>
        <item x="1276"/>
        <item x="1294"/>
        <item x="1285"/>
        <item x="1263"/>
        <item x="1295"/>
        <item x="4309"/>
        <item x="1293"/>
        <item x="1290"/>
        <item x="1291"/>
        <item x="1284"/>
        <item x="1286"/>
        <item x="1283"/>
        <item x="4440"/>
        <item x="4310"/>
        <item x="1297"/>
        <item x="1282"/>
        <item x="1277"/>
        <item x="3601"/>
        <item x="3600"/>
        <item x="3597"/>
        <item x="1292"/>
        <item x="4439"/>
        <item x="3602"/>
        <item x="1298"/>
        <item x="1279"/>
        <item x="1261"/>
        <item x="3599"/>
        <item x="1262"/>
        <item x="1281"/>
        <item x="1296"/>
        <item x="3596"/>
        <item x="3604"/>
        <item x="3603"/>
        <item x="1280"/>
        <item x="3598"/>
        <item x="1278"/>
        <item x="1250"/>
        <item x="1258"/>
        <item x="1249"/>
        <item x="1260"/>
        <item x="1255"/>
        <item x="1251"/>
        <item x="1252"/>
        <item x="1259"/>
        <item x="1240"/>
        <item x="1253"/>
        <item x="1239"/>
        <item x="1257"/>
        <item x="1248"/>
        <item x="1254"/>
        <item x="1238"/>
        <item x="1243"/>
        <item x="1234"/>
        <item x="1237"/>
        <item x="1247"/>
        <item x="1242"/>
        <item x="1241"/>
        <item x="1256"/>
        <item x="1235"/>
        <item x="1246"/>
        <item x="1244"/>
        <item x="1245"/>
        <item x="1236"/>
        <item x="4438"/>
        <item x="4426"/>
        <item x="4425"/>
        <item x="4427"/>
        <item x="4437"/>
        <item x="4428"/>
        <item x="4432"/>
        <item x="4429"/>
        <item x="4433"/>
        <item x="4435"/>
        <item x="4423"/>
        <item x="4411"/>
        <item x="4431"/>
        <item x="4412"/>
        <item x="4424"/>
        <item x="4436"/>
        <item x="4434"/>
        <item x="4413"/>
        <item x="4401"/>
        <item x="4430"/>
        <item x="4422"/>
        <item x="4421"/>
        <item x="4402"/>
        <item x="4407"/>
        <item x="4405"/>
        <item x="4050"/>
        <item x="4408"/>
        <item x="4410"/>
        <item x="4409"/>
        <item x="4301"/>
        <item x="4404"/>
        <item x="4403"/>
        <item x="4406"/>
        <item x="4420"/>
        <item x="4048"/>
        <item x="4049"/>
        <item x="4299"/>
        <item x="4417"/>
        <item x="4414"/>
        <item x="4419"/>
        <item x="4300"/>
        <item x="4418"/>
        <item x="4400"/>
        <item x="4416"/>
        <item x="4415"/>
        <item x="4399"/>
        <item x="4398"/>
        <item x="4396"/>
        <item x="4393"/>
        <item x="4389"/>
        <item x="4390"/>
        <item x="4395"/>
        <item x="4392"/>
        <item x="4391"/>
        <item x="4397"/>
        <item x="4394"/>
        <item x="4047"/>
        <item x="4034"/>
        <item x="4020"/>
        <item x="4298"/>
        <item x="4021"/>
        <item x="4271"/>
        <item x="4388"/>
        <item x="4285"/>
        <item x="4035"/>
        <item x="4387"/>
        <item x="4010"/>
        <item x="4017"/>
        <item x="4272"/>
        <item x="4016"/>
        <item x="4022"/>
        <item x="4236"/>
        <item x="4268"/>
        <item x="4286"/>
        <item x="4267"/>
        <item x="4032"/>
        <item x="4031"/>
        <item x="4033"/>
        <item x="4018"/>
        <item x="4273"/>
        <item x="4011"/>
        <item x="4030"/>
        <item x="4235"/>
        <item x="4269"/>
        <item x="4019"/>
        <item x="4282"/>
        <item x="4283"/>
        <item x="4284"/>
        <item x="4281"/>
        <item x="4270"/>
        <item x="4386"/>
        <item x="4385"/>
        <item x="4014"/>
        <item x="4232"/>
        <item x="4046"/>
        <item x="4015"/>
        <item x="4384"/>
        <item x="4029"/>
        <item x="4266"/>
        <item x="4036"/>
        <item x="4009"/>
        <item x="4012"/>
        <item x="4028"/>
        <item x="4013"/>
        <item x="4383"/>
        <item x="4297"/>
        <item x="4237"/>
        <item x="4280"/>
        <item x="4234"/>
        <item x="4381"/>
        <item x="4380"/>
        <item x="4233"/>
        <item x="4287"/>
        <item x="4023"/>
        <item x="4027"/>
        <item x="4279"/>
        <item x="4041"/>
        <item x="4008"/>
        <item x="4026"/>
        <item x="4278"/>
        <item x="4274"/>
        <item x="4042"/>
        <item x="4378"/>
        <item x="4024"/>
        <item x="4038"/>
        <item x="4040"/>
        <item x="4277"/>
        <item x="4379"/>
        <item x="4238"/>
        <item x="4382"/>
        <item x="4375"/>
        <item x="4039"/>
        <item x="4377"/>
        <item x="4275"/>
        <item x="4044"/>
        <item x="4025"/>
        <item x="4292"/>
        <item x="4376"/>
        <item x="4289"/>
        <item x="4045"/>
        <item x="4037"/>
        <item x="4293"/>
        <item x="4005"/>
        <item x="4043"/>
        <item x="4007"/>
        <item x="4291"/>
        <item x="4276"/>
        <item x="4374"/>
        <item x="4290"/>
        <item x="4241"/>
        <item x="4288"/>
        <item x="4239"/>
        <item x="4002"/>
        <item x="4295"/>
        <item x="4296"/>
        <item x="4373"/>
        <item x="4006"/>
        <item x="4294"/>
        <item x="3998"/>
        <item x="4004"/>
        <item x="4372"/>
        <item x="4244"/>
        <item x="3999"/>
        <item x="4240"/>
        <item x="4242"/>
        <item x="4003"/>
        <item x="4001"/>
        <item x="4248"/>
        <item x="4000"/>
        <item x="4247"/>
        <item x="4243"/>
        <item x="4245"/>
        <item x="4246"/>
        <item x="3997"/>
        <item x="3996"/>
        <item x="4249"/>
        <item x="4250"/>
        <item x="3995"/>
        <item x="3994"/>
        <item x="3993"/>
        <item x="4251"/>
        <item x="3992"/>
        <item x="4252"/>
        <item x="4253"/>
        <item x="3991"/>
        <item x="4254"/>
        <item x="4255"/>
        <item x="3990"/>
        <item x="4256"/>
        <item x="3989"/>
        <item x="3987"/>
        <item x="3986"/>
        <item x="3985"/>
        <item x="3984"/>
        <item x="3982"/>
        <item x="3988"/>
        <item x="4257"/>
        <item x="4260"/>
        <item x="4259"/>
        <item x="3983"/>
        <item x="4262"/>
        <item x="3981"/>
        <item x="4261"/>
        <item x="4264"/>
        <item x="4258"/>
        <item x="4263"/>
        <item x="4265"/>
        <item x="461"/>
      </items>
    </pivotField>
    <pivotField showAll="0" defaultSubtotal="0"/>
    <pivotField showAll="0" defaultSubtota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sd="0" x="2"/>
        <item sd="0" x="3"/>
        <item sd="0" x="4"/>
        <item sd="0" x="5"/>
      </items>
    </pivotField>
    <pivotField showAll="0" defaultSubtotal="0">
      <items count="8">
        <item h="1" x="0"/>
        <item h="1" x="1"/>
        <item h="1" x="2"/>
        <item h="1" x="3"/>
        <item x="4"/>
        <item x="5"/>
        <item x="6"/>
        <item x="7"/>
      </items>
    </pivotField>
    <pivotField subtotalTop="0" dragToRow="0" dragToCol="0" dragToPage="0" showAll="0" defaultSubtotal="0"/>
  </pivotFields>
  <rowFields count="1">
    <field x="0"/>
  </rowFields>
  <rowItems count="10">
    <i>
      <x v="39"/>
    </i>
    <i>
      <x v="88"/>
    </i>
    <i>
      <x v="15"/>
    </i>
    <i>
      <x v="8"/>
    </i>
    <i>
      <x v="12"/>
    </i>
    <i>
      <x v="46"/>
    </i>
    <i>
      <x v="13"/>
    </i>
    <i>
      <x v="24"/>
    </i>
    <i>
      <x v="35"/>
    </i>
    <i>
      <x v="74"/>
    </i>
  </rowItems>
  <colItems count="1">
    <i/>
  </colItems>
  <pageFields count="1">
    <pageField fld="1" hier="-1"/>
  </pageFields>
  <dataFields count="1">
    <dataField name=" Total Holdings of Treasuries" fld="2" subtotal="average" baseField="1" baseItem="38" numFmtId="165"/>
  </dataFields>
  <formats count="1">
    <format dxfId="26">
      <pivotArea outline="0" collapsedLevelsAreSubtotals="1" fieldPosition="0"/>
    </format>
  </format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9D2175-4E5B-4C6F-BBCC-1AC92504CF24}" name="Table5" displayName="Table5" ref="A1:I6371" totalsRowShown="0">
  <autoFilter ref="A1:I6371" xr:uid="{949D2175-4E5B-4C6F-BBCC-1AC92504CF24}">
    <filterColumn colId="1">
      <filters>
        <dateGroupItem year="2025" dateTimeGrouping="year"/>
        <dateGroupItem year="2024" dateTimeGrouping="year"/>
        <dateGroupItem year="2023" month="2" dateTimeGrouping="month"/>
        <dateGroupItem year="2023" month="3" dateTimeGrouping="month"/>
        <dateGroupItem year="2023" month="4" dateTimeGrouping="month"/>
        <dateGroupItem year="2023" month="5" dateTimeGrouping="month"/>
        <dateGroupItem year="2023" month="6" dateTimeGrouping="month"/>
        <dateGroupItem year="2023" month="7" dateTimeGrouping="month"/>
        <dateGroupItem year="2023" month="8" dateTimeGrouping="month"/>
        <dateGroupItem year="2023" month="9" dateTimeGrouping="month"/>
        <dateGroupItem year="2023" month="10" dateTimeGrouping="month"/>
        <dateGroupItem year="2023" month="11" dateTimeGrouping="month"/>
        <dateGroupItem year="2023" month="12" dateTimeGrouping="month"/>
      </filters>
    </filterColumn>
  </autoFilter>
  <sortState xmlns:xlrd2="http://schemas.microsoft.com/office/spreadsheetml/2017/richdata2" ref="A6162:I6195">
    <sortCondition ref="B1:B6371"/>
  </sortState>
  <tableColumns count="9">
    <tableColumn id="1" xr3:uid="{093C8E79-5BAB-4E93-92E8-BF000A1D41D1}" name="Country"/>
    <tableColumn id="2" xr3:uid="{F75C9D9A-55A1-45BF-93DC-E39C16A85A3A}" name="Date" dataDxfId="25"/>
    <tableColumn id="3" xr3:uid="{4137AE84-0774-478F-A0EE-3ABE002906FF}" name="Total Holdings of Treasuries" dataDxfId="24"/>
    <tableColumn id="4" xr3:uid="{1BCCB580-0E3A-4A75-A409-27EA6E5D349B}" name="Net Sales of Treasuries" dataDxfId="23"/>
    <tableColumn id="5" xr3:uid="{D7E89FB8-E6A7-4CC5-8FEC-F52D4CA024B1}" name="Holdings of Long-term Treasuries" dataDxfId="22"/>
    <tableColumn id="6" xr3:uid="{B49D6D6D-442E-49E1-B57F-F3D64157776C}" name="Net Sales of Long-term Treasuries" dataDxfId="21"/>
    <tableColumn id="7" xr3:uid="{3C2C899A-A299-4143-B3E9-962D95FBE2B6}" name="Valuation Change of Long-term Treasuries" dataDxfId="20"/>
    <tableColumn id="8" xr3:uid="{9D1572BC-E1BF-4D7B-BFBE-8DD3F13EDFC9}" name="Holdings of Short-term Treasuries" dataDxfId="19"/>
    <tableColumn id="9" xr3:uid="{DC5C0C87-B773-45B3-ACD3-D5A8498E696B}" name="Net Sales of Short-term Treasurie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AFB966-A47D-47E1-9D52-A20412C9ED65}" name="Table2" displayName="Table2" ref="A3:E36" totalsRowShown="0">
  <autoFilter ref="A3:E36" xr:uid="{40AFB966-A47D-47E1-9D52-A20412C9ED65}"/>
  <tableColumns count="5">
    <tableColumn id="1" xr3:uid="{E56E1453-F177-4D50-8098-50CC03516162}" name="Date" dataDxfId="4"/>
    <tableColumn id="2" xr3:uid="{30F00A2C-D638-491D-87B6-3A4C7883D284}" name="Foreign official net sales (mn)"/>
    <tableColumn id="3" xr3:uid="{17768A19-795A-468F-892D-79DCB0AA0100}" name="Foreign non-official net sales (mn0"/>
    <tableColumn id="4" xr3:uid="{8FEC6AC4-79A5-4C3E-9091-5A8E5DE7562A}" name="Foreign official net sales" dataDxfId="3">
      <calculatedColumnFormula>Table2[[#This Row],[Foreign official net sales (mn)]]*1000000</calculatedColumnFormula>
    </tableColumn>
    <tableColumn id="5" xr3:uid="{A3CF5A3B-EA58-499A-B618-6289E50543AD}" name="Foreign non-official net sales" dataDxfId="2">
      <calculatedColumnFormula>Table2[[#This Row],[Foreign non-official net sales (mn0]]*1000000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85DDD-6E30-4BBB-A4D0-F7DF3F798CAC}" name="TenLargestJan25" displayName="TenLargestJan25" ref="S4:V16" totalsRowShown="0">
  <autoFilter ref="S4:V16" xr:uid="{25D85DDD-6E30-4BBB-A4D0-F7DF3F798CAC}"/>
  <tableColumns count="4">
    <tableColumn id="1" xr3:uid="{806CAF42-34EA-44A2-9665-0C335324BD95}" name="10 Largest Holders (Jan 25)"/>
    <tableColumn id="2" xr3:uid="{3B622EB1-DA80-45BB-AF9B-AE38A18F10D7}" name=" Total Holdings of Treasuries" dataDxfId="17"/>
    <tableColumn id="3" xr3:uid="{07572B92-4599-4102-9829-F092554F44A2}" name="% of Total Foreign Holding" dataDxfId="16" dataCellStyle="Percent">
      <calculatedColumnFormula>$T5/$T$16</calculatedColumnFormula>
    </tableColumn>
    <tableColumn id="4" xr3:uid="{64F52D64-7BA1-4819-92FE-73F9C5C1E843}" name="% of Public Debt Outstanding" dataDxfId="15">
      <calculatedColumnFormula>T5/$AB$28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09E20B-8DCB-4457-9861-A4C3785D6AAA}" name="Table3" displayName="Table3" ref="AA4:AF37" totalsRowShown="0">
  <autoFilter ref="AA4:AF37" xr:uid="{2D09E20B-8DCB-4457-9861-A4C3785D6AAA}"/>
  <tableColumns count="6">
    <tableColumn id="1" xr3:uid="{7B5443E8-6190-4570-AFF8-7B296D92B560}" name="Month" dataDxfId="14"/>
    <tableColumn id="2" xr3:uid="{188354D3-866E-446B-981F-AEC505C24C7F}" name="Total Debt held by the Public" dataDxfId="13"/>
    <tableColumn id="3" xr3:uid="{E5F48284-1202-4E87-A504-3AB11C43C539}" name="Total Foreign Holdings" dataDxfId="12"/>
    <tableColumn id="4" xr3:uid="{74D1FC8D-2569-406F-A94A-C98624617E29}" name="Total Foreign Holding as % of Total Public Debt" dataDxfId="11">
      <calculatedColumnFormula>AC5/AB5</calculatedColumnFormula>
    </tableColumn>
    <tableColumn id="5" xr3:uid="{27DAA066-0A6D-466D-B827-F754C24782C4}" name="Total National Debt (public debt + intragovernmental debt)" dataDxfId="10"/>
    <tableColumn id="6" xr3:uid="{4FD5801D-519A-40DA-8CB6-F2708A314A10}" name="Total Foreign Holding as % of Total National Debt" dataDxfId="9">
      <calculatedColumnFormula>Table3[[#This Row],[Total Foreign Holdings]]/Table3[[#This Row],[Total National Debt (public debt + intragovernmental debt)]]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F53BD0-D8A3-4DC4-AB65-9985DD5708FE}" name="Table4" displayName="Table4" ref="S18:V30" totalsRowShown="0">
  <autoFilter ref="S18:V30" xr:uid="{78F53BD0-D8A3-4DC4-AB65-9985DD5708FE}"/>
  <tableColumns count="4">
    <tableColumn id="1" xr3:uid="{AC0CB41D-D9F4-47DF-81FE-C933CD924A71}" name="10 Largest Holders (Oct 25)" dataDxfId="8"/>
    <tableColumn id="2" xr3:uid="{5317C998-611E-4D63-A0B2-32D08ED78FF8}" name=" Total Holdings of Treasuries" dataDxfId="7"/>
    <tableColumn id="3" xr3:uid="{D0EBB36E-C1D9-4991-9DE8-37FC7CB7E5BE}" name="% of Total Foreign Holding" dataDxfId="6">
      <calculatedColumnFormula>$T19/$T$30</calculatedColumnFormula>
    </tableColumn>
    <tableColumn id="4" xr3:uid="{571B5D17-098E-41B0-9703-E0054EEF1591}" name="$ of Public Debt Outstanding" dataDxfId="5">
      <calculatedColumnFormula>$T19/$AB$37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77F6BF-A3B4-4442-A34D-768363131EA2}" name="Table6" displayName="Table6" ref="A1:B34" totalsRowShown="0">
  <autoFilter ref="A1:B34" xr:uid="{DB77F6BF-A3B4-4442-A34D-768363131EA2}"/>
  <tableColumns count="2">
    <tableColumn id="1" xr3:uid="{9223CF35-8F98-45D7-B3A9-442CBF93C626}" name="Date" dataDxfId="0"/>
    <tableColumn id="2" xr3:uid="{768A2AA6-327D-41C6-B590-474A28C11363}" name="Foreign net sales of Treasuri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4D28-382D-48D5-B60F-AAF5038E31E7}">
  <dimension ref="A1:B13"/>
  <sheetViews>
    <sheetView workbookViewId="0">
      <selection activeCell="A3" sqref="A3:B13"/>
    </sheetView>
  </sheetViews>
  <sheetFormatPr defaultRowHeight="14.4" x14ac:dyDescent="0.3"/>
  <cols>
    <col min="1" max="1" width="14" bestFit="1" customWidth="1"/>
    <col min="2" max="2" width="24.21875" bestFit="1" customWidth="1"/>
    <col min="3" max="3" width="14" bestFit="1" customWidth="1"/>
    <col min="4" max="4" width="24.21875" bestFit="1" customWidth="1"/>
    <col min="5" max="5" width="29.33203125" bestFit="1" customWidth="1"/>
    <col min="6" max="6" width="28.6640625" bestFit="1" customWidth="1"/>
    <col min="7" max="8" width="29.33203125" bestFit="1" customWidth="1"/>
    <col min="9" max="9" width="20.21875" bestFit="1" customWidth="1"/>
  </cols>
  <sheetData>
    <row r="1" spans="1:2" x14ac:dyDescent="0.3">
      <c r="A1" s="3" t="s">
        <v>1</v>
      </c>
      <c r="B1" s="6">
        <v>45931</v>
      </c>
    </row>
    <row r="3" spans="1:2" x14ac:dyDescent="0.3">
      <c r="A3" s="3" t="s">
        <v>102</v>
      </c>
      <c r="B3" t="s">
        <v>101</v>
      </c>
    </row>
    <row r="4" spans="1:2" x14ac:dyDescent="0.3">
      <c r="A4" s="7" t="s">
        <v>65</v>
      </c>
      <c r="B4" s="2">
        <v>1199992</v>
      </c>
    </row>
    <row r="5" spans="1:2" x14ac:dyDescent="0.3">
      <c r="A5" s="7" t="s">
        <v>21</v>
      </c>
      <c r="B5" s="2">
        <v>877911</v>
      </c>
    </row>
    <row r="6" spans="1:2" x14ac:dyDescent="0.3">
      <c r="A6" s="7" t="s">
        <v>60</v>
      </c>
      <c r="B6" s="2">
        <v>688748</v>
      </c>
    </row>
    <row r="7" spans="1:2" x14ac:dyDescent="0.3">
      <c r="A7" s="7" t="s">
        <v>4</v>
      </c>
      <c r="B7" s="2">
        <v>468376</v>
      </c>
    </row>
    <row r="8" spans="1:2" x14ac:dyDescent="0.3">
      <c r="A8" s="7" t="s">
        <v>34</v>
      </c>
      <c r="B8" s="2">
        <v>419131</v>
      </c>
    </row>
    <row r="9" spans="1:2" x14ac:dyDescent="0.3">
      <c r="A9" s="7" t="s">
        <v>13</v>
      </c>
      <c r="B9" s="2">
        <v>418953</v>
      </c>
    </row>
    <row r="10" spans="1:2" x14ac:dyDescent="0.3">
      <c r="A10" s="7" t="s">
        <v>56</v>
      </c>
      <c r="B10" s="2">
        <v>418540</v>
      </c>
    </row>
    <row r="11" spans="1:2" x14ac:dyDescent="0.3">
      <c r="A11" s="7" t="s">
        <v>8</v>
      </c>
      <c r="B11" s="2">
        <v>390242</v>
      </c>
    </row>
    <row r="12" spans="1:2" x14ac:dyDescent="0.3">
      <c r="A12" s="7" t="s">
        <v>11</v>
      </c>
      <c r="B12" s="2">
        <v>340388</v>
      </c>
    </row>
    <row r="13" spans="1:2" x14ac:dyDescent="0.3">
      <c r="A13" s="7" t="s">
        <v>74</v>
      </c>
      <c r="B13" s="2">
        <v>309543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95E4-CCF6-468A-9892-6C9FFDCE3E91}">
  <sheetPr codeName="Sheet2"/>
  <dimension ref="A1:I6371"/>
  <sheetViews>
    <sheetView topLeftCell="A6174" workbookViewId="0">
      <selection activeCell="D6163" activeCellId="1" sqref="B6163:B6195 D6163:D6195"/>
    </sheetView>
  </sheetViews>
  <sheetFormatPr defaultRowHeight="14.4" x14ac:dyDescent="0.3"/>
  <cols>
    <col min="1" max="1" width="25.77734375" bestFit="1" customWidth="1"/>
    <col min="2" max="2" width="12.44140625" bestFit="1" customWidth="1"/>
    <col min="3" max="3" width="25.44140625" customWidth="1"/>
    <col min="4" max="4" width="21.5546875" customWidth="1"/>
    <col min="5" max="5" width="29.77734375" customWidth="1"/>
    <col min="6" max="6" width="30.33203125" customWidth="1"/>
    <col min="7" max="7" width="36.77734375" customWidth="1"/>
    <col min="8" max="8" width="30.44140625" customWidth="1"/>
    <col min="9" max="9" width="31" customWidth="1"/>
  </cols>
  <sheetData>
    <row r="1" spans="1:9" x14ac:dyDescent="0.3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3">
      <c r="A2" t="s">
        <v>2</v>
      </c>
      <c r="B2" s="1">
        <v>45931</v>
      </c>
      <c r="C2" s="2">
        <v>5356</v>
      </c>
      <c r="D2" s="2">
        <v>-771</v>
      </c>
      <c r="E2" s="2">
        <v>4140</v>
      </c>
      <c r="F2" s="2">
        <v>-816</v>
      </c>
      <c r="G2" s="2">
        <v>29</v>
      </c>
      <c r="H2" s="2">
        <v>1216</v>
      </c>
      <c r="I2" s="2">
        <v>46</v>
      </c>
    </row>
    <row r="3" spans="1:9" x14ac:dyDescent="0.3">
      <c r="A3" t="s">
        <v>2</v>
      </c>
      <c r="B3" s="1">
        <v>45901</v>
      </c>
      <c r="C3" s="2">
        <v>5878</v>
      </c>
      <c r="D3" s="2">
        <v>376</v>
      </c>
      <c r="E3" s="2">
        <v>4708</v>
      </c>
      <c r="F3" s="2">
        <v>518</v>
      </c>
      <c r="G3" s="2">
        <v>13</v>
      </c>
      <c r="H3" s="2">
        <v>1170</v>
      </c>
      <c r="I3" s="2">
        <v>-142</v>
      </c>
    </row>
    <row r="4" spans="1:9" x14ac:dyDescent="0.3">
      <c r="A4" t="s">
        <v>2</v>
      </c>
      <c r="B4" s="1">
        <v>45870</v>
      </c>
      <c r="C4" s="2">
        <v>5786</v>
      </c>
      <c r="D4" s="2">
        <v>205</v>
      </c>
      <c r="E4" s="2">
        <v>4474</v>
      </c>
      <c r="F4" s="2">
        <v>264</v>
      </c>
      <c r="G4" s="2">
        <v>23</v>
      </c>
      <c r="H4" s="2">
        <v>1312</v>
      </c>
      <c r="I4" s="2">
        <v>-58</v>
      </c>
    </row>
    <row r="5" spans="1:9" x14ac:dyDescent="0.3">
      <c r="A5" t="s">
        <v>2</v>
      </c>
      <c r="B5" s="1">
        <v>45839</v>
      </c>
      <c r="C5" s="2">
        <v>5780</v>
      </c>
      <c r="D5" s="2">
        <v>-507</v>
      </c>
      <c r="E5" s="2">
        <v>4410</v>
      </c>
      <c r="F5" s="2">
        <v>-617</v>
      </c>
      <c r="G5" s="2">
        <v>-7</v>
      </c>
      <c r="H5" s="2">
        <v>1370</v>
      </c>
      <c r="I5" s="2">
        <v>111</v>
      </c>
    </row>
    <row r="6" spans="1:9" x14ac:dyDescent="0.3">
      <c r="A6" t="s">
        <v>2</v>
      </c>
      <c r="B6" s="1">
        <v>45809</v>
      </c>
      <c r="C6" s="2">
        <v>6300</v>
      </c>
      <c r="D6" s="2">
        <v>873</v>
      </c>
      <c r="E6" s="2">
        <v>5041</v>
      </c>
      <c r="F6" s="2">
        <v>836</v>
      </c>
      <c r="G6" s="2">
        <v>37</v>
      </c>
      <c r="H6" s="2">
        <v>1260</v>
      </c>
      <c r="I6" s="2">
        <v>37</v>
      </c>
    </row>
    <row r="7" spans="1:9" x14ac:dyDescent="0.3">
      <c r="A7" t="s">
        <v>2</v>
      </c>
      <c r="B7" s="1">
        <v>45778</v>
      </c>
      <c r="C7" s="2">
        <v>5327</v>
      </c>
      <c r="D7" s="2">
        <v>66</v>
      </c>
      <c r="E7" s="2">
        <v>4104</v>
      </c>
      <c r="F7" s="2">
        <v>15</v>
      </c>
      <c r="G7" s="2">
        <v>-17</v>
      </c>
      <c r="H7" s="2">
        <v>1223</v>
      </c>
      <c r="I7" s="2">
        <v>51</v>
      </c>
    </row>
    <row r="8" spans="1:9" x14ac:dyDescent="0.3">
      <c r="A8" t="s">
        <v>2</v>
      </c>
      <c r="B8" s="1">
        <v>45748</v>
      </c>
      <c r="C8" s="2">
        <v>5250</v>
      </c>
      <c r="D8" s="2">
        <v>-718</v>
      </c>
      <c r="E8" s="2">
        <v>4079</v>
      </c>
      <c r="F8" s="2">
        <v>-555</v>
      </c>
      <c r="G8" s="2">
        <v>26</v>
      </c>
      <c r="H8" s="2">
        <v>1172</v>
      </c>
      <c r="I8" s="2">
        <v>-162</v>
      </c>
    </row>
    <row r="9" spans="1:9" x14ac:dyDescent="0.3">
      <c r="A9" t="s">
        <v>2</v>
      </c>
      <c r="B9" s="1">
        <v>45717</v>
      </c>
      <c r="C9" s="2">
        <v>5979</v>
      </c>
      <c r="D9" s="2">
        <v>252</v>
      </c>
      <c r="E9" s="2">
        <v>4645</v>
      </c>
      <c r="F9" s="2">
        <v>365</v>
      </c>
      <c r="G9" s="2">
        <v>6</v>
      </c>
      <c r="H9" s="2">
        <v>1334</v>
      </c>
      <c r="I9" s="2">
        <v>-113</v>
      </c>
    </row>
    <row r="10" spans="1:9" x14ac:dyDescent="0.3">
      <c r="A10" t="s">
        <v>2</v>
      </c>
      <c r="B10" s="1">
        <v>45689</v>
      </c>
      <c r="C10" s="2">
        <v>5940</v>
      </c>
      <c r="D10" s="2">
        <v>913</v>
      </c>
      <c r="E10" s="2">
        <v>4493</v>
      </c>
      <c r="F10" s="2">
        <v>871</v>
      </c>
      <c r="G10" s="2">
        <v>27</v>
      </c>
      <c r="H10" s="2">
        <v>1447</v>
      </c>
      <c r="I10" s="2">
        <v>42</v>
      </c>
    </row>
    <row r="11" spans="1:9" x14ac:dyDescent="0.3">
      <c r="A11" t="s">
        <v>2</v>
      </c>
      <c r="B11" s="1">
        <v>45658</v>
      </c>
      <c r="C11" s="2">
        <v>5098</v>
      </c>
      <c r="D11" s="2">
        <v>-1537</v>
      </c>
      <c r="E11" s="2">
        <v>3693</v>
      </c>
      <c r="F11" s="2">
        <v>-1501</v>
      </c>
      <c r="G11" s="2">
        <v>31</v>
      </c>
      <c r="H11" s="2">
        <v>1405</v>
      </c>
      <c r="I11" s="2">
        <v>-35</v>
      </c>
    </row>
    <row r="12" spans="1:9" x14ac:dyDescent="0.3">
      <c r="A12" t="s">
        <v>2</v>
      </c>
      <c r="B12" s="1">
        <v>45627</v>
      </c>
      <c r="C12" s="2">
        <v>6729</v>
      </c>
      <c r="D12" s="2">
        <v>207</v>
      </c>
      <c r="E12" s="2">
        <v>5289</v>
      </c>
      <c r="F12" s="2">
        <v>15</v>
      </c>
      <c r="G12" s="2">
        <v>-44</v>
      </c>
      <c r="H12" s="2">
        <v>1440</v>
      </c>
      <c r="I12" s="2">
        <v>192</v>
      </c>
    </row>
    <row r="13" spans="1:9" x14ac:dyDescent="0.3">
      <c r="A13" t="s">
        <v>2</v>
      </c>
      <c r="B13" s="1">
        <v>45597</v>
      </c>
      <c r="C13" s="2">
        <v>6633</v>
      </c>
      <c r="D13" s="2">
        <v>448</v>
      </c>
      <c r="E13" s="2">
        <v>5385</v>
      </c>
      <c r="F13" s="2">
        <v>631</v>
      </c>
      <c r="G13" s="2">
        <v>106</v>
      </c>
      <c r="H13" s="2">
        <v>1248</v>
      </c>
      <c r="I13" s="2">
        <v>-184</v>
      </c>
    </row>
    <row r="14" spans="1:9" x14ac:dyDescent="0.3">
      <c r="A14" t="s">
        <v>2</v>
      </c>
      <c r="B14" s="1">
        <v>45566</v>
      </c>
      <c r="C14" s="2">
        <v>6231</v>
      </c>
      <c r="D14" s="2">
        <v>-435</v>
      </c>
      <c r="E14" s="2">
        <v>4799</v>
      </c>
      <c r="F14" s="2">
        <v>95</v>
      </c>
      <c r="G14" s="2">
        <v>14</v>
      </c>
      <c r="H14" s="2">
        <v>1432</v>
      </c>
      <c r="I14" s="2">
        <v>-530</v>
      </c>
    </row>
    <row r="15" spans="1:9" x14ac:dyDescent="0.3">
      <c r="A15" t="s">
        <v>2</v>
      </c>
      <c r="B15" s="1">
        <v>45536</v>
      </c>
      <c r="C15" s="2">
        <v>6530</v>
      </c>
      <c r="D15" s="2">
        <v>1154</v>
      </c>
      <c r="E15" s="2">
        <v>4569</v>
      </c>
      <c r="F15" s="2">
        <v>1143</v>
      </c>
      <c r="G15" s="2">
        <v>-47</v>
      </c>
      <c r="H15" s="2">
        <v>1961</v>
      </c>
      <c r="I15" s="2">
        <v>11</v>
      </c>
    </row>
    <row r="16" spans="1:9" x14ac:dyDescent="0.3">
      <c r="A16" t="s">
        <v>2</v>
      </c>
      <c r="B16" s="1">
        <v>45505</v>
      </c>
      <c r="C16" s="2">
        <v>5532</v>
      </c>
      <c r="D16" s="2">
        <v>-78</v>
      </c>
      <c r="E16" s="2">
        <v>3581</v>
      </c>
      <c r="F16" s="2">
        <v>71</v>
      </c>
      <c r="G16" s="2">
        <v>59</v>
      </c>
      <c r="H16" s="2">
        <v>1951</v>
      </c>
      <c r="I16" s="2">
        <v>-149</v>
      </c>
    </row>
    <row r="17" spans="1:9" x14ac:dyDescent="0.3">
      <c r="A17" t="s">
        <v>2</v>
      </c>
      <c r="B17" s="1">
        <v>45474</v>
      </c>
      <c r="C17" s="2">
        <v>5635</v>
      </c>
      <c r="D17" s="2">
        <v>-75</v>
      </c>
      <c r="E17" s="2">
        <v>3535</v>
      </c>
      <c r="F17" s="2">
        <v>37</v>
      </c>
      <c r="G17" s="2">
        <v>85</v>
      </c>
      <c r="H17" s="2">
        <v>2100</v>
      </c>
      <c r="I17" s="2">
        <v>-112</v>
      </c>
    </row>
    <row r="18" spans="1:9" x14ac:dyDescent="0.3">
      <c r="A18" t="s">
        <v>2</v>
      </c>
      <c r="B18" s="1">
        <v>45444</v>
      </c>
      <c r="C18" s="2">
        <v>5678</v>
      </c>
      <c r="D18" s="2">
        <v>513</v>
      </c>
      <c r="E18" s="2">
        <v>3467</v>
      </c>
      <c r="F18" s="2">
        <v>530</v>
      </c>
      <c r="G18" s="2">
        <v>12</v>
      </c>
      <c r="H18" s="2">
        <v>2211</v>
      </c>
      <c r="I18" s="2">
        <v>-16</v>
      </c>
    </row>
    <row r="19" spans="1:9" x14ac:dyDescent="0.3">
      <c r="A19" t="s">
        <v>2</v>
      </c>
      <c r="B19" s="1">
        <v>45413</v>
      </c>
      <c r="C19" s="2">
        <v>5276</v>
      </c>
      <c r="D19" s="2">
        <v>138</v>
      </c>
      <c r="E19" s="2">
        <v>3048</v>
      </c>
      <c r="F19" s="2">
        <v>-174</v>
      </c>
      <c r="G19" s="2">
        <v>20</v>
      </c>
      <c r="H19" s="2">
        <v>2228</v>
      </c>
      <c r="I19" s="2">
        <v>312</v>
      </c>
    </row>
    <row r="20" spans="1:9" x14ac:dyDescent="0.3">
      <c r="A20" t="s">
        <v>2</v>
      </c>
      <c r="B20" s="1">
        <v>45383</v>
      </c>
      <c r="C20" s="2">
        <v>5163</v>
      </c>
      <c r="D20" s="2">
        <v>197</v>
      </c>
      <c r="E20" s="2">
        <v>3248</v>
      </c>
      <c r="F20" s="2">
        <v>4</v>
      </c>
      <c r="G20" s="2">
        <v>-76</v>
      </c>
      <c r="H20" s="2">
        <v>1915</v>
      </c>
      <c r="I20" s="2">
        <v>193</v>
      </c>
    </row>
    <row r="21" spans="1:9" x14ac:dyDescent="0.3">
      <c r="A21" t="s">
        <v>2</v>
      </c>
      <c r="B21" s="1">
        <v>45352</v>
      </c>
      <c r="C21" s="2">
        <v>5078</v>
      </c>
      <c r="D21" s="2">
        <v>1043</v>
      </c>
      <c r="E21" s="2">
        <v>3356</v>
      </c>
      <c r="F21" s="2">
        <v>801</v>
      </c>
      <c r="G21" s="2">
        <v>-21</v>
      </c>
      <c r="H21" s="2">
        <v>1722</v>
      </c>
      <c r="I21" s="2">
        <v>241</v>
      </c>
    </row>
    <row r="22" spans="1:9" x14ac:dyDescent="0.3">
      <c r="A22" t="s">
        <v>2</v>
      </c>
      <c r="B22" s="1">
        <v>45323</v>
      </c>
      <c r="C22" s="2">
        <v>4217</v>
      </c>
      <c r="D22" s="2">
        <v>-423</v>
      </c>
      <c r="E22" s="2">
        <v>2736</v>
      </c>
      <c r="F22" s="2">
        <v>-321</v>
      </c>
      <c r="G22" s="2">
        <v>-22</v>
      </c>
      <c r="H22" s="2">
        <v>1481</v>
      </c>
      <c r="I22" s="2">
        <v>-103</v>
      </c>
    </row>
    <row r="23" spans="1:9" x14ac:dyDescent="0.3">
      <c r="A23" t="s">
        <v>2</v>
      </c>
      <c r="B23" s="1">
        <v>45292</v>
      </c>
      <c r="C23" s="2">
        <v>4820</v>
      </c>
      <c r="D23" s="2">
        <v>-1023</v>
      </c>
      <c r="E23" s="2">
        <v>3236</v>
      </c>
      <c r="F23" s="2">
        <v>-777</v>
      </c>
      <c r="G23" s="2">
        <v>63</v>
      </c>
      <c r="H23" s="2">
        <v>1584</v>
      </c>
      <c r="I23" s="2">
        <v>-246</v>
      </c>
    </row>
    <row r="24" spans="1:9" x14ac:dyDescent="0.3">
      <c r="A24" t="s">
        <v>2</v>
      </c>
      <c r="B24" s="1">
        <v>45261</v>
      </c>
      <c r="C24" s="2">
        <v>5646</v>
      </c>
      <c r="D24" s="2">
        <v>572</v>
      </c>
      <c r="E24" s="2">
        <v>3816</v>
      </c>
      <c r="F24" s="2">
        <v>387</v>
      </c>
      <c r="G24" s="2">
        <v>51</v>
      </c>
      <c r="H24" s="2">
        <v>1830</v>
      </c>
      <c r="I24" s="2">
        <v>185</v>
      </c>
    </row>
    <row r="25" spans="1:9" x14ac:dyDescent="0.3">
      <c r="A25" t="s">
        <v>2</v>
      </c>
      <c r="B25" s="1">
        <v>45231</v>
      </c>
      <c r="C25" s="2">
        <v>5971</v>
      </c>
      <c r="D25" s="2">
        <v>357</v>
      </c>
      <c r="E25" s="2">
        <v>4327</v>
      </c>
      <c r="F25" s="2">
        <v>208</v>
      </c>
      <c r="G25" s="2">
        <v>49</v>
      </c>
      <c r="H25" s="2">
        <v>1645</v>
      </c>
      <c r="I25" s="2">
        <v>149</v>
      </c>
    </row>
    <row r="26" spans="1:9" x14ac:dyDescent="0.3">
      <c r="A26" t="s">
        <v>2</v>
      </c>
      <c r="B26" s="1">
        <v>45200</v>
      </c>
      <c r="C26" s="2">
        <v>5678</v>
      </c>
      <c r="D26" s="2">
        <v>-92</v>
      </c>
      <c r="E26" s="2">
        <v>4182</v>
      </c>
      <c r="F26" s="2">
        <v>-247</v>
      </c>
      <c r="G26" s="2">
        <v>-13</v>
      </c>
      <c r="H26" s="2">
        <v>1496</v>
      </c>
      <c r="I26" s="2">
        <v>155</v>
      </c>
    </row>
    <row r="27" spans="1:9" x14ac:dyDescent="0.3">
      <c r="A27" t="s">
        <v>2</v>
      </c>
      <c r="B27" s="1">
        <v>45170</v>
      </c>
      <c r="C27" s="2">
        <v>5768</v>
      </c>
      <c r="D27" s="2">
        <v>226</v>
      </c>
      <c r="E27" s="2">
        <v>4427</v>
      </c>
      <c r="F27" s="2">
        <v>216</v>
      </c>
      <c r="G27" s="2">
        <v>-41</v>
      </c>
      <c r="H27" s="2">
        <v>1341</v>
      </c>
      <c r="I27" s="2">
        <v>11</v>
      </c>
    </row>
    <row r="28" spans="1:9" x14ac:dyDescent="0.3">
      <c r="A28" t="s">
        <v>2</v>
      </c>
      <c r="B28" s="1">
        <v>45139</v>
      </c>
      <c r="C28" s="2">
        <v>5792</v>
      </c>
      <c r="D28" s="2">
        <v>329</v>
      </c>
      <c r="E28" s="2">
        <v>4462</v>
      </c>
      <c r="F28" s="2">
        <v>335</v>
      </c>
      <c r="G28" s="2">
        <v>0</v>
      </c>
      <c r="H28" s="2">
        <v>1331</v>
      </c>
      <c r="I28" s="2">
        <v>-6</v>
      </c>
    </row>
    <row r="29" spans="1:9" x14ac:dyDescent="0.3">
      <c r="A29" t="s">
        <v>2</v>
      </c>
      <c r="B29" s="1">
        <v>45108</v>
      </c>
      <c r="C29" s="2">
        <v>6439</v>
      </c>
      <c r="D29" s="2">
        <v>53</v>
      </c>
      <c r="E29" s="2">
        <v>5102</v>
      </c>
      <c r="F29" s="2">
        <v>-473</v>
      </c>
      <c r="G29" s="2">
        <v>-48</v>
      </c>
      <c r="H29" s="2">
        <v>1337</v>
      </c>
      <c r="I29" s="2">
        <v>526</v>
      </c>
    </row>
    <row r="30" spans="1:9" x14ac:dyDescent="0.3">
      <c r="A30" t="s">
        <v>2</v>
      </c>
      <c r="B30" s="1">
        <v>45078</v>
      </c>
      <c r="C30" s="2">
        <v>5480</v>
      </c>
      <c r="D30" s="2">
        <v>1254</v>
      </c>
      <c r="E30" s="2">
        <v>4669</v>
      </c>
      <c r="F30" s="2">
        <v>1561</v>
      </c>
      <c r="G30" s="2">
        <v>-10</v>
      </c>
      <c r="H30" s="2">
        <v>811</v>
      </c>
      <c r="I30" s="2">
        <v>-307</v>
      </c>
    </row>
    <row r="31" spans="1:9" x14ac:dyDescent="0.3">
      <c r="A31" t="s">
        <v>2</v>
      </c>
      <c r="B31" s="1">
        <v>45047</v>
      </c>
      <c r="C31" s="2">
        <v>4335</v>
      </c>
      <c r="D31" s="2">
        <v>-234</v>
      </c>
      <c r="E31" s="2">
        <v>3218</v>
      </c>
      <c r="F31" s="2">
        <v>-508</v>
      </c>
      <c r="G31" s="2">
        <v>-10</v>
      </c>
      <c r="H31" s="2">
        <v>1118</v>
      </c>
      <c r="I31" s="2">
        <v>274</v>
      </c>
    </row>
    <row r="32" spans="1:9" x14ac:dyDescent="0.3">
      <c r="A32" t="s">
        <v>2</v>
      </c>
      <c r="B32" s="1">
        <v>45017</v>
      </c>
      <c r="C32" s="2">
        <v>5058</v>
      </c>
      <c r="D32" s="2">
        <v>-733</v>
      </c>
      <c r="E32" s="2">
        <v>4215</v>
      </c>
      <c r="F32" s="2">
        <v>-498</v>
      </c>
      <c r="G32" s="2">
        <v>16</v>
      </c>
      <c r="H32" s="2">
        <v>843</v>
      </c>
      <c r="I32" s="2">
        <v>-234</v>
      </c>
    </row>
    <row r="33" spans="1:9" x14ac:dyDescent="0.3">
      <c r="A33" t="s">
        <v>2</v>
      </c>
      <c r="B33" s="1">
        <v>44986</v>
      </c>
      <c r="C33" s="2">
        <v>5704</v>
      </c>
      <c r="D33" s="2">
        <v>215</v>
      </c>
      <c r="E33" s="2">
        <v>4626</v>
      </c>
      <c r="F33" s="2">
        <v>340</v>
      </c>
      <c r="G33" s="2">
        <v>50</v>
      </c>
      <c r="H33" s="2">
        <v>1078</v>
      </c>
      <c r="I33" s="2">
        <v>-125</v>
      </c>
    </row>
    <row r="34" spans="1:9" x14ac:dyDescent="0.3">
      <c r="A34" t="s">
        <v>2</v>
      </c>
      <c r="B34" s="1">
        <v>44958</v>
      </c>
      <c r="C34" s="2">
        <v>5572</v>
      </c>
      <c r="D34" s="2">
        <v>-295</v>
      </c>
      <c r="E34" s="2">
        <v>4369</v>
      </c>
      <c r="F34" s="2">
        <v>-306</v>
      </c>
      <c r="G34" s="2">
        <v>-54</v>
      </c>
      <c r="H34" s="2">
        <v>1203</v>
      </c>
      <c r="I34" s="2">
        <v>11</v>
      </c>
    </row>
    <row r="35" spans="1:9" hidden="1" x14ac:dyDescent="0.3">
      <c r="A35" t="s">
        <v>2</v>
      </c>
      <c r="B35" s="1">
        <v>44927</v>
      </c>
      <c r="C35" s="2">
        <v>5367</v>
      </c>
      <c r="D35" s="2" t="s">
        <v>3</v>
      </c>
      <c r="E35" s="2">
        <v>4175</v>
      </c>
      <c r="F35" s="2" t="s">
        <v>3</v>
      </c>
      <c r="G35" s="2" t="s">
        <v>3</v>
      </c>
      <c r="H35" s="2">
        <v>1192</v>
      </c>
      <c r="I35" s="2">
        <v>-429</v>
      </c>
    </row>
    <row r="36" spans="1:9" hidden="1" x14ac:dyDescent="0.3">
      <c r="A36" t="s">
        <v>2</v>
      </c>
      <c r="B36" s="1">
        <v>44896</v>
      </c>
      <c r="C36" s="2">
        <v>6034</v>
      </c>
      <c r="D36" s="2" t="s">
        <v>3</v>
      </c>
      <c r="E36" s="2">
        <v>4413</v>
      </c>
      <c r="F36" s="2" t="s">
        <v>3</v>
      </c>
      <c r="G36" s="2" t="s">
        <v>3</v>
      </c>
      <c r="H36" s="2">
        <v>1621</v>
      </c>
      <c r="I36" s="2">
        <v>567</v>
      </c>
    </row>
    <row r="37" spans="1:9" hidden="1" x14ac:dyDescent="0.3">
      <c r="A37" t="s">
        <v>2</v>
      </c>
      <c r="B37" s="1">
        <v>44866</v>
      </c>
      <c r="C37" s="2">
        <v>4850</v>
      </c>
      <c r="D37" s="2" t="s">
        <v>3</v>
      </c>
      <c r="E37" s="2">
        <v>3796</v>
      </c>
      <c r="F37" s="2" t="s">
        <v>3</v>
      </c>
      <c r="G37" s="2" t="s">
        <v>3</v>
      </c>
      <c r="H37" s="2">
        <v>1054</v>
      </c>
      <c r="I37" s="2">
        <v>341</v>
      </c>
    </row>
    <row r="38" spans="1:9" hidden="1" x14ac:dyDescent="0.3">
      <c r="A38" t="s">
        <v>2</v>
      </c>
      <c r="B38" s="1">
        <v>44835</v>
      </c>
      <c r="C38" s="2">
        <v>4140</v>
      </c>
      <c r="D38" s="2" t="s">
        <v>3</v>
      </c>
      <c r="E38" s="2">
        <v>3427</v>
      </c>
      <c r="F38" s="2" t="s">
        <v>3</v>
      </c>
      <c r="G38" s="2" t="s">
        <v>3</v>
      </c>
      <c r="H38" s="2">
        <v>713</v>
      </c>
      <c r="I38" s="2">
        <v>97</v>
      </c>
    </row>
    <row r="39" spans="1:9" hidden="1" x14ac:dyDescent="0.3">
      <c r="A39" t="s">
        <v>2</v>
      </c>
      <c r="B39" s="1">
        <v>44805</v>
      </c>
      <c r="C39" s="2">
        <v>4354</v>
      </c>
      <c r="D39" s="2" t="s">
        <v>3</v>
      </c>
      <c r="E39" s="2">
        <v>3737</v>
      </c>
      <c r="F39" s="2" t="s">
        <v>3</v>
      </c>
      <c r="G39" s="2" t="s">
        <v>3</v>
      </c>
      <c r="H39" s="2">
        <v>616</v>
      </c>
      <c r="I39" s="2">
        <v>-35</v>
      </c>
    </row>
    <row r="40" spans="1:9" hidden="1" x14ac:dyDescent="0.3">
      <c r="A40" t="s">
        <v>2</v>
      </c>
      <c r="B40" s="1">
        <v>44774</v>
      </c>
      <c r="C40" s="2">
        <v>4446</v>
      </c>
      <c r="D40" s="2" t="s">
        <v>3</v>
      </c>
      <c r="E40" s="2">
        <v>3795</v>
      </c>
      <c r="F40" s="2" t="s">
        <v>3</v>
      </c>
      <c r="G40" s="2" t="s">
        <v>3</v>
      </c>
      <c r="H40" s="2">
        <v>651</v>
      </c>
      <c r="I40" s="2">
        <v>125</v>
      </c>
    </row>
    <row r="41" spans="1:9" hidden="1" x14ac:dyDescent="0.3">
      <c r="A41" t="s">
        <v>2</v>
      </c>
      <c r="B41" s="1">
        <v>44743</v>
      </c>
      <c r="C41" s="2">
        <v>4514</v>
      </c>
      <c r="D41" s="2" t="s">
        <v>3</v>
      </c>
      <c r="E41" s="2">
        <v>3988</v>
      </c>
      <c r="F41" s="2" t="s">
        <v>3</v>
      </c>
      <c r="G41" s="2" t="s">
        <v>3</v>
      </c>
      <c r="H41" s="2">
        <v>526</v>
      </c>
      <c r="I41" s="2">
        <v>-242</v>
      </c>
    </row>
    <row r="42" spans="1:9" hidden="1" x14ac:dyDescent="0.3">
      <c r="A42" t="s">
        <v>2</v>
      </c>
      <c r="B42" s="1">
        <v>44713</v>
      </c>
      <c r="C42" s="2">
        <v>5037</v>
      </c>
      <c r="D42" s="2" t="s">
        <v>3</v>
      </c>
      <c r="E42" s="2">
        <v>4269</v>
      </c>
      <c r="F42" s="2" t="s">
        <v>3</v>
      </c>
      <c r="G42" s="2" t="s">
        <v>3</v>
      </c>
      <c r="H42" s="2">
        <v>768</v>
      </c>
      <c r="I42" s="2">
        <v>269</v>
      </c>
    </row>
    <row r="43" spans="1:9" hidden="1" x14ac:dyDescent="0.3">
      <c r="A43" t="s">
        <v>2</v>
      </c>
      <c r="B43" s="1">
        <v>44682</v>
      </c>
      <c r="C43" s="2">
        <v>3684</v>
      </c>
      <c r="D43" s="2" t="s">
        <v>3</v>
      </c>
      <c r="E43" s="2">
        <v>3185</v>
      </c>
      <c r="F43" s="2" t="s">
        <v>3</v>
      </c>
      <c r="G43" s="2" t="s">
        <v>3</v>
      </c>
      <c r="H43" s="2">
        <v>499</v>
      </c>
      <c r="I43" s="2">
        <v>104</v>
      </c>
    </row>
    <row r="44" spans="1:9" hidden="1" x14ac:dyDescent="0.3">
      <c r="A44" t="s">
        <v>2</v>
      </c>
      <c r="B44" s="1">
        <v>44652</v>
      </c>
      <c r="C44" s="2">
        <v>3870</v>
      </c>
      <c r="D44" s="2" t="s">
        <v>3</v>
      </c>
      <c r="E44" s="2">
        <v>3476</v>
      </c>
      <c r="F44" s="2" t="s">
        <v>3</v>
      </c>
      <c r="G44" s="2" t="s">
        <v>3</v>
      </c>
      <c r="H44" s="2">
        <v>395</v>
      </c>
      <c r="I44" s="2">
        <v>66</v>
      </c>
    </row>
    <row r="45" spans="1:9" hidden="1" x14ac:dyDescent="0.3">
      <c r="A45" t="s">
        <v>2</v>
      </c>
      <c r="B45" s="1">
        <v>44621</v>
      </c>
      <c r="C45" s="2">
        <v>3700</v>
      </c>
      <c r="D45" s="2" t="s">
        <v>3</v>
      </c>
      <c r="E45" s="2">
        <v>3372</v>
      </c>
      <c r="F45" s="2" t="s">
        <v>3</v>
      </c>
      <c r="G45" s="2" t="s">
        <v>3</v>
      </c>
      <c r="H45" s="2">
        <v>329</v>
      </c>
      <c r="I45" s="2">
        <v>-276</v>
      </c>
    </row>
    <row r="46" spans="1:9" hidden="1" x14ac:dyDescent="0.3">
      <c r="A46" t="s">
        <v>2</v>
      </c>
      <c r="B46" s="1">
        <v>44593</v>
      </c>
      <c r="C46" s="2">
        <v>3730</v>
      </c>
      <c r="D46" s="2" t="s">
        <v>3</v>
      </c>
      <c r="E46" s="2">
        <v>3125</v>
      </c>
      <c r="F46" s="2" t="s">
        <v>3</v>
      </c>
      <c r="G46" s="2" t="s">
        <v>3</v>
      </c>
      <c r="H46" s="2">
        <v>605</v>
      </c>
      <c r="I46" s="2">
        <v>27</v>
      </c>
    </row>
    <row r="47" spans="1:9" hidden="1" x14ac:dyDescent="0.3">
      <c r="A47" t="s">
        <v>2</v>
      </c>
      <c r="B47" s="1">
        <v>44562</v>
      </c>
      <c r="C47" s="2">
        <v>3579</v>
      </c>
      <c r="D47" s="2" t="s">
        <v>3</v>
      </c>
      <c r="E47" s="2">
        <v>3001</v>
      </c>
      <c r="F47" s="2" t="s">
        <v>3</v>
      </c>
      <c r="G47" s="2" t="s">
        <v>3</v>
      </c>
      <c r="H47" s="2">
        <v>578</v>
      </c>
      <c r="I47" s="2">
        <v>-195</v>
      </c>
    </row>
    <row r="48" spans="1:9" hidden="1" x14ac:dyDescent="0.3">
      <c r="A48" t="s">
        <v>2</v>
      </c>
      <c r="B48" s="1">
        <v>44531</v>
      </c>
      <c r="C48" s="2">
        <v>4540</v>
      </c>
      <c r="D48" s="2" t="s">
        <v>3</v>
      </c>
      <c r="E48" s="2">
        <v>3767</v>
      </c>
      <c r="F48" s="2" t="s">
        <v>3</v>
      </c>
      <c r="G48" s="2" t="s">
        <v>3</v>
      </c>
      <c r="H48" s="2">
        <v>773</v>
      </c>
      <c r="I48" s="2">
        <v>402</v>
      </c>
    </row>
    <row r="49" spans="1:9" hidden="1" x14ac:dyDescent="0.3">
      <c r="A49" t="s">
        <v>2</v>
      </c>
      <c r="B49" s="1">
        <v>44501</v>
      </c>
      <c r="C49" s="2">
        <v>3740</v>
      </c>
      <c r="D49" s="2" t="s">
        <v>3</v>
      </c>
      <c r="E49" s="2">
        <v>3369</v>
      </c>
      <c r="F49" s="2" t="s">
        <v>3</v>
      </c>
      <c r="G49" s="2" t="s">
        <v>3</v>
      </c>
      <c r="H49" s="2">
        <v>371</v>
      </c>
      <c r="I49" s="2">
        <v>-46</v>
      </c>
    </row>
    <row r="50" spans="1:9" hidden="1" x14ac:dyDescent="0.3">
      <c r="A50" t="s">
        <v>2</v>
      </c>
      <c r="B50" s="1">
        <v>44470</v>
      </c>
      <c r="C50" s="2">
        <v>3742</v>
      </c>
      <c r="D50" s="2" t="s">
        <v>3</v>
      </c>
      <c r="E50" s="2">
        <v>3325</v>
      </c>
      <c r="F50" s="2" t="s">
        <v>3</v>
      </c>
      <c r="G50" s="2" t="s">
        <v>3</v>
      </c>
      <c r="H50" s="2">
        <v>416</v>
      </c>
      <c r="I50" s="2">
        <v>42</v>
      </c>
    </row>
    <row r="51" spans="1:9" hidden="1" x14ac:dyDescent="0.3">
      <c r="A51" t="s">
        <v>2</v>
      </c>
      <c r="B51" s="1">
        <v>44440</v>
      </c>
      <c r="C51" s="2">
        <v>4182</v>
      </c>
      <c r="D51" s="2" t="s">
        <v>3</v>
      </c>
      <c r="E51" s="2">
        <v>3808</v>
      </c>
      <c r="F51" s="2" t="s">
        <v>3</v>
      </c>
      <c r="G51" s="2" t="s">
        <v>3</v>
      </c>
      <c r="H51" s="2">
        <v>374</v>
      </c>
      <c r="I51" s="2">
        <v>-26</v>
      </c>
    </row>
    <row r="52" spans="1:9" hidden="1" x14ac:dyDescent="0.3">
      <c r="A52" t="s">
        <v>2</v>
      </c>
      <c r="B52" s="1">
        <v>44409</v>
      </c>
      <c r="C52" s="2">
        <v>3729</v>
      </c>
      <c r="D52" s="2" t="s">
        <v>3</v>
      </c>
      <c r="E52" s="2">
        <v>3328</v>
      </c>
      <c r="F52" s="2" t="s">
        <v>3</v>
      </c>
      <c r="G52" s="2" t="s">
        <v>3</v>
      </c>
      <c r="H52" s="2">
        <v>401</v>
      </c>
      <c r="I52" s="2">
        <v>8</v>
      </c>
    </row>
    <row r="53" spans="1:9" hidden="1" x14ac:dyDescent="0.3">
      <c r="A53" t="s">
        <v>2</v>
      </c>
      <c r="B53" s="1">
        <v>44378</v>
      </c>
      <c r="C53" s="2">
        <v>3606</v>
      </c>
      <c r="D53" s="2" t="s">
        <v>3</v>
      </c>
      <c r="E53" s="2">
        <v>3214</v>
      </c>
      <c r="F53" s="2" t="s">
        <v>3</v>
      </c>
      <c r="G53" s="2" t="s">
        <v>3</v>
      </c>
      <c r="H53" s="2">
        <v>393</v>
      </c>
      <c r="I53" s="2">
        <v>-3</v>
      </c>
    </row>
    <row r="54" spans="1:9" hidden="1" x14ac:dyDescent="0.3">
      <c r="A54" t="s">
        <v>2</v>
      </c>
      <c r="B54" s="1">
        <v>44348</v>
      </c>
      <c r="C54" s="2">
        <v>3980</v>
      </c>
      <c r="D54" s="2" t="s">
        <v>3</v>
      </c>
      <c r="E54" s="2">
        <v>3584</v>
      </c>
      <c r="F54" s="2" t="s">
        <v>3</v>
      </c>
      <c r="G54" s="2" t="s">
        <v>3</v>
      </c>
      <c r="H54" s="2">
        <v>396</v>
      </c>
      <c r="I54" s="2">
        <v>1</v>
      </c>
    </row>
    <row r="55" spans="1:9" hidden="1" x14ac:dyDescent="0.3">
      <c r="A55" t="s">
        <v>2</v>
      </c>
      <c r="B55" s="1">
        <v>44317</v>
      </c>
      <c r="C55" s="2">
        <v>3636</v>
      </c>
      <c r="D55" s="2" t="s">
        <v>3</v>
      </c>
      <c r="E55" s="2">
        <v>3241</v>
      </c>
      <c r="F55" s="2" t="s">
        <v>3</v>
      </c>
      <c r="G55" s="2" t="s">
        <v>3</v>
      </c>
      <c r="H55" s="2">
        <v>395</v>
      </c>
      <c r="I55" s="2">
        <v>-64</v>
      </c>
    </row>
    <row r="56" spans="1:9" hidden="1" x14ac:dyDescent="0.3">
      <c r="A56" t="s">
        <v>2</v>
      </c>
      <c r="B56" s="1">
        <v>44287</v>
      </c>
      <c r="C56" s="2">
        <v>3670</v>
      </c>
      <c r="D56" s="2" t="s">
        <v>3</v>
      </c>
      <c r="E56" s="2">
        <v>3211</v>
      </c>
      <c r="F56" s="2" t="s">
        <v>3</v>
      </c>
      <c r="G56" s="2" t="s">
        <v>3</v>
      </c>
      <c r="H56" s="2">
        <v>459</v>
      </c>
      <c r="I56" s="2">
        <v>-34</v>
      </c>
    </row>
    <row r="57" spans="1:9" hidden="1" x14ac:dyDescent="0.3">
      <c r="A57" t="s">
        <v>2</v>
      </c>
      <c r="B57" s="1">
        <v>44256</v>
      </c>
      <c r="C57" s="2">
        <v>3721</v>
      </c>
      <c r="D57" s="2" t="s">
        <v>3</v>
      </c>
      <c r="E57" s="2">
        <v>3228</v>
      </c>
      <c r="F57" s="2" t="s">
        <v>3</v>
      </c>
      <c r="G57" s="2" t="s">
        <v>3</v>
      </c>
      <c r="H57" s="2">
        <v>493</v>
      </c>
      <c r="I57" s="2">
        <v>-86</v>
      </c>
    </row>
    <row r="58" spans="1:9" hidden="1" x14ac:dyDescent="0.3">
      <c r="A58" t="s">
        <v>2</v>
      </c>
      <c r="B58" s="1">
        <v>44228</v>
      </c>
      <c r="C58" s="2">
        <v>3665</v>
      </c>
      <c r="D58" s="2" t="s">
        <v>3</v>
      </c>
      <c r="E58" s="2">
        <v>3087</v>
      </c>
      <c r="F58" s="2" t="s">
        <v>3</v>
      </c>
      <c r="G58" s="2" t="s">
        <v>3</v>
      </c>
      <c r="H58" s="2">
        <v>578</v>
      </c>
      <c r="I58" s="2">
        <v>-84</v>
      </c>
    </row>
    <row r="59" spans="1:9" hidden="1" x14ac:dyDescent="0.3">
      <c r="A59" t="s">
        <v>2</v>
      </c>
      <c r="B59" s="1">
        <v>44197</v>
      </c>
      <c r="C59" s="2">
        <v>4055</v>
      </c>
      <c r="D59" s="2" t="s">
        <v>3</v>
      </c>
      <c r="E59" s="2">
        <v>3393</v>
      </c>
      <c r="F59" s="2" t="s">
        <v>3</v>
      </c>
      <c r="G59" s="2" t="s">
        <v>3</v>
      </c>
      <c r="H59" s="2">
        <v>662</v>
      </c>
      <c r="I59" s="2">
        <v>-273</v>
      </c>
    </row>
    <row r="60" spans="1:9" hidden="1" x14ac:dyDescent="0.3">
      <c r="A60" t="s">
        <v>2</v>
      </c>
      <c r="B60" s="1">
        <v>44166</v>
      </c>
      <c r="C60" s="2">
        <v>4550</v>
      </c>
      <c r="D60" s="2" t="s">
        <v>3</v>
      </c>
      <c r="E60" s="2">
        <v>3615</v>
      </c>
      <c r="F60" s="2" t="s">
        <v>3</v>
      </c>
      <c r="G60" s="2" t="s">
        <v>3</v>
      </c>
      <c r="H60" s="2">
        <v>935</v>
      </c>
      <c r="I60" s="2">
        <v>181</v>
      </c>
    </row>
    <row r="61" spans="1:9" hidden="1" x14ac:dyDescent="0.3">
      <c r="A61" t="s">
        <v>2</v>
      </c>
      <c r="B61" s="1">
        <v>44136</v>
      </c>
      <c r="C61" s="2">
        <v>4121</v>
      </c>
      <c r="D61" s="2" t="s">
        <v>3</v>
      </c>
      <c r="E61" s="2">
        <v>3367</v>
      </c>
      <c r="F61" s="2" t="s">
        <v>3</v>
      </c>
      <c r="G61" s="2" t="s">
        <v>3</v>
      </c>
      <c r="H61" s="2">
        <v>754</v>
      </c>
      <c r="I61" s="2">
        <v>-196</v>
      </c>
    </row>
    <row r="62" spans="1:9" hidden="1" x14ac:dyDescent="0.3">
      <c r="A62" t="s">
        <v>2</v>
      </c>
      <c r="B62" s="1">
        <v>44105</v>
      </c>
      <c r="C62" s="2">
        <v>4306</v>
      </c>
      <c r="D62" s="2" t="s">
        <v>3</v>
      </c>
      <c r="E62" s="2">
        <v>3356</v>
      </c>
      <c r="F62" s="2" t="s">
        <v>3</v>
      </c>
      <c r="G62" s="2" t="s">
        <v>3</v>
      </c>
      <c r="H62" s="2">
        <v>950</v>
      </c>
      <c r="I62" s="2">
        <v>-107</v>
      </c>
    </row>
    <row r="63" spans="1:9" hidden="1" x14ac:dyDescent="0.3">
      <c r="A63" t="s">
        <v>2</v>
      </c>
      <c r="B63" s="1">
        <v>44075</v>
      </c>
      <c r="C63" s="2">
        <v>4678</v>
      </c>
      <c r="D63" s="2" t="s">
        <v>3</v>
      </c>
      <c r="E63" s="2">
        <v>3622</v>
      </c>
      <c r="F63" s="2" t="s">
        <v>3</v>
      </c>
      <c r="G63" s="2" t="s">
        <v>3</v>
      </c>
      <c r="H63" s="2">
        <v>1057</v>
      </c>
      <c r="I63" s="2">
        <v>-274</v>
      </c>
    </row>
    <row r="64" spans="1:9" hidden="1" x14ac:dyDescent="0.3">
      <c r="A64" t="s">
        <v>2</v>
      </c>
      <c r="B64" s="1">
        <v>44044</v>
      </c>
      <c r="C64" s="2">
        <v>4744</v>
      </c>
      <c r="D64" s="2" t="s">
        <v>3</v>
      </c>
      <c r="E64" s="2">
        <v>3412</v>
      </c>
      <c r="F64" s="2" t="s">
        <v>3</v>
      </c>
      <c r="G64" s="2" t="s">
        <v>3</v>
      </c>
      <c r="H64" s="2">
        <v>1331</v>
      </c>
      <c r="I64" s="2">
        <v>8</v>
      </c>
    </row>
    <row r="65" spans="1:9" hidden="1" x14ac:dyDescent="0.3">
      <c r="A65" t="s">
        <v>2</v>
      </c>
      <c r="B65" s="1">
        <v>44013</v>
      </c>
      <c r="C65" s="2">
        <v>4808</v>
      </c>
      <c r="D65" s="2" t="s">
        <v>3</v>
      </c>
      <c r="E65" s="2">
        <v>3484</v>
      </c>
      <c r="F65" s="2" t="s">
        <v>3</v>
      </c>
      <c r="G65" s="2" t="s">
        <v>3</v>
      </c>
      <c r="H65" s="2">
        <v>1323</v>
      </c>
      <c r="I65" s="2">
        <v>72</v>
      </c>
    </row>
    <row r="66" spans="1:9" hidden="1" x14ac:dyDescent="0.3">
      <c r="A66" t="s">
        <v>2</v>
      </c>
      <c r="B66" s="1">
        <v>43983</v>
      </c>
      <c r="C66" s="2">
        <v>4766</v>
      </c>
      <c r="D66" s="2" t="s">
        <v>3</v>
      </c>
      <c r="E66" s="2">
        <v>3515</v>
      </c>
      <c r="F66" s="2" t="s">
        <v>3</v>
      </c>
      <c r="G66" s="2" t="s">
        <v>3</v>
      </c>
      <c r="H66" s="2">
        <v>1251</v>
      </c>
      <c r="I66" s="2">
        <v>188</v>
      </c>
    </row>
    <row r="67" spans="1:9" hidden="1" x14ac:dyDescent="0.3">
      <c r="A67" t="s">
        <v>2</v>
      </c>
      <c r="B67" s="1">
        <v>43952</v>
      </c>
      <c r="C67" s="2">
        <v>4621</v>
      </c>
      <c r="D67" s="2" t="s">
        <v>3</v>
      </c>
      <c r="E67" s="2">
        <v>3559</v>
      </c>
      <c r="F67" s="2" t="s">
        <v>3</v>
      </c>
      <c r="G67" s="2" t="s">
        <v>3</v>
      </c>
      <c r="H67" s="2">
        <v>1063</v>
      </c>
      <c r="I67" s="2">
        <v>164</v>
      </c>
    </row>
    <row r="68" spans="1:9" hidden="1" x14ac:dyDescent="0.3">
      <c r="A68" t="s">
        <v>2</v>
      </c>
      <c r="B68" s="1">
        <v>43922</v>
      </c>
      <c r="C68" s="2">
        <v>4679</v>
      </c>
      <c r="D68" s="2" t="s">
        <v>3</v>
      </c>
      <c r="E68" s="2">
        <v>3781</v>
      </c>
      <c r="F68" s="2" t="s">
        <v>3</v>
      </c>
      <c r="G68" s="2" t="s">
        <v>3</v>
      </c>
      <c r="H68" s="2">
        <v>898</v>
      </c>
      <c r="I68" s="2">
        <v>235</v>
      </c>
    </row>
    <row r="69" spans="1:9" hidden="1" x14ac:dyDescent="0.3">
      <c r="A69" t="s">
        <v>2</v>
      </c>
      <c r="B69" s="1">
        <v>43891</v>
      </c>
      <c r="C69" s="2">
        <v>4579</v>
      </c>
      <c r="D69" s="2" t="s">
        <v>3</v>
      </c>
      <c r="E69" s="2">
        <v>3916</v>
      </c>
      <c r="F69" s="2" t="s">
        <v>3</v>
      </c>
      <c r="G69" s="2" t="s">
        <v>3</v>
      </c>
      <c r="H69" s="2">
        <v>663</v>
      </c>
      <c r="I69" s="2">
        <v>85</v>
      </c>
    </row>
    <row r="70" spans="1:9" hidden="1" x14ac:dyDescent="0.3">
      <c r="A70" t="s">
        <v>2</v>
      </c>
      <c r="B70" s="1">
        <v>43862</v>
      </c>
      <c r="C70" s="2">
        <v>4503</v>
      </c>
      <c r="D70" s="2" t="s">
        <v>3</v>
      </c>
      <c r="E70" s="2">
        <v>3925</v>
      </c>
      <c r="F70" s="2" t="s">
        <v>3</v>
      </c>
      <c r="G70" s="2" t="s">
        <v>3</v>
      </c>
      <c r="H70" s="2">
        <v>578</v>
      </c>
      <c r="I70" s="2">
        <v>59</v>
      </c>
    </row>
    <row r="71" spans="1:9" hidden="1" x14ac:dyDescent="0.3">
      <c r="A71" t="s">
        <v>2</v>
      </c>
      <c r="B71" s="1">
        <v>43831</v>
      </c>
      <c r="C71" s="2">
        <v>4125</v>
      </c>
      <c r="D71" s="2" t="s">
        <v>3</v>
      </c>
      <c r="E71" s="2">
        <v>3606</v>
      </c>
      <c r="F71" s="2" t="s">
        <v>3</v>
      </c>
      <c r="G71" s="2" t="s">
        <v>3</v>
      </c>
      <c r="H71" s="2">
        <v>519</v>
      </c>
      <c r="I71" s="2">
        <v>-205</v>
      </c>
    </row>
    <row r="72" spans="1:9" x14ac:dyDescent="0.3">
      <c r="A72" t="s">
        <v>4</v>
      </c>
      <c r="B72" s="1">
        <v>45931</v>
      </c>
      <c r="C72" s="2">
        <v>468376</v>
      </c>
      <c r="D72" s="2">
        <v>-24868</v>
      </c>
      <c r="E72" s="2">
        <v>394677</v>
      </c>
      <c r="F72" s="2">
        <v>-14485</v>
      </c>
      <c r="G72" s="2">
        <v>367</v>
      </c>
      <c r="H72" s="2">
        <v>73700</v>
      </c>
      <c r="I72" s="2">
        <v>-10382</v>
      </c>
    </row>
    <row r="73" spans="1:9" x14ac:dyDescent="0.3">
      <c r="A73" t="s">
        <v>4</v>
      </c>
      <c r="B73" s="1">
        <v>45901</v>
      </c>
      <c r="C73" s="2">
        <v>466831</v>
      </c>
      <c r="D73" s="2">
        <v>18198</v>
      </c>
      <c r="E73" s="2">
        <v>382749</v>
      </c>
      <c r="F73" s="2">
        <v>7092</v>
      </c>
      <c r="G73" s="2">
        <v>2154</v>
      </c>
      <c r="H73" s="2">
        <v>84082</v>
      </c>
      <c r="I73" s="2">
        <v>11105</v>
      </c>
    </row>
    <row r="74" spans="1:9" x14ac:dyDescent="0.3">
      <c r="A74" t="s">
        <v>4</v>
      </c>
      <c r="B74" s="1">
        <v>45870</v>
      </c>
      <c r="C74" s="2">
        <v>454291</v>
      </c>
      <c r="D74" s="2">
        <v>670</v>
      </c>
      <c r="E74" s="2">
        <v>381314</v>
      </c>
      <c r="F74" s="2">
        <v>-275</v>
      </c>
      <c r="G74" s="2">
        <v>1238</v>
      </c>
      <c r="H74" s="2">
        <v>72977</v>
      </c>
      <c r="I74" s="2">
        <v>945</v>
      </c>
    </row>
    <row r="75" spans="1:9" x14ac:dyDescent="0.3">
      <c r="A75" t="s">
        <v>4</v>
      </c>
      <c r="B75" s="1">
        <v>45839</v>
      </c>
      <c r="C75" s="2">
        <v>428249</v>
      </c>
      <c r="D75" s="2">
        <v>-12165</v>
      </c>
      <c r="E75" s="2">
        <v>356218</v>
      </c>
      <c r="F75" s="2">
        <v>-3309</v>
      </c>
      <c r="G75" s="2">
        <v>-1966</v>
      </c>
      <c r="H75" s="2">
        <v>72031</v>
      </c>
      <c r="I75" s="2">
        <v>-8856</v>
      </c>
    </row>
    <row r="76" spans="1:9" x14ac:dyDescent="0.3">
      <c r="A76" t="s">
        <v>4</v>
      </c>
      <c r="B76" s="1">
        <v>45809</v>
      </c>
      <c r="C76" s="2">
        <v>433362</v>
      </c>
      <c r="D76" s="2">
        <v>14863</v>
      </c>
      <c r="E76" s="2">
        <v>352475</v>
      </c>
      <c r="F76" s="2">
        <v>-1375</v>
      </c>
      <c r="G76" s="2">
        <v>1654</v>
      </c>
      <c r="H76" s="2">
        <v>80887</v>
      </c>
      <c r="I76" s="2">
        <v>16238</v>
      </c>
    </row>
    <row r="77" spans="1:9" x14ac:dyDescent="0.3">
      <c r="A77" t="s">
        <v>4</v>
      </c>
      <c r="B77" s="1">
        <v>45778</v>
      </c>
      <c r="C77" s="2">
        <v>415453</v>
      </c>
      <c r="D77" s="2">
        <v>3784</v>
      </c>
      <c r="E77" s="2">
        <v>350803</v>
      </c>
      <c r="F77" s="2">
        <v>-35</v>
      </c>
      <c r="G77" s="2">
        <v>-3199</v>
      </c>
      <c r="H77" s="2">
        <v>64649</v>
      </c>
      <c r="I77" s="2">
        <v>3819</v>
      </c>
    </row>
    <row r="78" spans="1:9" x14ac:dyDescent="0.3">
      <c r="A78" t="s">
        <v>4</v>
      </c>
      <c r="B78" s="1">
        <v>45748</v>
      </c>
      <c r="C78" s="2">
        <v>411019</v>
      </c>
      <c r="D78" s="2">
        <v>-17501</v>
      </c>
      <c r="E78" s="2">
        <v>350188</v>
      </c>
      <c r="F78" s="2">
        <v>-15477</v>
      </c>
      <c r="G78" s="2">
        <v>1454</v>
      </c>
      <c r="H78" s="2">
        <v>60830</v>
      </c>
      <c r="I78" s="2">
        <v>-2024</v>
      </c>
    </row>
    <row r="79" spans="1:9" x14ac:dyDescent="0.3">
      <c r="A79" t="s">
        <v>4</v>
      </c>
      <c r="B79" s="1">
        <v>45717</v>
      </c>
      <c r="C79" s="2">
        <v>402069</v>
      </c>
      <c r="D79" s="2">
        <v>2784</v>
      </c>
      <c r="E79" s="2">
        <v>339214</v>
      </c>
      <c r="F79" s="2">
        <v>1285</v>
      </c>
      <c r="G79" s="2">
        <v>1003</v>
      </c>
      <c r="H79" s="2">
        <v>62855</v>
      </c>
      <c r="I79" s="2">
        <v>1499</v>
      </c>
    </row>
    <row r="80" spans="1:9" x14ac:dyDescent="0.3">
      <c r="A80" t="s">
        <v>4</v>
      </c>
      <c r="B80" s="1">
        <v>45689</v>
      </c>
      <c r="C80" s="2">
        <v>394664</v>
      </c>
      <c r="D80" s="2">
        <v>-821</v>
      </c>
      <c r="E80" s="2">
        <v>333308</v>
      </c>
      <c r="F80" s="2">
        <v>-263</v>
      </c>
      <c r="G80" s="2">
        <v>5383</v>
      </c>
      <c r="H80" s="2">
        <v>61356</v>
      </c>
      <c r="I80" s="2">
        <v>-558</v>
      </c>
    </row>
    <row r="81" spans="1:9" x14ac:dyDescent="0.3">
      <c r="A81" t="s">
        <v>4</v>
      </c>
      <c r="B81" s="1">
        <v>45658</v>
      </c>
      <c r="C81" s="2">
        <v>377671</v>
      </c>
      <c r="D81" s="2">
        <v>-13820</v>
      </c>
      <c r="E81" s="2">
        <v>315757</v>
      </c>
      <c r="F81" s="2">
        <v>-6502</v>
      </c>
      <c r="G81" s="2">
        <v>1573</v>
      </c>
      <c r="H81" s="2">
        <v>61913</v>
      </c>
      <c r="I81" s="2">
        <v>-7318</v>
      </c>
    </row>
    <row r="82" spans="1:9" x14ac:dyDescent="0.3">
      <c r="A82" t="s">
        <v>4</v>
      </c>
      <c r="B82" s="1">
        <v>45627</v>
      </c>
      <c r="C82" s="2">
        <v>374583</v>
      </c>
      <c r="D82" s="2">
        <v>15399</v>
      </c>
      <c r="E82" s="2">
        <v>305351</v>
      </c>
      <c r="F82" s="2">
        <v>6897</v>
      </c>
      <c r="G82" s="2">
        <v>-4690</v>
      </c>
      <c r="H82" s="2">
        <v>69232</v>
      </c>
      <c r="I82" s="2">
        <v>8502</v>
      </c>
    </row>
    <row r="83" spans="1:9" x14ac:dyDescent="0.3">
      <c r="A83" t="s">
        <v>4</v>
      </c>
      <c r="B83" s="1">
        <v>45597</v>
      </c>
      <c r="C83" s="2">
        <v>361276</v>
      </c>
      <c r="D83" s="2">
        <v>4287</v>
      </c>
      <c r="E83" s="2">
        <v>300547</v>
      </c>
      <c r="F83" s="2">
        <v>3797</v>
      </c>
      <c r="G83" s="2">
        <v>1339</v>
      </c>
      <c r="H83" s="2">
        <v>60730</v>
      </c>
      <c r="I83" s="2">
        <v>490</v>
      </c>
    </row>
    <row r="84" spans="1:9" x14ac:dyDescent="0.3">
      <c r="A84" t="s">
        <v>4</v>
      </c>
      <c r="B84" s="1">
        <v>45566</v>
      </c>
      <c r="C84" s="2">
        <v>349624</v>
      </c>
      <c r="D84" s="2">
        <v>-15015</v>
      </c>
      <c r="E84" s="2">
        <v>289385</v>
      </c>
      <c r="F84" s="2">
        <v>-8631</v>
      </c>
      <c r="G84" s="2">
        <v>-5768</v>
      </c>
      <c r="H84" s="2">
        <v>60240</v>
      </c>
      <c r="I84" s="2">
        <v>-6384</v>
      </c>
    </row>
    <row r="85" spans="1:9" x14ac:dyDescent="0.3">
      <c r="A85" t="s">
        <v>4</v>
      </c>
      <c r="B85" s="1">
        <v>45536</v>
      </c>
      <c r="C85" s="2">
        <v>366602</v>
      </c>
      <c r="D85" s="2">
        <v>32396</v>
      </c>
      <c r="E85" s="2">
        <v>299979</v>
      </c>
      <c r="F85" s="2">
        <v>20225</v>
      </c>
      <c r="G85" s="2">
        <v>1828</v>
      </c>
      <c r="H85" s="2">
        <v>66624</v>
      </c>
      <c r="I85" s="2">
        <v>12170</v>
      </c>
    </row>
    <row r="86" spans="1:9" x14ac:dyDescent="0.3">
      <c r="A86" t="s">
        <v>4</v>
      </c>
      <c r="B86" s="1">
        <v>45505</v>
      </c>
      <c r="C86" s="2">
        <v>324992</v>
      </c>
      <c r="D86" s="2">
        <v>7045</v>
      </c>
      <c r="E86" s="2">
        <v>270539</v>
      </c>
      <c r="F86" s="2">
        <v>5169</v>
      </c>
      <c r="G86" s="2">
        <v>1001</v>
      </c>
      <c r="H86" s="2">
        <v>54453</v>
      </c>
      <c r="I86" s="2">
        <v>1876</v>
      </c>
    </row>
    <row r="87" spans="1:9" x14ac:dyDescent="0.3">
      <c r="A87" t="s">
        <v>4</v>
      </c>
      <c r="B87" s="1">
        <v>45474</v>
      </c>
      <c r="C87" s="2">
        <v>315912</v>
      </c>
      <c r="D87" s="2">
        <v>-10705</v>
      </c>
      <c r="E87" s="2">
        <v>263335</v>
      </c>
      <c r="F87" s="2">
        <v>-11622</v>
      </c>
      <c r="G87" s="2">
        <v>3235</v>
      </c>
      <c r="H87" s="2">
        <v>52577</v>
      </c>
      <c r="I87" s="2">
        <v>916</v>
      </c>
    </row>
    <row r="88" spans="1:9" x14ac:dyDescent="0.3">
      <c r="A88" t="s">
        <v>4</v>
      </c>
      <c r="B88" s="1">
        <v>45444</v>
      </c>
      <c r="C88" s="2">
        <v>318004</v>
      </c>
      <c r="D88" s="2">
        <v>-1458</v>
      </c>
      <c r="E88" s="2">
        <v>266343</v>
      </c>
      <c r="F88" s="2">
        <v>-329</v>
      </c>
      <c r="G88" s="2">
        <v>157</v>
      </c>
      <c r="H88" s="2">
        <v>51661</v>
      </c>
      <c r="I88" s="2">
        <v>-1128</v>
      </c>
    </row>
    <row r="89" spans="1:9" x14ac:dyDescent="0.3">
      <c r="A89" t="s">
        <v>4</v>
      </c>
      <c r="B89" s="1">
        <v>45413</v>
      </c>
      <c r="C89" s="2">
        <v>313039</v>
      </c>
      <c r="D89" s="2">
        <v>354</v>
      </c>
      <c r="E89" s="2">
        <v>260249</v>
      </c>
      <c r="F89" s="2">
        <v>9</v>
      </c>
      <c r="G89" s="2">
        <v>-62</v>
      </c>
      <c r="H89" s="2">
        <v>52789</v>
      </c>
      <c r="I89" s="2">
        <v>345</v>
      </c>
    </row>
    <row r="90" spans="1:9" x14ac:dyDescent="0.3">
      <c r="A90" t="s">
        <v>4</v>
      </c>
      <c r="B90" s="1">
        <v>45383</v>
      </c>
      <c r="C90" s="2">
        <v>312449</v>
      </c>
      <c r="D90" s="2">
        <v>-2068</v>
      </c>
      <c r="E90" s="2">
        <v>260005</v>
      </c>
      <c r="F90" s="2">
        <v>-1320</v>
      </c>
      <c r="G90" s="2">
        <v>-5257</v>
      </c>
      <c r="H90" s="2">
        <v>52444</v>
      </c>
      <c r="I90" s="2">
        <v>-748</v>
      </c>
    </row>
    <row r="91" spans="1:9" x14ac:dyDescent="0.3">
      <c r="A91" t="s">
        <v>4</v>
      </c>
      <c r="B91" s="1">
        <v>45352</v>
      </c>
      <c r="C91" s="2">
        <v>317143</v>
      </c>
      <c r="D91" s="2">
        <v>-13580</v>
      </c>
      <c r="E91" s="2">
        <v>263951</v>
      </c>
      <c r="F91" s="2">
        <v>-8309</v>
      </c>
      <c r="G91" s="2">
        <v>818</v>
      </c>
      <c r="H91" s="2">
        <v>53192</v>
      </c>
      <c r="I91" s="2">
        <v>-5271</v>
      </c>
    </row>
    <row r="92" spans="1:9" x14ac:dyDescent="0.3">
      <c r="A92" t="s">
        <v>4</v>
      </c>
      <c r="B92" s="1">
        <v>45323</v>
      </c>
      <c r="C92" s="2">
        <v>320038</v>
      </c>
      <c r="D92" s="2">
        <v>-1204</v>
      </c>
      <c r="E92" s="2">
        <v>261575</v>
      </c>
      <c r="F92" s="2">
        <v>-733</v>
      </c>
      <c r="G92" s="2">
        <v>-2586</v>
      </c>
      <c r="H92" s="2">
        <v>58464</v>
      </c>
      <c r="I92" s="2">
        <v>-471</v>
      </c>
    </row>
    <row r="93" spans="1:9" x14ac:dyDescent="0.3">
      <c r="A93" t="s">
        <v>4</v>
      </c>
      <c r="B93" s="1">
        <v>45292</v>
      </c>
      <c r="C93" s="2">
        <v>293059</v>
      </c>
      <c r="D93" s="2">
        <v>-16591</v>
      </c>
      <c r="E93" s="2">
        <v>234125</v>
      </c>
      <c r="F93" s="2">
        <v>-12982</v>
      </c>
      <c r="G93" s="2">
        <v>-390</v>
      </c>
      <c r="H93" s="2">
        <v>58934</v>
      </c>
      <c r="I93" s="2">
        <v>-3609</v>
      </c>
    </row>
    <row r="94" spans="1:9" x14ac:dyDescent="0.3">
      <c r="A94" t="s">
        <v>4</v>
      </c>
      <c r="B94" s="1">
        <v>45261</v>
      </c>
      <c r="C94" s="2">
        <v>314387</v>
      </c>
      <c r="D94" s="2">
        <v>-3286</v>
      </c>
      <c r="E94" s="2">
        <v>251844</v>
      </c>
      <c r="F94" s="2">
        <v>-2371</v>
      </c>
      <c r="G94" s="2">
        <v>4631</v>
      </c>
      <c r="H94" s="2">
        <v>62543</v>
      </c>
      <c r="I94" s="2">
        <v>-915</v>
      </c>
    </row>
    <row r="95" spans="1:9" x14ac:dyDescent="0.3">
      <c r="A95" t="s">
        <v>4</v>
      </c>
      <c r="B95" s="1">
        <v>45231</v>
      </c>
      <c r="C95" s="2">
        <v>296477</v>
      </c>
      <c r="D95" s="2">
        <v>1560</v>
      </c>
      <c r="E95" s="2">
        <v>233019</v>
      </c>
      <c r="F95" s="2">
        <v>-2890</v>
      </c>
      <c r="G95" s="2">
        <v>3167</v>
      </c>
      <c r="H95" s="2">
        <v>63458</v>
      </c>
      <c r="I95" s="2">
        <v>4450</v>
      </c>
    </row>
    <row r="96" spans="1:9" x14ac:dyDescent="0.3">
      <c r="A96" t="s">
        <v>4</v>
      </c>
      <c r="B96" s="1">
        <v>45200</v>
      </c>
      <c r="C96" s="2">
        <v>285417</v>
      </c>
      <c r="D96" s="2">
        <v>-22109</v>
      </c>
      <c r="E96" s="2">
        <v>226409</v>
      </c>
      <c r="F96" s="2">
        <v>-14031</v>
      </c>
      <c r="G96" s="2">
        <v>-1890</v>
      </c>
      <c r="H96" s="2">
        <v>59008</v>
      </c>
      <c r="I96" s="2">
        <v>-8077</v>
      </c>
    </row>
    <row r="97" spans="1:9" x14ac:dyDescent="0.3">
      <c r="A97" t="s">
        <v>4</v>
      </c>
      <c r="B97" s="1">
        <v>45170</v>
      </c>
      <c r="C97" s="2">
        <v>317042</v>
      </c>
      <c r="D97" s="2">
        <v>8515</v>
      </c>
      <c r="E97" s="2">
        <v>249956</v>
      </c>
      <c r="F97" s="2">
        <v>2731</v>
      </c>
      <c r="G97" s="2">
        <v>-5703</v>
      </c>
      <c r="H97" s="2">
        <v>67086</v>
      </c>
      <c r="I97" s="2">
        <v>5785</v>
      </c>
    </row>
    <row r="98" spans="1:9" x14ac:dyDescent="0.3">
      <c r="A98" t="s">
        <v>4</v>
      </c>
      <c r="B98" s="1">
        <v>45139</v>
      </c>
      <c r="C98" s="2">
        <v>316698</v>
      </c>
      <c r="D98" s="2">
        <v>-2463</v>
      </c>
      <c r="E98" s="2">
        <v>255397</v>
      </c>
      <c r="F98" s="2">
        <v>-2908</v>
      </c>
      <c r="G98" s="2">
        <v>-3830</v>
      </c>
      <c r="H98" s="2">
        <v>61301</v>
      </c>
      <c r="I98" s="2">
        <v>445</v>
      </c>
    </row>
    <row r="99" spans="1:9" x14ac:dyDescent="0.3">
      <c r="A99" t="s">
        <v>4</v>
      </c>
      <c r="B99" s="1">
        <v>45108</v>
      </c>
      <c r="C99" s="2">
        <v>318712</v>
      </c>
      <c r="D99" s="2">
        <v>-14433</v>
      </c>
      <c r="E99" s="2">
        <v>257855</v>
      </c>
      <c r="F99" s="2">
        <v>-3846</v>
      </c>
      <c r="G99" s="2">
        <v>-2879</v>
      </c>
      <c r="H99" s="2">
        <v>60857</v>
      </c>
      <c r="I99" s="2">
        <v>-10587</v>
      </c>
    </row>
    <row r="100" spans="1:9" x14ac:dyDescent="0.3">
      <c r="A100" t="s">
        <v>4</v>
      </c>
      <c r="B100" s="1">
        <v>45078</v>
      </c>
      <c r="C100" s="2">
        <v>331760</v>
      </c>
      <c r="D100" s="2">
        <v>8945</v>
      </c>
      <c r="E100" s="2">
        <v>260317</v>
      </c>
      <c r="F100" s="2">
        <v>9253</v>
      </c>
      <c r="G100" s="2">
        <v>-5199</v>
      </c>
      <c r="H100" s="2">
        <v>71444</v>
      </c>
      <c r="I100" s="2">
        <v>-308</v>
      </c>
    </row>
    <row r="101" spans="1:9" x14ac:dyDescent="0.3">
      <c r="A101" t="s">
        <v>4</v>
      </c>
      <c r="B101" s="1">
        <v>45047</v>
      </c>
      <c r="C101" s="2">
        <v>335540</v>
      </c>
      <c r="D101" s="2">
        <v>-9813</v>
      </c>
      <c r="E101" s="2">
        <v>263788</v>
      </c>
      <c r="F101" s="2">
        <v>-5578</v>
      </c>
      <c r="G101" s="2">
        <v>-2434</v>
      </c>
      <c r="H101" s="2">
        <v>71752</v>
      </c>
      <c r="I101" s="2">
        <v>-4235</v>
      </c>
    </row>
    <row r="102" spans="1:9" x14ac:dyDescent="0.3">
      <c r="A102" t="s">
        <v>4</v>
      </c>
      <c r="B102" s="1">
        <v>45017</v>
      </c>
      <c r="C102" s="2">
        <v>336558</v>
      </c>
      <c r="D102" s="2">
        <v>8317</v>
      </c>
      <c r="E102" s="2">
        <v>260572</v>
      </c>
      <c r="F102" s="2">
        <v>-5337</v>
      </c>
      <c r="G102" s="2">
        <v>-534</v>
      </c>
      <c r="H102" s="2">
        <v>75987</v>
      </c>
      <c r="I102" s="2">
        <v>13654</v>
      </c>
    </row>
    <row r="103" spans="1:9" x14ac:dyDescent="0.3">
      <c r="A103" t="s">
        <v>4</v>
      </c>
      <c r="B103" s="1">
        <v>44986</v>
      </c>
      <c r="C103" s="2">
        <v>336991</v>
      </c>
      <c r="D103" s="2">
        <v>426</v>
      </c>
      <c r="E103" s="2">
        <v>274659</v>
      </c>
      <c r="F103" s="2">
        <v>-3603</v>
      </c>
      <c r="G103" s="2">
        <v>2860</v>
      </c>
      <c r="H103" s="2">
        <v>62333</v>
      </c>
      <c r="I103" s="2">
        <v>4029</v>
      </c>
    </row>
    <row r="104" spans="1:9" x14ac:dyDescent="0.3">
      <c r="A104" t="s">
        <v>4</v>
      </c>
      <c r="B104" s="1">
        <v>44958</v>
      </c>
      <c r="C104" s="2">
        <v>330869</v>
      </c>
      <c r="D104" s="2">
        <v>6216</v>
      </c>
      <c r="E104" s="2">
        <v>272566</v>
      </c>
      <c r="F104" s="2">
        <v>-1261</v>
      </c>
      <c r="G104" s="2">
        <v>-5666</v>
      </c>
      <c r="H104" s="2">
        <v>58304</v>
      </c>
      <c r="I104" s="2">
        <v>7477</v>
      </c>
    </row>
    <row r="105" spans="1:9" hidden="1" x14ac:dyDescent="0.3">
      <c r="A105" t="s">
        <v>4</v>
      </c>
      <c r="B105" s="1">
        <v>44927</v>
      </c>
      <c r="C105" s="2">
        <v>331058</v>
      </c>
      <c r="D105" s="2" t="s">
        <v>3</v>
      </c>
      <c r="E105" s="2">
        <v>280232</v>
      </c>
      <c r="F105" s="2" t="s">
        <v>3</v>
      </c>
      <c r="G105" s="2" t="s">
        <v>3</v>
      </c>
      <c r="H105" s="2">
        <v>50826</v>
      </c>
      <c r="I105" s="2">
        <v>1537</v>
      </c>
    </row>
    <row r="106" spans="1:9" hidden="1" x14ac:dyDescent="0.3">
      <c r="A106" t="s">
        <v>4</v>
      </c>
      <c r="B106" s="1">
        <v>44896</v>
      </c>
      <c r="C106" s="2">
        <v>351175</v>
      </c>
      <c r="D106" s="2" t="s">
        <v>3</v>
      </c>
      <c r="E106" s="2">
        <v>301885</v>
      </c>
      <c r="F106" s="2" t="s">
        <v>3</v>
      </c>
      <c r="G106" s="2" t="s">
        <v>3</v>
      </c>
      <c r="H106" s="2">
        <v>49290</v>
      </c>
      <c r="I106" s="2">
        <v>5141</v>
      </c>
    </row>
    <row r="107" spans="1:9" hidden="1" x14ac:dyDescent="0.3">
      <c r="A107" t="s">
        <v>4</v>
      </c>
      <c r="B107" s="1">
        <v>44866</v>
      </c>
      <c r="C107" s="2">
        <v>334369</v>
      </c>
      <c r="D107" s="2" t="s">
        <v>3</v>
      </c>
      <c r="E107" s="2">
        <v>290220</v>
      </c>
      <c r="F107" s="2" t="s">
        <v>3</v>
      </c>
      <c r="G107" s="2" t="s">
        <v>3</v>
      </c>
      <c r="H107" s="2">
        <v>44149</v>
      </c>
      <c r="I107" s="2">
        <v>-3137</v>
      </c>
    </row>
    <row r="108" spans="1:9" hidden="1" x14ac:dyDescent="0.3">
      <c r="A108" t="s">
        <v>4</v>
      </c>
      <c r="B108" s="1">
        <v>44835</v>
      </c>
      <c r="C108" s="2">
        <v>327216</v>
      </c>
      <c r="D108" s="2" t="s">
        <v>3</v>
      </c>
      <c r="E108" s="2">
        <v>279930</v>
      </c>
      <c r="F108" s="2" t="s">
        <v>3</v>
      </c>
      <c r="G108" s="2" t="s">
        <v>3</v>
      </c>
      <c r="H108" s="2">
        <v>47286</v>
      </c>
      <c r="I108" s="2">
        <v>1585</v>
      </c>
    </row>
    <row r="109" spans="1:9" hidden="1" x14ac:dyDescent="0.3">
      <c r="A109" t="s">
        <v>4</v>
      </c>
      <c r="B109" s="1">
        <v>44805</v>
      </c>
      <c r="C109" s="2">
        <v>325004</v>
      </c>
      <c r="D109" s="2" t="s">
        <v>3</v>
      </c>
      <c r="E109" s="2">
        <v>279303</v>
      </c>
      <c r="F109" s="2" t="s">
        <v>3</v>
      </c>
      <c r="G109" s="2" t="s">
        <v>3</v>
      </c>
      <c r="H109" s="2">
        <v>45701</v>
      </c>
      <c r="I109" s="2">
        <v>-530</v>
      </c>
    </row>
    <row r="110" spans="1:9" hidden="1" x14ac:dyDescent="0.3">
      <c r="A110" t="s">
        <v>4</v>
      </c>
      <c r="B110" s="1">
        <v>44774</v>
      </c>
      <c r="C110" s="2">
        <v>287801</v>
      </c>
      <c r="D110" s="2" t="s">
        <v>3</v>
      </c>
      <c r="E110" s="2">
        <v>241570</v>
      </c>
      <c r="F110" s="2" t="s">
        <v>3</v>
      </c>
      <c r="G110" s="2" t="s">
        <v>3</v>
      </c>
      <c r="H110" s="2">
        <v>46231</v>
      </c>
      <c r="I110" s="2">
        <v>4712</v>
      </c>
    </row>
    <row r="111" spans="1:9" hidden="1" x14ac:dyDescent="0.3">
      <c r="A111" t="s">
        <v>4</v>
      </c>
      <c r="B111" s="1">
        <v>44743</v>
      </c>
      <c r="C111" s="2">
        <v>285409</v>
      </c>
      <c r="D111" s="2" t="s">
        <v>3</v>
      </c>
      <c r="E111" s="2">
        <v>243890</v>
      </c>
      <c r="F111" s="2" t="s">
        <v>3</v>
      </c>
      <c r="G111" s="2" t="s">
        <v>3</v>
      </c>
      <c r="H111" s="2">
        <v>41520</v>
      </c>
      <c r="I111" s="2">
        <v>465</v>
      </c>
    </row>
    <row r="112" spans="1:9" hidden="1" x14ac:dyDescent="0.3">
      <c r="A112" t="s">
        <v>4</v>
      </c>
      <c r="B112" s="1">
        <v>44713</v>
      </c>
      <c r="C112" s="2">
        <v>273485</v>
      </c>
      <c r="D112" s="2" t="s">
        <v>3</v>
      </c>
      <c r="E112" s="2">
        <v>232430</v>
      </c>
      <c r="F112" s="2" t="s">
        <v>3</v>
      </c>
      <c r="G112" s="2" t="s">
        <v>3</v>
      </c>
      <c r="H112" s="2">
        <v>41055</v>
      </c>
      <c r="I112" s="2">
        <v>2297</v>
      </c>
    </row>
    <row r="113" spans="1:9" hidden="1" x14ac:dyDescent="0.3">
      <c r="A113" t="s">
        <v>4</v>
      </c>
      <c r="B113" s="1">
        <v>44682</v>
      </c>
      <c r="C113" s="2">
        <v>268216</v>
      </c>
      <c r="D113" s="2" t="s">
        <v>3</v>
      </c>
      <c r="E113" s="2">
        <v>229459</v>
      </c>
      <c r="F113" s="2" t="s">
        <v>3</v>
      </c>
      <c r="G113" s="2" t="s">
        <v>3</v>
      </c>
      <c r="H113" s="2">
        <v>38757</v>
      </c>
      <c r="I113" s="2">
        <v>-145</v>
      </c>
    </row>
    <row r="114" spans="1:9" hidden="1" x14ac:dyDescent="0.3">
      <c r="A114" t="s">
        <v>4</v>
      </c>
      <c r="B114" s="1">
        <v>44652</v>
      </c>
      <c r="C114" s="2">
        <v>255625</v>
      </c>
      <c r="D114" s="2" t="s">
        <v>3</v>
      </c>
      <c r="E114" s="2">
        <v>216722</v>
      </c>
      <c r="F114" s="2" t="s">
        <v>3</v>
      </c>
      <c r="G114" s="2" t="s">
        <v>3</v>
      </c>
      <c r="H114" s="2">
        <v>38903</v>
      </c>
      <c r="I114" s="2">
        <v>-1926</v>
      </c>
    </row>
    <row r="115" spans="1:9" hidden="1" x14ac:dyDescent="0.3">
      <c r="A115" t="s">
        <v>4</v>
      </c>
      <c r="B115" s="1">
        <v>44621</v>
      </c>
      <c r="C115" s="2">
        <v>264484</v>
      </c>
      <c r="D115" s="2" t="s">
        <v>3</v>
      </c>
      <c r="E115" s="2">
        <v>223655</v>
      </c>
      <c r="F115" s="2" t="s">
        <v>3</v>
      </c>
      <c r="G115" s="2" t="s">
        <v>3</v>
      </c>
      <c r="H115" s="2">
        <v>40829</v>
      </c>
      <c r="I115" s="2">
        <v>2603</v>
      </c>
    </row>
    <row r="116" spans="1:9" hidden="1" x14ac:dyDescent="0.3">
      <c r="A116" t="s">
        <v>4</v>
      </c>
      <c r="B116" s="1">
        <v>44593</v>
      </c>
      <c r="C116" s="2">
        <v>258380</v>
      </c>
      <c r="D116" s="2" t="s">
        <v>3</v>
      </c>
      <c r="E116" s="2">
        <v>220154</v>
      </c>
      <c r="F116" s="2" t="s">
        <v>3</v>
      </c>
      <c r="G116" s="2" t="s">
        <v>3</v>
      </c>
      <c r="H116" s="2">
        <v>38226</v>
      </c>
      <c r="I116" s="2">
        <v>-5385</v>
      </c>
    </row>
    <row r="117" spans="1:9" hidden="1" x14ac:dyDescent="0.3">
      <c r="A117" t="s">
        <v>4</v>
      </c>
      <c r="B117" s="1">
        <v>44562</v>
      </c>
      <c r="C117" s="2">
        <v>242983</v>
      </c>
      <c r="D117" s="2" t="s">
        <v>3</v>
      </c>
      <c r="E117" s="2">
        <v>199372</v>
      </c>
      <c r="F117" s="2" t="s">
        <v>3</v>
      </c>
      <c r="G117" s="2" t="s">
        <v>3</v>
      </c>
      <c r="H117" s="2">
        <v>43611</v>
      </c>
      <c r="I117" s="2">
        <v>2314</v>
      </c>
    </row>
    <row r="118" spans="1:9" hidden="1" x14ac:dyDescent="0.3">
      <c r="A118" t="s">
        <v>4</v>
      </c>
      <c r="B118" s="1">
        <v>44531</v>
      </c>
      <c r="C118" s="2">
        <v>271633</v>
      </c>
      <c r="D118" s="2" t="s">
        <v>3</v>
      </c>
      <c r="E118" s="2">
        <v>230336</v>
      </c>
      <c r="F118" s="2" t="s">
        <v>3</v>
      </c>
      <c r="G118" s="2" t="s">
        <v>3</v>
      </c>
      <c r="H118" s="2">
        <v>41297</v>
      </c>
      <c r="I118" s="2">
        <v>8001</v>
      </c>
    </row>
    <row r="119" spans="1:9" hidden="1" x14ac:dyDescent="0.3">
      <c r="A119" t="s">
        <v>4</v>
      </c>
      <c r="B119" s="1">
        <v>44501</v>
      </c>
      <c r="C119" s="2">
        <v>224881</v>
      </c>
      <c r="D119" s="2" t="s">
        <v>3</v>
      </c>
      <c r="E119" s="2">
        <v>191585</v>
      </c>
      <c r="F119" s="2" t="s">
        <v>3</v>
      </c>
      <c r="G119" s="2" t="s">
        <v>3</v>
      </c>
      <c r="H119" s="2">
        <v>33297</v>
      </c>
      <c r="I119" s="2">
        <v>-1892</v>
      </c>
    </row>
    <row r="120" spans="1:9" hidden="1" x14ac:dyDescent="0.3">
      <c r="A120" t="s">
        <v>4</v>
      </c>
      <c r="B120" s="1">
        <v>44470</v>
      </c>
      <c r="C120" s="2">
        <v>225769</v>
      </c>
      <c r="D120" s="2" t="s">
        <v>3</v>
      </c>
      <c r="E120" s="2">
        <v>190581</v>
      </c>
      <c r="F120" s="2" t="s">
        <v>3</v>
      </c>
      <c r="G120" s="2" t="s">
        <v>3</v>
      </c>
      <c r="H120" s="2">
        <v>35188</v>
      </c>
      <c r="I120" s="2">
        <v>-154</v>
      </c>
    </row>
    <row r="121" spans="1:9" hidden="1" x14ac:dyDescent="0.3">
      <c r="A121" t="s">
        <v>4</v>
      </c>
      <c r="B121" s="1">
        <v>44440</v>
      </c>
      <c r="C121" s="2">
        <v>220858</v>
      </c>
      <c r="D121" s="2" t="s">
        <v>3</v>
      </c>
      <c r="E121" s="2">
        <v>185516</v>
      </c>
      <c r="F121" s="2" t="s">
        <v>3</v>
      </c>
      <c r="G121" s="2" t="s">
        <v>3</v>
      </c>
      <c r="H121" s="2">
        <v>35342</v>
      </c>
      <c r="I121" s="2">
        <v>2827</v>
      </c>
    </row>
    <row r="122" spans="1:9" hidden="1" x14ac:dyDescent="0.3">
      <c r="A122" t="s">
        <v>4</v>
      </c>
      <c r="B122" s="1">
        <v>44409</v>
      </c>
      <c r="C122" s="2">
        <v>227728</v>
      </c>
      <c r="D122" s="2" t="s">
        <v>3</v>
      </c>
      <c r="E122" s="2">
        <v>195213</v>
      </c>
      <c r="F122" s="2" t="s">
        <v>3</v>
      </c>
      <c r="G122" s="2" t="s">
        <v>3</v>
      </c>
      <c r="H122" s="2">
        <v>32515</v>
      </c>
      <c r="I122" s="2">
        <v>1350</v>
      </c>
    </row>
    <row r="123" spans="1:9" hidden="1" x14ac:dyDescent="0.3">
      <c r="A123" t="s">
        <v>4</v>
      </c>
      <c r="B123" s="1">
        <v>44378</v>
      </c>
      <c r="C123" s="2">
        <v>220454</v>
      </c>
      <c r="D123" s="2" t="s">
        <v>3</v>
      </c>
      <c r="E123" s="2">
        <v>189289</v>
      </c>
      <c r="F123" s="2" t="s">
        <v>3</v>
      </c>
      <c r="G123" s="2" t="s">
        <v>3</v>
      </c>
      <c r="H123" s="2">
        <v>31165</v>
      </c>
      <c r="I123" s="2">
        <v>-359</v>
      </c>
    </row>
    <row r="124" spans="1:9" hidden="1" x14ac:dyDescent="0.3">
      <c r="A124" t="s">
        <v>4</v>
      </c>
      <c r="B124" s="1">
        <v>44348</v>
      </c>
      <c r="C124" s="2">
        <v>228488</v>
      </c>
      <c r="D124" s="2" t="s">
        <v>3</v>
      </c>
      <c r="E124" s="2">
        <v>196965</v>
      </c>
      <c r="F124" s="2" t="s">
        <v>3</v>
      </c>
      <c r="G124" s="2" t="s">
        <v>3</v>
      </c>
      <c r="H124" s="2">
        <v>31523</v>
      </c>
      <c r="I124" s="2">
        <v>-1488</v>
      </c>
    </row>
    <row r="125" spans="1:9" hidden="1" x14ac:dyDescent="0.3">
      <c r="A125" t="s">
        <v>4</v>
      </c>
      <c r="B125" s="1">
        <v>44317</v>
      </c>
      <c r="C125" s="2">
        <v>236438</v>
      </c>
      <c r="D125" s="2" t="s">
        <v>3</v>
      </c>
      <c r="E125" s="2">
        <v>203426</v>
      </c>
      <c r="F125" s="2" t="s">
        <v>3</v>
      </c>
      <c r="G125" s="2" t="s">
        <v>3</v>
      </c>
      <c r="H125" s="2">
        <v>33011</v>
      </c>
      <c r="I125" s="2">
        <v>2517</v>
      </c>
    </row>
    <row r="126" spans="1:9" hidden="1" x14ac:dyDescent="0.3">
      <c r="A126" t="s">
        <v>4</v>
      </c>
      <c r="B126" s="1">
        <v>44287</v>
      </c>
      <c r="C126" s="2">
        <v>234814</v>
      </c>
      <c r="D126" s="2" t="s">
        <v>3</v>
      </c>
      <c r="E126" s="2">
        <v>204320</v>
      </c>
      <c r="F126" s="2" t="s">
        <v>3</v>
      </c>
      <c r="G126" s="2" t="s">
        <v>3</v>
      </c>
      <c r="H126" s="2">
        <v>30494</v>
      </c>
      <c r="I126" s="2">
        <v>-3108</v>
      </c>
    </row>
    <row r="127" spans="1:9" hidden="1" x14ac:dyDescent="0.3">
      <c r="A127" t="s">
        <v>4</v>
      </c>
      <c r="B127" s="1">
        <v>44256</v>
      </c>
      <c r="C127" s="2">
        <v>235825</v>
      </c>
      <c r="D127" s="2" t="s">
        <v>3</v>
      </c>
      <c r="E127" s="2">
        <v>202223</v>
      </c>
      <c r="F127" s="2" t="s">
        <v>3</v>
      </c>
      <c r="G127" s="2" t="s">
        <v>3</v>
      </c>
      <c r="H127" s="2">
        <v>33602</v>
      </c>
      <c r="I127" s="2">
        <v>-789</v>
      </c>
    </row>
    <row r="128" spans="1:9" hidden="1" x14ac:dyDescent="0.3">
      <c r="A128" t="s">
        <v>4</v>
      </c>
      <c r="B128" s="1">
        <v>44228</v>
      </c>
      <c r="C128" s="2">
        <v>236710</v>
      </c>
      <c r="D128" s="2" t="s">
        <v>3</v>
      </c>
      <c r="E128" s="2">
        <v>202319</v>
      </c>
      <c r="F128" s="2" t="s">
        <v>3</v>
      </c>
      <c r="G128" s="2" t="s">
        <v>3</v>
      </c>
      <c r="H128" s="2">
        <v>34392</v>
      </c>
      <c r="I128" s="2">
        <v>-5898</v>
      </c>
    </row>
    <row r="129" spans="1:9" hidden="1" x14ac:dyDescent="0.3">
      <c r="A129" t="s">
        <v>4</v>
      </c>
      <c r="B129" s="1">
        <v>44197</v>
      </c>
      <c r="C129" s="2">
        <v>248188</v>
      </c>
      <c r="D129" s="2" t="s">
        <v>3</v>
      </c>
      <c r="E129" s="2">
        <v>207898</v>
      </c>
      <c r="F129" s="2" t="s">
        <v>3</v>
      </c>
      <c r="G129" s="2" t="s">
        <v>3</v>
      </c>
      <c r="H129" s="2">
        <v>40290</v>
      </c>
      <c r="I129" s="2">
        <v>-7878</v>
      </c>
    </row>
    <row r="130" spans="1:9" hidden="1" x14ac:dyDescent="0.3">
      <c r="A130" t="s">
        <v>4</v>
      </c>
      <c r="B130" s="1">
        <v>44166</v>
      </c>
      <c r="C130" s="2">
        <v>253461</v>
      </c>
      <c r="D130" s="2" t="s">
        <v>3</v>
      </c>
      <c r="E130" s="2">
        <v>205293</v>
      </c>
      <c r="F130" s="2" t="s">
        <v>3</v>
      </c>
      <c r="G130" s="2" t="s">
        <v>3</v>
      </c>
      <c r="H130" s="2">
        <v>48168</v>
      </c>
      <c r="I130" s="2">
        <v>6651</v>
      </c>
    </row>
    <row r="131" spans="1:9" hidden="1" x14ac:dyDescent="0.3">
      <c r="A131" t="s">
        <v>4</v>
      </c>
      <c r="B131" s="1">
        <v>44136</v>
      </c>
      <c r="C131" s="2">
        <v>240516</v>
      </c>
      <c r="D131" s="2" t="s">
        <v>3</v>
      </c>
      <c r="E131" s="2">
        <v>198999</v>
      </c>
      <c r="F131" s="2" t="s">
        <v>3</v>
      </c>
      <c r="G131" s="2" t="s">
        <v>3</v>
      </c>
      <c r="H131" s="2">
        <v>41517</v>
      </c>
      <c r="I131" s="2">
        <v>4790</v>
      </c>
    </row>
    <row r="132" spans="1:9" hidden="1" x14ac:dyDescent="0.3">
      <c r="A132" t="s">
        <v>4</v>
      </c>
      <c r="B132" s="1">
        <v>44105</v>
      </c>
      <c r="C132" s="2">
        <v>239514</v>
      </c>
      <c r="D132" s="2" t="s">
        <v>3</v>
      </c>
      <c r="E132" s="2">
        <v>202787</v>
      </c>
      <c r="F132" s="2" t="s">
        <v>3</v>
      </c>
      <c r="G132" s="2" t="s">
        <v>3</v>
      </c>
      <c r="H132" s="2">
        <v>36727</v>
      </c>
      <c r="I132" s="2">
        <v>-6979</v>
      </c>
    </row>
    <row r="133" spans="1:9" hidden="1" x14ac:dyDescent="0.3">
      <c r="A133" t="s">
        <v>4</v>
      </c>
      <c r="B133" s="1">
        <v>44075</v>
      </c>
      <c r="C133" s="2">
        <v>218079</v>
      </c>
      <c r="D133" s="2" t="s">
        <v>3</v>
      </c>
      <c r="E133" s="2">
        <v>174373</v>
      </c>
      <c r="F133" s="2" t="s">
        <v>3</v>
      </c>
      <c r="G133" s="2" t="s">
        <v>3</v>
      </c>
      <c r="H133" s="2">
        <v>43706</v>
      </c>
      <c r="I133" s="2">
        <v>601</v>
      </c>
    </row>
    <row r="134" spans="1:9" hidden="1" x14ac:dyDescent="0.3">
      <c r="A134" t="s">
        <v>4</v>
      </c>
      <c r="B134" s="1">
        <v>44044</v>
      </c>
      <c r="C134" s="2">
        <v>214932</v>
      </c>
      <c r="D134" s="2" t="s">
        <v>3</v>
      </c>
      <c r="E134" s="2">
        <v>171827</v>
      </c>
      <c r="F134" s="2" t="s">
        <v>3</v>
      </c>
      <c r="G134" s="2" t="s">
        <v>3</v>
      </c>
      <c r="H134" s="2">
        <v>43104</v>
      </c>
      <c r="I134" s="2">
        <v>1042</v>
      </c>
    </row>
    <row r="135" spans="1:9" hidden="1" x14ac:dyDescent="0.3">
      <c r="A135" t="s">
        <v>4</v>
      </c>
      <c r="B135" s="1">
        <v>44013</v>
      </c>
      <c r="C135" s="2">
        <v>211833</v>
      </c>
      <c r="D135" s="2" t="s">
        <v>3</v>
      </c>
      <c r="E135" s="2">
        <v>169771</v>
      </c>
      <c r="F135" s="2" t="s">
        <v>3</v>
      </c>
      <c r="G135" s="2" t="s">
        <v>3</v>
      </c>
      <c r="H135" s="2">
        <v>42063</v>
      </c>
      <c r="I135" s="2">
        <v>-1103</v>
      </c>
    </row>
    <row r="136" spans="1:9" hidden="1" x14ac:dyDescent="0.3">
      <c r="A136" t="s">
        <v>4</v>
      </c>
      <c r="B136" s="1">
        <v>43983</v>
      </c>
      <c r="C136" s="2">
        <v>218816</v>
      </c>
      <c r="D136" s="2" t="s">
        <v>3</v>
      </c>
      <c r="E136" s="2">
        <v>175650</v>
      </c>
      <c r="F136" s="2" t="s">
        <v>3</v>
      </c>
      <c r="G136" s="2" t="s">
        <v>3</v>
      </c>
      <c r="H136" s="2">
        <v>43166</v>
      </c>
      <c r="I136" s="2">
        <v>7196</v>
      </c>
    </row>
    <row r="137" spans="1:9" hidden="1" x14ac:dyDescent="0.3">
      <c r="A137" t="s">
        <v>4</v>
      </c>
      <c r="B137" s="1">
        <v>43952</v>
      </c>
      <c r="C137" s="2">
        <v>212098</v>
      </c>
      <c r="D137" s="2" t="s">
        <v>3</v>
      </c>
      <c r="E137" s="2">
        <v>176128</v>
      </c>
      <c r="F137" s="2" t="s">
        <v>3</v>
      </c>
      <c r="G137" s="2" t="s">
        <v>3</v>
      </c>
      <c r="H137" s="2">
        <v>35970</v>
      </c>
      <c r="I137" s="2">
        <v>996</v>
      </c>
    </row>
    <row r="138" spans="1:9" hidden="1" x14ac:dyDescent="0.3">
      <c r="A138" t="s">
        <v>4</v>
      </c>
      <c r="B138" s="1">
        <v>43922</v>
      </c>
      <c r="C138" s="2">
        <v>210177</v>
      </c>
      <c r="D138" s="2" t="s">
        <v>3</v>
      </c>
      <c r="E138" s="2">
        <v>175203</v>
      </c>
      <c r="F138" s="2" t="s">
        <v>3</v>
      </c>
      <c r="G138" s="2" t="s">
        <v>3</v>
      </c>
      <c r="H138" s="2">
        <v>34974</v>
      </c>
      <c r="I138" s="2">
        <v>9246</v>
      </c>
    </row>
    <row r="139" spans="1:9" hidden="1" x14ac:dyDescent="0.3">
      <c r="A139" t="s">
        <v>4</v>
      </c>
      <c r="B139" s="1">
        <v>43891</v>
      </c>
      <c r="C139" s="2">
        <v>206100</v>
      </c>
      <c r="D139" s="2" t="s">
        <v>3</v>
      </c>
      <c r="E139" s="2">
        <v>180372</v>
      </c>
      <c r="F139" s="2" t="s">
        <v>3</v>
      </c>
      <c r="G139" s="2" t="s">
        <v>3</v>
      </c>
      <c r="H139" s="2">
        <v>25728</v>
      </c>
      <c r="I139" s="2">
        <v>2030</v>
      </c>
    </row>
    <row r="140" spans="1:9" hidden="1" x14ac:dyDescent="0.3">
      <c r="A140" t="s">
        <v>4</v>
      </c>
      <c r="B140" s="1">
        <v>43862</v>
      </c>
      <c r="C140" s="2">
        <v>218029</v>
      </c>
      <c r="D140" s="2" t="s">
        <v>3</v>
      </c>
      <c r="E140" s="2">
        <v>194332</v>
      </c>
      <c r="F140" s="2" t="s">
        <v>3</v>
      </c>
      <c r="G140" s="2" t="s">
        <v>3</v>
      </c>
      <c r="H140" s="2">
        <v>23697</v>
      </c>
      <c r="I140" s="2">
        <v>1747</v>
      </c>
    </row>
    <row r="141" spans="1:9" hidden="1" x14ac:dyDescent="0.3">
      <c r="A141" t="s">
        <v>4</v>
      </c>
      <c r="B141" s="1">
        <v>43831</v>
      </c>
      <c r="C141" s="2">
        <v>206537</v>
      </c>
      <c r="D141" s="2" t="s">
        <v>3</v>
      </c>
      <c r="E141" s="2">
        <v>184587</v>
      </c>
      <c r="F141" s="2" t="s">
        <v>3</v>
      </c>
      <c r="G141" s="2" t="s">
        <v>3</v>
      </c>
      <c r="H141" s="2">
        <v>21950</v>
      </c>
      <c r="I141" s="2">
        <v>733</v>
      </c>
    </row>
    <row r="142" spans="1:9" x14ac:dyDescent="0.3">
      <c r="A142" t="s">
        <v>5</v>
      </c>
      <c r="B142" s="1">
        <v>45931</v>
      </c>
      <c r="C142" s="2">
        <v>902</v>
      </c>
      <c r="D142" s="2">
        <v>293</v>
      </c>
      <c r="E142" s="2">
        <v>475</v>
      </c>
      <c r="F142" s="2">
        <v>265</v>
      </c>
      <c r="G142" s="2">
        <v>0</v>
      </c>
      <c r="H142" s="2">
        <v>427</v>
      </c>
      <c r="I142" s="2">
        <v>29</v>
      </c>
    </row>
    <row r="143" spans="1:9" x14ac:dyDescent="0.3">
      <c r="A143" t="s">
        <v>5</v>
      </c>
      <c r="B143" s="1">
        <v>45901</v>
      </c>
      <c r="C143" s="2">
        <v>823</v>
      </c>
      <c r="D143" s="2">
        <v>-86</v>
      </c>
      <c r="E143" s="2">
        <v>425</v>
      </c>
      <c r="F143" s="2">
        <v>-24</v>
      </c>
      <c r="G143" s="2">
        <v>-16</v>
      </c>
      <c r="H143" s="2">
        <v>398</v>
      </c>
      <c r="I143" s="2">
        <v>-62</v>
      </c>
    </row>
    <row r="144" spans="1:9" x14ac:dyDescent="0.3">
      <c r="A144" t="s">
        <v>5</v>
      </c>
      <c r="B144" s="1">
        <v>45870</v>
      </c>
      <c r="C144" s="2">
        <v>902</v>
      </c>
      <c r="D144" s="2">
        <v>372</v>
      </c>
      <c r="E144" s="2">
        <v>443</v>
      </c>
      <c r="F144" s="2">
        <v>363</v>
      </c>
      <c r="G144" s="2">
        <v>2</v>
      </c>
      <c r="H144" s="2">
        <v>460</v>
      </c>
      <c r="I144" s="2">
        <v>9</v>
      </c>
    </row>
    <row r="145" spans="1:9" x14ac:dyDescent="0.3">
      <c r="A145" t="s">
        <v>5</v>
      </c>
      <c r="B145" s="1">
        <v>45839</v>
      </c>
      <c r="C145" s="2">
        <v>881</v>
      </c>
      <c r="D145" s="2">
        <v>-8</v>
      </c>
      <c r="E145" s="2">
        <v>430</v>
      </c>
      <c r="F145" s="2">
        <v>20</v>
      </c>
      <c r="G145" s="2">
        <v>-1</v>
      </c>
      <c r="H145" s="2">
        <v>451</v>
      </c>
      <c r="I145" s="2">
        <v>-29</v>
      </c>
    </row>
    <row r="146" spans="1:9" x14ac:dyDescent="0.3">
      <c r="A146" t="s">
        <v>5</v>
      </c>
      <c r="B146" s="1">
        <v>45809</v>
      </c>
      <c r="C146" s="2">
        <v>905</v>
      </c>
      <c r="D146" s="2">
        <v>25</v>
      </c>
      <c r="E146" s="2">
        <v>426</v>
      </c>
      <c r="F146" s="2">
        <v>35</v>
      </c>
      <c r="G146" s="2">
        <v>1</v>
      </c>
      <c r="H146" s="2">
        <v>480</v>
      </c>
      <c r="I146" s="2">
        <v>-10</v>
      </c>
    </row>
    <row r="147" spans="1:9" x14ac:dyDescent="0.3">
      <c r="A147" t="s">
        <v>5</v>
      </c>
      <c r="B147" s="1">
        <v>45778</v>
      </c>
      <c r="C147" s="2">
        <v>930</v>
      </c>
      <c r="D147" s="2">
        <v>116</v>
      </c>
      <c r="E147" s="2">
        <v>440</v>
      </c>
      <c r="F147" s="2">
        <v>-6</v>
      </c>
      <c r="G147" s="2">
        <v>4</v>
      </c>
      <c r="H147" s="2">
        <v>490</v>
      </c>
      <c r="I147" s="2">
        <v>122</v>
      </c>
    </row>
    <row r="148" spans="1:9" x14ac:dyDescent="0.3">
      <c r="A148" t="s">
        <v>5</v>
      </c>
      <c r="B148" s="1">
        <v>45748</v>
      </c>
      <c r="C148" s="2">
        <v>796</v>
      </c>
      <c r="D148" s="2">
        <v>-97</v>
      </c>
      <c r="E148" s="2">
        <v>429</v>
      </c>
      <c r="F148" s="2">
        <v>-27</v>
      </c>
      <c r="G148" s="2">
        <v>0</v>
      </c>
      <c r="H148" s="2">
        <v>367</v>
      </c>
      <c r="I148" s="2">
        <v>-70</v>
      </c>
    </row>
    <row r="149" spans="1:9" x14ac:dyDescent="0.3">
      <c r="A149" t="s">
        <v>5</v>
      </c>
      <c r="B149" s="1">
        <v>45717</v>
      </c>
      <c r="C149" s="2">
        <v>860</v>
      </c>
      <c r="D149" s="2">
        <v>104</v>
      </c>
      <c r="E149" s="2">
        <v>422</v>
      </c>
      <c r="F149" s="2">
        <v>-9</v>
      </c>
      <c r="G149" s="2">
        <v>2</v>
      </c>
      <c r="H149" s="2">
        <v>438</v>
      </c>
      <c r="I149" s="2">
        <v>113</v>
      </c>
    </row>
    <row r="150" spans="1:9" x14ac:dyDescent="0.3">
      <c r="A150" t="s">
        <v>5</v>
      </c>
      <c r="B150" s="1">
        <v>45689</v>
      </c>
      <c r="C150" s="2">
        <v>748</v>
      </c>
      <c r="D150" s="2">
        <v>-10</v>
      </c>
      <c r="E150" s="2">
        <v>423</v>
      </c>
      <c r="F150" s="2">
        <v>-1</v>
      </c>
      <c r="G150" s="2">
        <v>3</v>
      </c>
      <c r="H150" s="2">
        <v>324</v>
      </c>
      <c r="I150" s="2">
        <v>-9</v>
      </c>
    </row>
    <row r="151" spans="1:9" x14ac:dyDescent="0.3">
      <c r="A151" t="s">
        <v>5</v>
      </c>
      <c r="B151" s="1">
        <v>45658</v>
      </c>
      <c r="C151" s="2">
        <v>762</v>
      </c>
      <c r="D151" s="2">
        <v>-72</v>
      </c>
      <c r="E151" s="2">
        <v>429</v>
      </c>
      <c r="F151" s="2">
        <v>-36</v>
      </c>
      <c r="G151" s="2">
        <v>1</v>
      </c>
      <c r="H151" s="2">
        <v>333</v>
      </c>
      <c r="I151" s="2">
        <v>-35</v>
      </c>
    </row>
    <row r="152" spans="1:9" x14ac:dyDescent="0.3">
      <c r="A152" t="s">
        <v>5</v>
      </c>
      <c r="B152" s="1">
        <v>45627</v>
      </c>
      <c r="C152" s="2">
        <v>828</v>
      </c>
      <c r="D152" s="2">
        <v>22</v>
      </c>
      <c r="E152" s="2">
        <v>459</v>
      </c>
      <c r="F152" s="2">
        <v>11</v>
      </c>
      <c r="G152" s="2">
        <v>-12</v>
      </c>
      <c r="H152" s="2">
        <v>369</v>
      </c>
      <c r="I152" s="2">
        <v>12</v>
      </c>
    </row>
    <row r="153" spans="1:9" x14ac:dyDescent="0.3">
      <c r="A153" t="s">
        <v>5</v>
      </c>
      <c r="B153" s="1">
        <v>45597</v>
      </c>
      <c r="C153" s="2">
        <v>816</v>
      </c>
      <c r="D153" s="2">
        <v>-27</v>
      </c>
      <c r="E153" s="2">
        <v>459</v>
      </c>
      <c r="F153" s="2">
        <v>27</v>
      </c>
      <c r="G153" s="2">
        <v>1</v>
      </c>
      <c r="H153" s="2">
        <v>357</v>
      </c>
      <c r="I153" s="2">
        <v>-54</v>
      </c>
    </row>
    <row r="154" spans="1:9" x14ac:dyDescent="0.3">
      <c r="A154" t="s">
        <v>5</v>
      </c>
      <c r="B154" s="1">
        <v>45566</v>
      </c>
      <c r="C154" s="2">
        <v>841</v>
      </c>
      <c r="D154" s="2">
        <v>-94</v>
      </c>
      <c r="E154" s="2">
        <v>430</v>
      </c>
      <c r="F154" s="2">
        <v>15</v>
      </c>
      <c r="G154" s="2">
        <v>-5</v>
      </c>
      <c r="H154" s="2">
        <v>411</v>
      </c>
      <c r="I154" s="2">
        <v>-109</v>
      </c>
    </row>
    <row r="155" spans="1:9" x14ac:dyDescent="0.3">
      <c r="A155" t="s">
        <v>5</v>
      </c>
      <c r="B155" s="1">
        <v>45536</v>
      </c>
      <c r="C155" s="2">
        <v>943</v>
      </c>
      <c r="D155" s="2">
        <v>100</v>
      </c>
      <c r="E155" s="2">
        <v>423</v>
      </c>
      <c r="F155" s="2">
        <v>1</v>
      </c>
      <c r="G155" s="2">
        <v>1</v>
      </c>
      <c r="H155" s="2">
        <v>520</v>
      </c>
      <c r="I155" s="2">
        <v>100</v>
      </c>
    </row>
    <row r="156" spans="1:9" x14ac:dyDescent="0.3">
      <c r="A156" t="s">
        <v>5</v>
      </c>
      <c r="B156" s="1">
        <v>45505</v>
      </c>
      <c r="C156" s="2">
        <v>843</v>
      </c>
      <c r="D156" s="2">
        <v>19</v>
      </c>
      <c r="E156" s="2">
        <v>423</v>
      </c>
      <c r="F156" s="2">
        <v>96</v>
      </c>
      <c r="G156" s="2">
        <v>0</v>
      </c>
      <c r="H156" s="2">
        <v>420</v>
      </c>
      <c r="I156" s="2">
        <v>-77</v>
      </c>
    </row>
    <row r="157" spans="1:9" x14ac:dyDescent="0.3">
      <c r="A157" t="s">
        <v>5</v>
      </c>
      <c r="B157" s="1">
        <v>45474</v>
      </c>
      <c r="C157" s="2">
        <v>799</v>
      </c>
      <c r="D157" s="2">
        <v>37</v>
      </c>
      <c r="E157" s="2">
        <v>301</v>
      </c>
      <c r="F157" s="2">
        <v>13</v>
      </c>
      <c r="G157" s="2">
        <v>4</v>
      </c>
      <c r="H157" s="2">
        <v>497</v>
      </c>
      <c r="I157" s="2">
        <v>24</v>
      </c>
    </row>
    <row r="158" spans="1:9" x14ac:dyDescent="0.3">
      <c r="A158" t="s">
        <v>5</v>
      </c>
      <c r="B158" s="1">
        <v>45444</v>
      </c>
      <c r="C158" s="2">
        <v>796</v>
      </c>
      <c r="D158" s="2">
        <v>108</v>
      </c>
      <c r="E158" s="2">
        <v>323</v>
      </c>
      <c r="F158" s="2">
        <v>18</v>
      </c>
      <c r="G158" s="2">
        <v>1</v>
      </c>
      <c r="H158" s="2">
        <v>473</v>
      </c>
      <c r="I158" s="2">
        <v>90</v>
      </c>
    </row>
    <row r="159" spans="1:9" x14ac:dyDescent="0.3">
      <c r="A159" t="s">
        <v>5</v>
      </c>
      <c r="B159" s="1">
        <v>45413</v>
      </c>
      <c r="C159" s="2">
        <v>710</v>
      </c>
      <c r="D159" s="2">
        <v>8</v>
      </c>
      <c r="E159" s="2">
        <v>327</v>
      </c>
      <c r="F159" s="2">
        <v>12</v>
      </c>
      <c r="G159" s="2">
        <v>3</v>
      </c>
      <c r="H159" s="2">
        <v>383</v>
      </c>
      <c r="I159" s="2">
        <v>-4</v>
      </c>
    </row>
    <row r="160" spans="1:9" x14ac:dyDescent="0.3">
      <c r="A160" t="s">
        <v>5</v>
      </c>
      <c r="B160" s="1">
        <v>45383</v>
      </c>
      <c r="C160" s="2">
        <v>708</v>
      </c>
      <c r="D160" s="2">
        <v>74</v>
      </c>
      <c r="E160" s="2">
        <v>321</v>
      </c>
      <c r="F160" s="2">
        <v>27</v>
      </c>
      <c r="G160" s="2">
        <v>-4</v>
      </c>
      <c r="H160" s="2">
        <v>387</v>
      </c>
      <c r="I160" s="2">
        <v>47</v>
      </c>
    </row>
    <row r="161" spans="1:9" x14ac:dyDescent="0.3">
      <c r="A161" t="s">
        <v>5</v>
      </c>
      <c r="B161" s="1">
        <v>45352</v>
      </c>
      <c r="C161" s="2">
        <v>621</v>
      </c>
      <c r="D161" s="2">
        <v>-13</v>
      </c>
      <c r="E161" s="2">
        <v>281</v>
      </c>
      <c r="F161" s="2">
        <v>13</v>
      </c>
      <c r="G161" s="2">
        <v>2</v>
      </c>
      <c r="H161" s="2">
        <v>340</v>
      </c>
      <c r="I161" s="2">
        <v>-26</v>
      </c>
    </row>
    <row r="162" spans="1:9" x14ac:dyDescent="0.3">
      <c r="A162" t="s">
        <v>5</v>
      </c>
      <c r="B162" s="1">
        <v>45323</v>
      </c>
      <c r="C162" s="2">
        <v>630</v>
      </c>
      <c r="D162" s="2">
        <v>146</v>
      </c>
      <c r="E162" s="2">
        <v>263</v>
      </c>
      <c r="F162" s="2">
        <v>14</v>
      </c>
      <c r="G162" s="2">
        <v>-2</v>
      </c>
      <c r="H162" s="2">
        <v>366</v>
      </c>
      <c r="I162" s="2">
        <v>132</v>
      </c>
    </row>
    <row r="163" spans="1:9" x14ac:dyDescent="0.3">
      <c r="A163" t="s">
        <v>5</v>
      </c>
      <c r="B163" s="1">
        <v>45292</v>
      </c>
      <c r="C163" s="2">
        <v>506</v>
      </c>
      <c r="D163" s="2">
        <v>-83</v>
      </c>
      <c r="E163" s="2">
        <v>271</v>
      </c>
      <c r="F163" s="2">
        <v>-27</v>
      </c>
      <c r="G163" s="2">
        <v>0</v>
      </c>
      <c r="H163" s="2">
        <v>234</v>
      </c>
      <c r="I163" s="2">
        <v>-56</v>
      </c>
    </row>
    <row r="164" spans="1:9" x14ac:dyDescent="0.3">
      <c r="A164" t="s">
        <v>5</v>
      </c>
      <c r="B164" s="1">
        <v>45261</v>
      </c>
      <c r="C164" s="2">
        <v>549</v>
      </c>
      <c r="D164" s="2">
        <v>72</v>
      </c>
      <c r="E164" s="2">
        <v>259</v>
      </c>
      <c r="F164" s="2">
        <v>28</v>
      </c>
      <c r="G164" s="2">
        <v>7</v>
      </c>
      <c r="H164" s="2">
        <v>290</v>
      </c>
      <c r="I164" s="2">
        <v>44</v>
      </c>
    </row>
    <row r="165" spans="1:9" x14ac:dyDescent="0.3">
      <c r="A165" t="s">
        <v>5</v>
      </c>
      <c r="B165" s="1">
        <v>45231</v>
      </c>
      <c r="C165" s="2">
        <v>420</v>
      </c>
      <c r="D165" s="2">
        <v>29</v>
      </c>
      <c r="E165" s="2">
        <v>173</v>
      </c>
      <c r="F165" s="2">
        <v>0</v>
      </c>
      <c r="G165" s="2">
        <v>3</v>
      </c>
      <c r="H165" s="2">
        <v>246</v>
      </c>
      <c r="I165" s="2">
        <v>29</v>
      </c>
    </row>
    <row r="166" spans="1:9" x14ac:dyDescent="0.3">
      <c r="A166" t="s">
        <v>5</v>
      </c>
      <c r="B166" s="1">
        <v>45200</v>
      </c>
      <c r="C166" s="2">
        <v>383</v>
      </c>
      <c r="D166" s="2">
        <v>11</v>
      </c>
      <c r="E166" s="2">
        <v>166</v>
      </c>
      <c r="F166" s="2">
        <v>8</v>
      </c>
      <c r="G166" s="2">
        <v>0</v>
      </c>
      <c r="H166" s="2">
        <v>217</v>
      </c>
      <c r="I166" s="2">
        <v>3</v>
      </c>
    </row>
    <row r="167" spans="1:9" x14ac:dyDescent="0.3">
      <c r="A167" t="s">
        <v>5</v>
      </c>
      <c r="B167" s="1">
        <v>45170</v>
      </c>
      <c r="C167" s="2">
        <v>390</v>
      </c>
      <c r="D167" s="2">
        <v>-3</v>
      </c>
      <c r="E167" s="2">
        <v>177</v>
      </c>
      <c r="F167" s="2">
        <v>12</v>
      </c>
      <c r="G167" s="2">
        <v>1</v>
      </c>
      <c r="H167" s="2">
        <v>214</v>
      </c>
      <c r="I167" s="2">
        <v>-15</v>
      </c>
    </row>
    <row r="168" spans="1:9" x14ac:dyDescent="0.3">
      <c r="A168" t="s">
        <v>5</v>
      </c>
      <c r="B168" s="1">
        <v>45139</v>
      </c>
      <c r="C168" s="2">
        <v>395</v>
      </c>
      <c r="D168" s="2">
        <v>13</v>
      </c>
      <c r="E168" s="2">
        <v>166</v>
      </c>
      <c r="F168" s="2">
        <v>14</v>
      </c>
      <c r="G168" s="2">
        <v>0</v>
      </c>
      <c r="H168" s="2">
        <v>228</v>
      </c>
      <c r="I168" s="2">
        <v>-1</v>
      </c>
    </row>
    <row r="169" spans="1:9" x14ac:dyDescent="0.3">
      <c r="A169" t="s">
        <v>5</v>
      </c>
      <c r="B169" s="1">
        <v>45108</v>
      </c>
      <c r="C169" s="2">
        <v>389</v>
      </c>
      <c r="D169" s="2">
        <v>4</v>
      </c>
      <c r="E169" s="2">
        <v>159</v>
      </c>
      <c r="F169" s="2">
        <v>15</v>
      </c>
      <c r="G169" s="2">
        <v>8</v>
      </c>
      <c r="H169" s="2">
        <v>230</v>
      </c>
      <c r="I169" s="2">
        <v>-11</v>
      </c>
    </row>
    <row r="170" spans="1:9" x14ac:dyDescent="0.3">
      <c r="A170" t="s">
        <v>5</v>
      </c>
      <c r="B170" s="1">
        <v>45078</v>
      </c>
      <c r="C170" s="2">
        <v>394</v>
      </c>
      <c r="D170" s="2">
        <v>36</v>
      </c>
      <c r="E170" s="2">
        <v>154</v>
      </c>
      <c r="F170" s="2">
        <v>4</v>
      </c>
      <c r="G170" s="2">
        <v>-1</v>
      </c>
      <c r="H170" s="2">
        <v>241</v>
      </c>
      <c r="I170" s="2">
        <v>32</v>
      </c>
    </row>
    <row r="171" spans="1:9" x14ac:dyDescent="0.3">
      <c r="A171" t="s">
        <v>5</v>
      </c>
      <c r="B171" s="1">
        <v>45047</v>
      </c>
      <c r="C171" s="2">
        <v>360</v>
      </c>
      <c r="D171" s="2">
        <v>17</v>
      </c>
      <c r="E171" s="2">
        <v>151</v>
      </c>
      <c r="F171" s="2">
        <v>27</v>
      </c>
      <c r="G171" s="2">
        <v>3</v>
      </c>
      <c r="H171" s="2">
        <v>209</v>
      </c>
      <c r="I171" s="2">
        <v>-10</v>
      </c>
    </row>
    <row r="172" spans="1:9" x14ac:dyDescent="0.3">
      <c r="A172" t="s">
        <v>5</v>
      </c>
      <c r="B172" s="1">
        <v>45017</v>
      </c>
      <c r="C172" s="2">
        <v>362</v>
      </c>
      <c r="D172" s="2">
        <v>3</v>
      </c>
      <c r="E172" s="2">
        <v>143</v>
      </c>
      <c r="F172" s="2">
        <v>2</v>
      </c>
      <c r="G172" s="2">
        <v>-1</v>
      </c>
      <c r="H172" s="2">
        <v>219</v>
      </c>
      <c r="I172" s="2">
        <v>2</v>
      </c>
    </row>
    <row r="173" spans="1:9" x14ac:dyDescent="0.3">
      <c r="A173" t="s">
        <v>5</v>
      </c>
      <c r="B173" s="1">
        <v>44986</v>
      </c>
      <c r="C173" s="2">
        <v>345</v>
      </c>
      <c r="D173" s="2">
        <v>15</v>
      </c>
      <c r="E173" s="2">
        <v>127</v>
      </c>
      <c r="F173" s="2">
        <v>-2</v>
      </c>
      <c r="G173" s="2">
        <v>2</v>
      </c>
      <c r="H173" s="2">
        <v>218</v>
      </c>
      <c r="I173" s="2">
        <v>17</v>
      </c>
    </row>
    <row r="174" spans="1:9" x14ac:dyDescent="0.3">
      <c r="A174" t="s">
        <v>5</v>
      </c>
      <c r="B174" s="1">
        <v>44958</v>
      </c>
      <c r="C174" s="2">
        <v>328</v>
      </c>
      <c r="D174" s="2">
        <v>5</v>
      </c>
      <c r="E174" s="2">
        <v>127</v>
      </c>
      <c r="F174" s="2">
        <v>4</v>
      </c>
      <c r="G174" s="2">
        <v>0</v>
      </c>
      <c r="H174" s="2">
        <v>201</v>
      </c>
      <c r="I174" s="2">
        <v>1</v>
      </c>
    </row>
    <row r="175" spans="1:9" hidden="1" x14ac:dyDescent="0.3">
      <c r="A175" t="s">
        <v>5</v>
      </c>
      <c r="B175" s="1">
        <v>44927</v>
      </c>
      <c r="C175" s="2">
        <v>323</v>
      </c>
      <c r="D175" s="2" t="s">
        <v>3</v>
      </c>
      <c r="E175" s="2">
        <v>123</v>
      </c>
      <c r="F175" s="2" t="s">
        <v>3</v>
      </c>
      <c r="G175" s="2" t="s">
        <v>3</v>
      </c>
      <c r="H175" s="2">
        <v>200</v>
      </c>
      <c r="I175" s="2">
        <v>6</v>
      </c>
    </row>
    <row r="176" spans="1:9" hidden="1" x14ac:dyDescent="0.3">
      <c r="A176" t="s">
        <v>5</v>
      </c>
      <c r="B176" s="1">
        <v>44896</v>
      </c>
      <c r="C176" s="2">
        <v>317</v>
      </c>
      <c r="D176" s="2" t="s">
        <v>3</v>
      </c>
      <c r="E176" s="2">
        <v>124</v>
      </c>
      <c r="F176" s="2" t="s">
        <v>3</v>
      </c>
      <c r="G176" s="2" t="s">
        <v>3</v>
      </c>
      <c r="H176" s="2">
        <v>193</v>
      </c>
      <c r="I176" s="2">
        <v>-3</v>
      </c>
    </row>
    <row r="177" spans="1:9" hidden="1" x14ac:dyDescent="0.3">
      <c r="A177" t="s">
        <v>5</v>
      </c>
      <c r="B177" s="1">
        <v>44866</v>
      </c>
      <c r="C177" s="2">
        <v>310</v>
      </c>
      <c r="D177" s="2" t="s">
        <v>3</v>
      </c>
      <c r="E177" s="2">
        <v>114</v>
      </c>
      <c r="F177" s="2" t="s">
        <v>3</v>
      </c>
      <c r="G177" s="2" t="s">
        <v>3</v>
      </c>
      <c r="H177" s="2">
        <v>196</v>
      </c>
      <c r="I177" s="2">
        <v>3</v>
      </c>
    </row>
    <row r="178" spans="1:9" hidden="1" x14ac:dyDescent="0.3">
      <c r="A178" t="s">
        <v>5</v>
      </c>
      <c r="B178" s="1">
        <v>44835</v>
      </c>
      <c r="C178" s="2">
        <v>307</v>
      </c>
      <c r="D178" s="2" t="s">
        <v>3</v>
      </c>
      <c r="E178" s="2">
        <v>114</v>
      </c>
      <c r="F178" s="2" t="s">
        <v>3</v>
      </c>
      <c r="G178" s="2" t="s">
        <v>3</v>
      </c>
      <c r="H178" s="2">
        <v>193</v>
      </c>
      <c r="I178" s="2">
        <v>-3</v>
      </c>
    </row>
    <row r="179" spans="1:9" hidden="1" x14ac:dyDescent="0.3">
      <c r="A179" t="s">
        <v>5</v>
      </c>
      <c r="B179" s="1">
        <v>44805</v>
      </c>
      <c r="C179" s="2">
        <v>313</v>
      </c>
      <c r="D179" s="2" t="s">
        <v>3</v>
      </c>
      <c r="E179" s="2">
        <v>117</v>
      </c>
      <c r="F179" s="2" t="s">
        <v>3</v>
      </c>
      <c r="G179" s="2" t="s">
        <v>3</v>
      </c>
      <c r="H179" s="2">
        <v>196</v>
      </c>
      <c r="I179" s="2">
        <v>7</v>
      </c>
    </row>
    <row r="180" spans="1:9" hidden="1" x14ac:dyDescent="0.3">
      <c r="A180" t="s">
        <v>5</v>
      </c>
      <c r="B180" s="1">
        <v>44774</v>
      </c>
      <c r="C180" s="2">
        <v>319</v>
      </c>
      <c r="D180" s="2" t="s">
        <v>3</v>
      </c>
      <c r="E180" s="2">
        <v>130</v>
      </c>
      <c r="F180" s="2" t="s">
        <v>3</v>
      </c>
      <c r="G180" s="2" t="s">
        <v>3</v>
      </c>
      <c r="H180" s="2">
        <v>189</v>
      </c>
      <c r="I180" s="2">
        <v>20</v>
      </c>
    </row>
    <row r="181" spans="1:9" hidden="1" x14ac:dyDescent="0.3">
      <c r="A181" t="s">
        <v>5</v>
      </c>
      <c r="B181" s="1">
        <v>44743</v>
      </c>
      <c r="C181" s="2">
        <v>295</v>
      </c>
      <c r="D181" s="2" t="s">
        <v>3</v>
      </c>
      <c r="E181" s="2">
        <v>127</v>
      </c>
      <c r="F181" s="2" t="s">
        <v>3</v>
      </c>
      <c r="G181" s="2" t="s">
        <v>3</v>
      </c>
      <c r="H181" s="2">
        <v>168</v>
      </c>
      <c r="I181" s="2">
        <v>9</v>
      </c>
    </row>
    <row r="182" spans="1:9" hidden="1" x14ac:dyDescent="0.3">
      <c r="A182" t="s">
        <v>5</v>
      </c>
      <c r="B182" s="1">
        <v>44713</v>
      </c>
      <c r="C182" s="2">
        <v>293</v>
      </c>
      <c r="D182" s="2" t="s">
        <v>3</v>
      </c>
      <c r="E182" s="2">
        <v>134</v>
      </c>
      <c r="F182" s="2" t="s">
        <v>3</v>
      </c>
      <c r="G182" s="2" t="s">
        <v>3</v>
      </c>
      <c r="H182" s="2">
        <v>159</v>
      </c>
      <c r="I182" s="2">
        <v>4</v>
      </c>
    </row>
    <row r="183" spans="1:9" hidden="1" x14ac:dyDescent="0.3">
      <c r="A183" t="s">
        <v>5</v>
      </c>
      <c r="B183" s="1">
        <v>44682</v>
      </c>
      <c r="C183" s="2">
        <v>287</v>
      </c>
      <c r="D183" s="2" t="s">
        <v>3</v>
      </c>
      <c r="E183" s="2">
        <v>132</v>
      </c>
      <c r="F183" s="2" t="s">
        <v>3</v>
      </c>
      <c r="G183" s="2" t="s">
        <v>3</v>
      </c>
      <c r="H183" s="2">
        <v>155</v>
      </c>
      <c r="I183" s="2">
        <v>-11</v>
      </c>
    </row>
    <row r="184" spans="1:9" hidden="1" x14ac:dyDescent="0.3">
      <c r="A184" t="s">
        <v>5</v>
      </c>
      <c r="B184" s="1">
        <v>44652</v>
      </c>
      <c r="C184" s="2">
        <v>286</v>
      </c>
      <c r="D184" s="2" t="s">
        <v>3</v>
      </c>
      <c r="E184" s="2">
        <v>120</v>
      </c>
      <c r="F184" s="2" t="s">
        <v>3</v>
      </c>
      <c r="G184" s="2" t="s">
        <v>3</v>
      </c>
      <c r="H184" s="2">
        <v>166</v>
      </c>
      <c r="I184" s="2">
        <v>51</v>
      </c>
    </row>
    <row r="185" spans="1:9" hidden="1" x14ac:dyDescent="0.3">
      <c r="A185" t="s">
        <v>5</v>
      </c>
      <c r="B185" s="1">
        <v>44621</v>
      </c>
      <c r="C185" s="2">
        <v>238</v>
      </c>
      <c r="D185" s="2" t="s">
        <v>3</v>
      </c>
      <c r="E185" s="2">
        <v>123</v>
      </c>
      <c r="F185" s="2" t="s">
        <v>3</v>
      </c>
      <c r="G185" s="2" t="s">
        <v>3</v>
      </c>
      <c r="H185" s="2">
        <v>115</v>
      </c>
      <c r="I185" s="2">
        <v>58</v>
      </c>
    </row>
    <row r="186" spans="1:9" hidden="1" x14ac:dyDescent="0.3">
      <c r="A186" t="s">
        <v>5</v>
      </c>
      <c r="B186" s="1">
        <v>44593</v>
      </c>
      <c r="C186" s="2">
        <v>174</v>
      </c>
      <c r="D186" s="2" t="s">
        <v>3</v>
      </c>
      <c r="E186" s="2">
        <v>117</v>
      </c>
      <c r="F186" s="2" t="s">
        <v>3</v>
      </c>
      <c r="G186" s="2" t="s">
        <v>3</v>
      </c>
      <c r="H186" s="2">
        <v>58</v>
      </c>
      <c r="I186" s="2">
        <v>-15</v>
      </c>
    </row>
    <row r="187" spans="1:9" hidden="1" x14ac:dyDescent="0.3">
      <c r="A187" t="s">
        <v>5</v>
      </c>
      <c r="B187" s="1">
        <v>44562</v>
      </c>
      <c r="C187" s="2">
        <v>172</v>
      </c>
      <c r="D187" s="2" t="s">
        <v>3</v>
      </c>
      <c r="E187" s="2">
        <v>99</v>
      </c>
      <c r="F187" s="2" t="s">
        <v>3</v>
      </c>
      <c r="G187" s="2" t="s">
        <v>3</v>
      </c>
      <c r="H187" s="2">
        <v>72</v>
      </c>
      <c r="I187" s="2">
        <v>6</v>
      </c>
    </row>
    <row r="188" spans="1:9" hidden="1" x14ac:dyDescent="0.3">
      <c r="A188" t="s">
        <v>5</v>
      </c>
      <c r="B188" s="1">
        <v>44531</v>
      </c>
      <c r="C188" s="2">
        <v>162</v>
      </c>
      <c r="D188" s="2" t="s">
        <v>3</v>
      </c>
      <c r="E188" s="2">
        <v>96</v>
      </c>
      <c r="F188" s="2" t="s">
        <v>3</v>
      </c>
      <c r="G188" s="2" t="s">
        <v>3</v>
      </c>
      <c r="H188" s="2">
        <v>66</v>
      </c>
      <c r="I188" s="2">
        <v>6</v>
      </c>
    </row>
    <row r="189" spans="1:9" hidden="1" x14ac:dyDescent="0.3">
      <c r="A189" t="s">
        <v>5</v>
      </c>
      <c r="B189" s="1">
        <v>44501</v>
      </c>
      <c r="C189" s="2">
        <v>161</v>
      </c>
      <c r="D189" s="2" t="s">
        <v>3</v>
      </c>
      <c r="E189" s="2">
        <v>100</v>
      </c>
      <c r="F189" s="2" t="s">
        <v>3</v>
      </c>
      <c r="G189" s="2" t="s">
        <v>3</v>
      </c>
      <c r="H189" s="2">
        <v>60</v>
      </c>
      <c r="I189" s="2">
        <v>-15</v>
      </c>
    </row>
    <row r="190" spans="1:9" hidden="1" x14ac:dyDescent="0.3">
      <c r="A190" t="s">
        <v>5</v>
      </c>
      <c r="B190" s="1">
        <v>44470</v>
      </c>
      <c r="C190" s="2">
        <v>183</v>
      </c>
      <c r="D190" s="2" t="s">
        <v>3</v>
      </c>
      <c r="E190" s="2">
        <v>108</v>
      </c>
      <c r="F190" s="2" t="s">
        <v>3</v>
      </c>
      <c r="G190" s="2" t="s">
        <v>3</v>
      </c>
      <c r="H190" s="2">
        <v>75</v>
      </c>
      <c r="I190" s="2">
        <v>-3</v>
      </c>
    </row>
    <row r="191" spans="1:9" hidden="1" x14ac:dyDescent="0.3">
      <c r="A191" t="s">
        <v>5</v>
      </c>
      <c r="B191" s="1">
        <v>44440</v>
      </c>
      <c r="C191" s="2">
        <v>189</v>
      </c>
      <c r="D191" s="2" t="s">
        <v>3</v>
      </c>
      <c r="E191" s="2">
        <v>111</v>
      </c>
      <c r="F191" s="2" t="s">
        <v>3</v>
      </c>
      <c r="G191" s="2" t="s">
        <v>3</v>
      </c>
      <c r="H191" s="2">
        <v>78</v>
      </c>
      <c r="I191" s="2">
        <v>5</v>
      </c>
    </row>
    <row r="192" spans="1:9" hidden="1" x14ac:dyDescent="0.3">
      <c r="A192" t="s">
        <v>5</v>
      </c>
      <c r="B192" s="1">
        <v>44409</v>
      </c>
      <c r="C192" s="2">
        <v>186</v>
      </c>
      <c r="D192" s="2" t="s">
        <v>3</v>
      </c>
      <c r="E192" s="2">
        <v>113</v>
      </c>
      <c r="F192" s="2" t="s">
        <v>3</v>
      </c>
      <c r="G192" s="2" t="s">
        <v>3</v>
      </c>
      <c r="H192" s="2">
        <v>73</v>
      </c>
      <c r="I192" s="2">
        <v>18</v>
      </c>
    </row>
    <row r="193" spans="1:9" hidden="1" x14ac:dyDescent="0.3">
      <c r="A193" t="s">
        <v>5</v>
      </c>
      <c r="B193" s="1">
        <v>44378</v>
      </c>
      <c r="C193" s="2">
        <v>174</v>
      </c>
      <c r="D193" s="2" t="s">
        <v>3</v>
      </c>
      <c r="E193" s="2">
        <v>119</v>
      </c>
      <c r="F193" s="2" t="s">
        <v>3</v>
      </c>
      <c r="G193" s="2" t="s">
        <v>3</v>
      </c>
      <c r="H193" s="2">
        <v>55</v>
      </c>
      <c r="I193" s="2">
        <v>-17</v>
      </c>
    </row>
    <row r="194" spans="1:9" hidden="1" x14ac:dyDescent="0.3">
      <c r="A194" t="s">
        <v>5</v>
      </c>
      <c r="B194" s="1">
        <v>44348</v>
      </c>
      <c r="C194" s="2">
        <v>207</v>
      </c>
      <c r="D194" s="2" t="s">
        <v>3</v>
      </c>
      <c r="E194" s="2">
        <v>135</v>
      </c>
      <c r="F194" s="2" t="s">
        <v>3</v>
      </c>
      <c r="G194" s="2" t="s">
        <v>3</v>
      </c>
      <c r="H194" s="2">
        <v>72</v>
      </c>
      <c r="I194" s="2">
        <v>10</v>
      </c>
    </row>
    <row r="195" spans="1:9" hidden="1" x14ac:dyDescent="0.3">
      <c r="A195" t="s">
        <v>5</v>
      </c>
      <c r="B195" s="1">
        <v>44317</v>
      </c>
      <c r="C195" s="2">
        <v>198</v>
      </c>
      <c r="D195" s="2" t="s">
        <v>3</v>
      </c>
      <c r="E195" s="2">
        <v>136</v>
      </c>
      <c r="F195" s="2" t="s">
        <v>3</v>
      </c>
      <c r="G195" s="2" t="s">
        <v>3</v>
      </c>
      <c r="H195" s="2">
        <v>62</v>
      </c>
      <c r="I195" s="2">
        <v>-9</v>
      </c>
    </row>
    <row r="196" spans="1:9" hidden="1" x14ac:dyDescent="0.3">
      <c r="A196" t="s">
        <v>5</v>
      </c>
      <c r="B196" s="1">
        <v>44287</v>
      </c>
      <c r="C196" s="2">
        <v>205</v>
      </c>
      <c r="D196" s="2" t="s">
        <v>3</v>
      </c>
      <c r="E196" s="2">
        <v>134</v>
      </c>
      <c r="F196" s="2" t="s">
        <v>3</v>
      </c>
      <c r="G196" s="2" t="s">
        <v>3</v>
      </c>
      <c r="H196" s="2">
        <v>70</v>
      </c>
      <c r="I196" s="2">
        <v>-7</v>
      </c>
    </row>
    <row r="197" spans="1:9" hidden="1" x14ac:dyDescent="0.3">
      <c r="A197" t="s">
        <v>5</v>
      </c>
      <c r="B197" s="1">
        <v>44256</v>
      </c>
      <c r="C197" s="2">
        <v>208</v>
      </c>
      <c r="D197" s="2" t="s">
        <v>3</v>
      </c>
      <c r="E197" s="2">
        <v>130</v>
      </c>
      <c r="F197" s="2" t="s">
        <v>3</v>
      </c>
      <c r="G197" s="2" t="s">
        <v>3</v>
      </c>
      <c r="H197" s="2">
        <v>78</v>
      </c>
      <c r="I197" s="2">
        <v>-3</v>
      </c>
    </row>
    <row r="198" spans="1:9" hidden="1" x14ac:dyDescent="0.3">
      <c r="A198" t="s">
        <v>5</v>
      </c>
      <c r="B198" s="1">
        <v>44228</v>
      </c>
      <c r="C198" s="2">
        <v>200</v>
      </c>
      <c r="D198" s="2" t="s">
        <v>3</v>
      </c>
      <c r="E198" s="2">
        <v>120</v>
      </c>
      <c r="F198" s="2" t="s">
        <v>3</v>
      </c>
      <c r="G198" s="2" t="s">
        <v>3</v>
      </c>
      <c r="H198" s="2">
        <v>81</v>
      </c>
      <c r="I198" s="2">
        <v>1</v>
      </c>
    </row>
    <row r="199" spans="1:9" hidden="1" x14ac:dyDescent="0.3">
      <c r="A199" t="s">
        <v>5</v>
      </c>
      <c r="B199" s="1">
        <v>44197</v>
      </c>
      <c r="C199" s="2">
        <v>191</v>
      </c>
      <c r="D199" s="2" t="s">
        <v>3</v>
      </c>
      <c r="E199" s="2">
        <v>112</v>
      </c>
      <c r="F199" s="2" t="s">
        <v>3</v>
      </c>
      <c r="G199" s="2" t="s">
        <v>3</v>
      </c>
      <c r="H199" s="2">
        <v>79</v>
      </c>
      <c r="I199" s="2">
        <v>11</v>
      </c>
    </row>
    <row r="200" spans="1:9" hidden="1" x14ac:dyDescent="0.3">
      <c r="A200" t="s">
        <v>5</v>
      </c>
      <c r="B200" s="1">
        <v>44166</v>
      </c>
      <c r="C200" s="2">
        <v>152</v>
      </c>
      <c r="D200" s="2" t="s">
        <v>3</v>
      </c>
      <c r="E200" s="2">
        <v>84</v>
      </c>
      <c r="F200" s="2" t="s">
        <v>3</v>
      </c>
      <c r="G200" s="2" t="s">
        <v>3</v>
      </c>
      <c r="H200" s="2">
        <v>68</v>
      </c>
      <c r="I200" s="2">
        <v>2</v>
      </c>
    </row>
    <row r="201" spans="1:9" hidden="1" x14ac:dyDescent="0.3">
      <c r="A201" t="s">
        <v>5</v>
      </c>
      <c r="B201" s="1">
        <v>44136</v>
      </c>
      <c r="C201" s="2">
        <v>155</v>
      </c>
      <c r="D201" s="2" t="s">
        <v>3</v>
      </c>
      <c r="E201" s="2">
        <v>89</v>
      </c>
      <c r="F201" s="2" t="s">
        <v>3</v>
      </c>
      <c r="G201" s="2" t="s">
        <v>3</v>
      </c>
      <c r="H201" s="2">
        <v>66</v>
      </c>
      <c r="I201" s="2">
        <v>0</v>
      </c>
    </row>
    <row r="202" spans="1:9" hidden="1" x14ac:dyDescent="0.3">
      <c r="A202" t="s">
        <v>5</v>
      </c>
      <c r="B202" s="1">
        <v>44105</v>
      </c>
      <c r="C202" s="2">
        <v>172</v>
      </c>
      <c r="D202" s="2" t="s">
        <v>3</v>
      </c>
      <c r="E202" s="2">
        <v>107</v>
      </c>
      <c r="F202" s="2" t="s">
        <v>3</v>
      </c>
      <c r="G202" s="2" t="s">
        <v>3</v>
      </c>
      <c r="H202" s="2">
        <v>66</v>
      </c>
      <c r="I202" s="2">
        <v>8</v>
      </c>
    </row>
    <row r="203" spans="1:9" hidden="1" x14ac:dyDescent="0.3">
      <c r="A203" t="s">
        <v>5</v>
      </c>
      <c r="B203" s="1">
        <v>44075</v>
      </c>
      <c r="C203" s="2">
        <v>165</v>
      </c>
      <c r="D203" s="2" t="s">
        <v>3</v>
      </c>
      <c r="E203" s="2">
        <v>108</v>
      </c>
      <c r="F203" s="2" t="s">
        <v>3</v>
      </c>
      <c r="G203" s="2" t="s">
        <v>3</v>
      </c>
      <c r="H203" s="2">
        <v>58</v>
      </c>
      <c r="I203" s="2">
        <v>-3</v>
      </c>
    </row>
    <row r="204" spans="1:9" hidden="1" x14ac:dyDescent="0.3">
      <c r="A204" t="s">
        <v>5</v>
      </c>
      <c r="B204" s="1">
        <v>44044</v>
      </c>
      <c r="C204" s="2">
        <v>165</v>
      </c>
      <c r="D204" s="2" t="s">
        <v>3</v>
      </c>
      <c r="E204" s="2">
        <v>105</v>
      </c>
      <c r="F204" s="2" t="s">
        <v>3</v>
      </c>
      <c r="G204" s="2" t="s">
        <v>3</v>
      </c>
      <c r="H204" s="2">
        <v>61</v>
      </c>
      <c r="I204" s="2">
        <v>-5</v>
      </c>
    </row>
    <row r="205" spans="1:9" hidden="1" x14ac:dyDescent="0.3">
      <c r="A205" t="s">
        <v>5</v>
      </c>
      <c r="B205" s="1">
        <v>44013</v>
      </c>
      <c r="C205" s="2">
        <v>166</v>
      </c>
      <c r="D205" s="2" t="s">
        <v>3</v>
      </c>
      <c r="E205" s="2">
        <v>100</v>
      </c>
      <c r="F205" s="2" t="s">
        <v>3</v>
      </c>
      <c r="G205" s="2" t="s">
        <v>3</v>
      </c>
      <c r="H205" s="2">
        <v>66</v>
      </c>
      <c r="I205" s="2">
        <v>5</v>
      </c>
    </row>
    <row r="206" spans="1:9" hidden="1" x14ac:dyDescent="0.3">
      <c r="A206" t="s">
        <v>5</v>
      </c>
      <c r="B206" s="1">
        <v>43983</v>
      </c>
      <c r="C206" s="2">
        <v>155</v>
      </c>
      <c r="D206" s="2" t="s">
        <v>3</v>
      </c>
      <c r="E206" s="2">
        <v>94</v>
      </c>
      <c r="F206" s="2" t="s">
        <v>3</v>
      </c>
      <c r="G206" s="2" t="s">
        <v>3</v>
      </c>
      <c r="H206" s="2">
        <v>61</v>
      </c>
      <c r="I206" s="2">
        <v>5</v>
      </c>
    </row>
    <row r="207" spans="1:9" hidden="1" x14ac:dyDescent="0.3">
      <c r="A207" t="s">
        <v>5</v>
      </c>
      <c r="B207" s="1">
        <v>43952</v>
      </c>
      <c r="C207" s="2">
        <v>170</v>
      </c>
      <c r="D207" s="2" t="s">
        <v>3</v>
      </c>
      <c r="E207" s="2">
        <v>113</v>
      </c>
      <c r="F207" s="2" t="s">
        <v>3</v>
      </c>
      <c r="G207" s="2" t="s">
        <v>3</v>
      </c>
      <c r="H207" s="2">
        <v>57</v>
      </c>
      <c r="I207" s="2">
        <v>-99</v>
      </c>
    </row>
    <row r="208" spans="1:9" hidden="1" x14ac:dyDescent="0.3">
      <c r="A208" t="s">
        <v>5</v>
      </c>
      <c r="B208" s="1">
        <v>43922</v>
      </c>
      <c r="C208" s="2">
        <v>265</v>
      </c>
      <c r="D208" s="2" t="s">
        <v>3</v>
      </c>
      <c r="E208" s="2">
        <v>109</v>
      </c>
      <c r="F208" s="2" t="s">
        <v>3</v>
      </c>
      <c r="G208" s="2" t="s">
        <v>3</v>
      </c>
      <c r="H208" s="2">
        <v>156</v>
      </c>
      <c r="I208" s="2">
        <v>2</v>
      </c>
    </row>
    <row r="209" spans="1:9" hidden="1" x14ac:dyDescent="0.3">
      <c r="A209" t="s">
        <v>5</v>
      </c>
      <c r="B209" s="1">
        <v>43891</v>
      </c>
      <c r="C209" s="2">
        <v>261</v>
      </c>
      <c r="D209" s="2" t="s">
        <v>3</v>
      </c>
      <c r="E209" s="2">
        <v>107</v>
      </c>
      <c r="F209" s="2" t="s">
        <v>3</v>
      </c>
      <c r="G209" s="2" t="s">
        <v>3</v>
      </c>
      <c r="H209" s="2">
        <v>154</v>
      </c>
      <c r="I209" s="2">
        <v>61</v>
      </c>
    </row>
    <row r="210" spans="1:9" hidden="1" x14ac:dyDescent="0.3">
      <c r="A210" t="s">
        <v>5</v>
      </c>
      <c r="B210" s="1">
        <v>43862</v>
      </c>
      <c r="C210" s="2">
        <v>219</v>
      </c>
      <c r="D210" s="2" t="s">
        <v>3</v>
      </c>
      <c r="E210" s="2">
        <v>126</v>
      </c>
      <c r="F210" s="2" t="s">
        <v>3</v>
      </c>
      <c r="G210" s="2" t="s">
        <v>3</v>
      </c>
      <c r="H210" s="2">
        <v>93</v>
      </c>
      <c r="I210" s="2">
        <v>4</v>
      </c>
    </row>
    <row r="211" spans="1:9" hidden="1" x14ac:dyDescent="0.3">
      <c r="A211" t="s">
        <v>5</v>
      </c>
      <c r="B211" s="1">
        <v>43831</v>
      </c>
      <c r="C211" s="2">
        <v>209</v>
      </c>
      <c r="D211" s="2" t="s">
        <v>3</v>
      </c>
      <c r="E211" s="2">
        <v>120</v>
      </c>
      <c r="F211" s="2" t="s">
        <v>3</v>
      </c>
      <c r="G211" s="2" t="s">
        <v>3</v>
      </c>
      <c r="H211" s="2">
        <v>89</v>
      </c>
      <c r="I211" s="2">
        <v>19</v>
      </c>
    </row>
    <row r="212" spans="1:9" x14ac:dyDescent="0.3">
      <c r="A212" t="s">
        <v>6</v>
      </c>
      <c r="B212" s="1">
        <v>45931</v>
      </c>
      <c r="C212" s="2">
        <v>9190</v>
      </c>
      <c r="D212" s="2">
        <v>-433</v>
      </c>
      <c r="E212" s="2">
        <v>7827</v>
      </c>
      <c r="F212" s="2">
        <v>-361</v>
      </c>
      <c r="G212" s="2">
        <v>57</v>
      </c>
      <c r="H212" s="2">
        <v>1363</v>
      </c>
      <c r="I212" s="2">
        <v>-72</v>
      </c>
    </row>
    <row r="213" spans="1:9" x14ac:dyDescent="0.3">
      <c r="A213" t="s">
        <v>6</v>
      </c>
      <c r="B213" s="1">
        <v>45901</v>
      </c>
      <c r="C213" s="2">
        <v>9979</v>
      </c>
      <c r="D213" s="2">
        <v>437</v>
      </c>
      <c r="E213" s="2">
        <v>8544</v>
      </c>
      <c r="F213" s="2">
        <v>346</v>
      </c>
      <c r="G213" s="2">
        <v>26</v>
      </c>
      <c r="H213" s="2">
        <v>1435</v>
      </c>
      <c r="I213" s="2">
        <v>91</v>
      </c>
    </row>
    <row r="214" spans="1:9" x14ac:dyDescent="0.3">
      <c r="A214" t="s">
        <v>6</v>
      </c>
      <c r="B214" s="1">
        <v>45870</v>
      </c>
      <c r="C214" s="2">
        <v>9893</v>
      </c>
      <c r="D214" s="2">
        <v>-518</v>
      </c>
      <c r="E214" s="2">
        <v>8549</v>
      </c>
      <c r="F214" s="2">
        <v>-378</v>
      </c>
      <c r="G214" s="2">
        <v>71</v>
      </c>
      <c r="H214" s="2">
        <v>1344</v>
      </c>
      <c r="I214" s="2">
        <v>-140</v>
      </c>
    </row>
    <row r="215" spans="1:9" x14ac:dyDescent="0.3">
      <c r="A215" t="s">
        <v>6</v>
      </c>
      <c r="B215" s="1">
        <v>45839</v>
      </c>
      <c r="C215" s="2">
        <v>10332</v>
      </c>
      <c r="D215" s="2">
        <v>-488</v>
      </c>
      <c r="E215" s="2">
        <v>8848</v>
      </c>
      <c r="F215" s="2">
        <v>210</v>
      </c>
      <c r="G215" s="2">
        <v>-37</v>
      </c>
      <c r="H215" s="2">
        <v>1484</v>
      </c>
      <c r="I215" s="2">
        <v>-698</v>
      </c>
    </row>
    <row r="216" spans="1:9" x14ac:dyDescent="0.3">
      <c r="A216" t="s">
        <v>6</v>
      </c>
      <c r="B216" s="1">
        <v>45809</v>
      </c>
      <c r="C216" s="2">
        <v>11036</v>
      </c>
      <c r="D216" s="2">
        <v>-673</v>
      </c>
      <c r="E216" s="2">
        <v>8854</v>
      </c>
      <c r="F216" s="2">
        <v>-758</v>
      </c>
      <c r="G216" s="2">
        <v>84</v>
      </c>
      <c r="H216" s="2">
        <v>2182</v>
      </c>
      <c r="I216" s="2">
        <v>85</v>
      </c>
    </row>
    <row r="217" spans="1:9" x14ac:dyDescent="0.3">
      <c r="A217" t="s">
        <v>6</v>
      </c>
      <c r="B217" s="1">
        <v>45778</v>
      </c>
      <c r="C217" s="2">
        <v>11706</v>
      </c>
      <c r="D217" s="2">
        <v>-1541</v>
      </c>
      <c r="E217" s="2">
        <v>9609</v>
      </c>
      <c r="F217" s="2">
        <v>-1083</v>
      </c>
      <c r="G217" s="2">
        <v>-51</v>
      </c>
      <c r="H217" s="2">
        <v>2097</v>
      </c>
      <c r="I217" s="2">
        <v>-458</v>
      </c>
    </row>
    <row r="218" spans="1:9" x14ac:dyDescent="0.3">
      <c r="A218" t="s">
        <v>6</v>
      </c>
      <c r="B218" s="1">
        <v>45748</v>
      </c>
      <c r="C218" s="2">
        <v>13325</v>
      </c>
      <c r="D218" s="2">
        <v>-444</v>
      </c>
      <c r="E218" s="2">
        <v>10770</v>
      </c>
      <c r="F218" s="2">
        <v>-283</v>
      </c>
      <c r="G218" s="2">
        <v>54</v>
      </c>
      <c r="H218" s="2">
        <v>2555</v>
      </c>
      <c r="I218" s="2">
        <v>-161</v>
      </c>
    </row>
    <row r="219" spans="1:9" x14ac:dyDescent="0.3">
      <c r="A219" t="s">
        <v>6</v>
      </c>
      <c r="B219" s="1">
        <v>45717</v>
      </c>
      <c r="C219" s="2">
        <v>13622</v>
      </c>
      <c r="D219" s="2">
        <v>1702</v>
      </c>
      <c r="E219" s="2">
        <v>10906</v>
      </c>
      <c r="F219" s="2">
        <v>310</v>
      </c>
      <c r="G219" s="2">
        <v>67</v>
      </c>
      <c r="H219" s="2">
        <v>2716</v>
      </c>
      <c r="I219" s="2">
        <v>1392</v>
      </c>
    </row>
    <row r="220" spans="1:9" x14ac:dyDescent="0.3">
      <c r="A220" t="s">
        <v>6</v>
      </c>
      <c r="B220" s="1">
        <v>45689</v>
      </c>
      <c r="C220" s="2">
        <v>11710</v>
      </c>
      <c r="D220" s="2">
        <v>-969</v>
      </c>
      <c r="E220" s="2">
        <v>10386</v>
      </c>
      <c r="F220" s="2">
        <v>465</v>
      </c>
      <c r="G220" s="2">
        <v>110</v>
      </c>
      <c r="H220" s="2">
        <v>1324</v>
      </c>
      <c r="I220" s="2">
        <v>-1434</v>
      </c>
    </row>
    <row r="221" spans="1:9" x14ac:dyDescent="0.3">
      <c r="A221" t="s">
        <v>6</v>
      </c>
      <c r="B221" s="1">
        <v>45658</v>
      </c>
      <c r="C221" s="2">
        <v>12712</v>
      </c>
      <c r="D221" s="2">
        <v>-687</v>
      </c>
      <c r="E221" s="2">
        <v>9954</v>
      </c>
      <c r="F221" s="2">
        <v>-530</v>
      </c>
      <c r="G221" s="2">
        <v>-140</v>
      </c>
      <c r="H221" s="2">
        <v>2758</v>
      </c>
      <c r="I221" s="2">
        <v>-157</v>
      </c>
    </row>
    <row r="222" spans="1:9" x14ac:dyDescent="0.3">
      <c r="A222" t="s">
        <v>6</v>
      </c>
      <c r="B222" s="1">
        <v>45627</v>
      </c>
      <c r="C222" s="2">
        <v>13642</v>
      </c>
      <c r="D222" s="2">
        <v>1241</v>
      </c>
      <c r="E222" s="2">
        <v>10727</v>
      </c>
      <c r="F222" s="2">
        <v>390</v>
      </c>
      <c r="G222" s="2">
        <v>-21</v>
      </c>
      <c r="H222" s="2">
        <v>2915</v>
      </c>
      <c r="I222" s="2">
        <v>851</v>
      </c>
    </row>
    <row r="223" spans="1:9" x14ac:dyDescent="0.3">
      <c r="A223" t="s">
        <v>6</v>
      </c>
      <c r="B223" s="1">
        <v>45597</v>
      </c>
      <c r="C223" s="2">
        <v>12547</v>
      </c>
      <c r="D223" s="2">
        <v>124</v>
      </c>
      <c r="E223" s="2">
        <v>10483</v>
      </c>
      <c r="F223" s="2">
        <v>-143</v>
      </c>
      <c r="G223" s="2">
        <v>-334</v>
      </c>
      <c r="H223" s="2">
        <v>2064</v>
      </c>
      <c r="I223" s="2">
        <v>267</v>
      </c>
    </row>
    <row r="224" spans="1:9" x14ac:dyDescent="0.3">
      <c r="A224" t="s">
        <v>6</v>
      </c>
      <c r="B224" s="1">
        <v>45566</v>
      </c>
      <c r="C224" s="2">
        <v>12625</v>
      </c>
      <c r="D224" s="2">
        <v>-115</v>
      </c>
      <c r="E224" s="2">
        <v>10828</v>
      </c>
      <c r="F224" s="2">
        <v>121</v>
      </c>
      <c r="G224" s="2">
        <v>87</v>
      </c>
      <c r="H224" s="2">
        <v>1797</v>
      </c>
      <c r="I224" s="2">
        <v>-236</v>
      </c>
    </row>
    <row r="225" spans="1:9" x14ac:dyDescent="0.3">
      <c r="A225" t="s">
        <v>6</v>
      </c>
      <c r="B225" s="1">
        <v>45536</v>
      </c>
      <c r="C225" s="2">
        <v>12924</v>
      </c>
      <c r="D225" s="2">
        <v>-200</v>
      </c>
      <c r="E225" s="2">
        <v>10891</v>
      </c>
      <c r="F225" s="2">
        <v>398</v>
      </c>
      <c r="G225" s="2">
        <v>-31</v>
      </c>
      <c r="H225" s="2">
        <v>2033</v>
      </c>
      <c r="I225" s="2">
        <v>-598</v>
      </c>
    </row>
    <row r="226" spans="1:9" x14ac:dyDescent="0.3">
      <c r="A226" t="s">
        <v>6</v>
      </c>
      <c r="B226" s="1">
        <v>45505</v>
      </c>
      <c r="C226" s="2">
        <v>13164</v>
      </c>
      <c r="D226" s="2">
        <v>-644</v>
      </c>
      <c r="E226" s="2">
        <v>10533</v>
      </c>
      <c r="F226" s="2">
        <v>97</v>
      </c>
      <c r="G226" s="2">
        <v>-6</v>
      </c>
      <c r="H226" s="2">
        <v>2631</v>
      </c>
      <c r="I226" s="2">
        <v>-741</v>
      </c>
    </row>
    <row r="227" spans="1:9" x14ac:dyDescent="0.3">
      <c r="A227" t="s">
        <v>6</v>
      </c>
      <c r="B227" s="1">
        <v>45474</v>
      </c>
      <c r="C227" s="2">
        <v>13742</v>
      </c>
      <c r="D227" s="2">
        <v>334</v>
      </c>
      <c r="E227" s="2">
        <v>10370</v>
      </c>
      <c r="F227" s="2">
        <v>214</v>
      </c>
      <c r="G227" s="2">
        <v>391</v>
      </c>
      <c r="H227" s="2">
        <v>3372</v>
      </c>
      <c r="I227" s="2">
        <v>120</v>
      </c>
    </row>
    <row r="228" spans="1:9" x14ac:dyDescent="0.3">
      <c r="A228" t="s">
        <v>6</v>
      </c>
      <c r="B228" s="1">
        <v>45444</v>
      </c>
      <c r="C228" s="2">
        <v>12958</v>
      </c>
      <c r="D228" s="2">
        <v>-753</v>
      </c>
      <c r="E228" s="2">
        <v>9706</v>
      </c>
      <c r="F228" s="2">
        <v>-343</v>
      </c>
      <c r="G228" s="2">
        <v>225</v>
      </c>
      <c r="H228" s="2">
        <v>3252</v>
      </c>
      <c r="I228" s="2">
        <v>-410</v>
      </c>
    </row>
    <row r="229" spans="1:9" x14ac:dyDescent="0.3">
      <c r="A229" t="s">
        <v>6</v>
      </c>
      <c r="B229" s="1">
        <v>45413</v>
      </c>
      <c r="C229" s="2">
        <v>13610</v>
      </c>
      <c r="D229" s="2">
        <v>-138</v>
      </c>
      <c r="E229" s="2">
        <v>9948</v>
      </c>
      <c r="F229" s="2">
        <v>-640</v>
      </c>
      <c r="G229" s="2">
        <v>-162</v>
      </c>
      <c r="H229" s="2">
        <v>3662</v>
      </c>
      <c r="I229" s="2">
        <v>502</v>
      </c>
    </row>
    <row r="230" spans="1:9" x14ac:dyDescent="0.3">
      <c r="A230" t="s">
        <v>6</v>
      </c>
      <c r="B230" s="1">
        <v>45383</v>
      </c>
      <c r="C230" s="2">
        <v>14043</v>
      </c>
      <c r="D230" s="2">
        <v>343</v>
      </c>
      <c r="E230" s="2">
        <v>10883</v>
      </c>
      <c r="F230" s="2">
        <v>-448</v>
      </c>
      <c r="G230" s="2">
        <v>-132</v>
      </c>
      <c r="H230" s="2">
        <v>3160</v>
      </c>
      <c r="I230" s="2">
        <v>791</v>
      </c>
    </row>
    <row r="231" spans="1:9" x14ac:dyDescent="0.3">
      <c r="A231" t="s">
        <v>6</v>
      </c>
      <c r="B231" s="1">
        <v>45352</v>
      </c>
      <c r="C231" s="2">
        <v>13862</v>
      </c>
      <c r="D231" s="2">
        <v>1983</v>
      </c>
      <c r="E231" s="2">
        <v>11493</v>
      </c>
      <c r="F231" s="2">
        <v>1182</v>
      </c>
      <c r="G231" s="2">
        <v>-78</v>
      </c>
      <c r="H231" s="2">
        <v>2369</v>
      </c>
      <c r="I231" s="2">
        <v>801</v>
      </c>
    </row>
    <row r="232" spans="1:9" x14ac:dyDescent="0.3">
      <c r="A232" t="s">
        <v>6</v>
      </c>
      <c r="B232" s="1">
        <v>45323</v>
      </c>
      <c r="C232" s="2">
        <v>12044</v>
      </c>
      <c r="D232" s="2">
        <v>611</v>
      </c>
      <c r="E232" s="2">
        <v>10476</v>
      </c>
      <c r="F232" s="2">
        <v>65</v>
      </c>
      <c r="G232" s="2">
        <v>-201</v>
      </c>
      <c r="H232" s="2">
        <v>1568</v>
      </c>
      <c r="I232" s="2">
        <v>546</v>
      </c>
    </row>
    <row r="233" spans="1:9" x14ac:dyDescent="0.3">
      <c r="A233" t="s">
        <v>6</v>
      </c>
      <c r="B233" s="1">
        <v>45292</v>
      </c>
      <c r="C233" s="2">
        <v>11712</v>
      </c>
      <c r="D233" s="2">
        <v>-851</v>
      </c>
      <c r="E233" s="2">
        <v>10690</v>
      </c>
      <c r="F233" s="2">
        <v>-541</v>
      </c>
      <c r="G233" s="2">
        <v>-374</v>
      </c>
      <c r="H233" s="2">
        <v>1022</v>
      </c>
      <c r="I233" s="2">
        <v>-310</v>
      </c>
    </row>
    <row r="234" spans="1:9" x14ac:dyDescent="0.3">
      <c r="A234" t="s">
        <v>6</v>
      </c>
      <c r="B234" s="1">
        <v>45261</v>
      </c>
      <c r="C234" s="2">
        <v>13048</v>
      </c>
      <c r="D234" s="2">
        <v>908</v>
      </c>
      <c r="E234" s="2">
        <v>11716</v>
      </c>
      <c r="F234" s="2">
        <v>563</v>
      </c>
      <c r="G234" s="2">
        <v>277</v>
      </c>
      <c r="H234" s="2">
        <v>1332</v>
      </c>
      <c r="I234" s="2">
        <v>345</v>
      </c>
    </row>
    <row r="235" spans="1:9" x14ac:dyDescent="0.3">
      <c r="A235" t="s">
        <v>6</v>
      </c>
      <c r="B235" s="1">
        <v>45231</v>
      </c>
      <c r="C235" s="2">
        <v>12231</v>
      </c>
      <c r="D235" s="2">
        <v>-270</v>
      </c>
      <c r="E235" s="2">
        <v>11244</v>
      </c>
      <c r="F235" s="2">
        <v>-307</v>
      </c>
      <c r="G235" s="2">
        <v>460</v>
      </c>
      <c r="H235" s="2">
        <v>987</v>
      </c>
      <c r="I235" s="2">
        <v>37</v>
      </c>
    </row>
    <row r="236" spans="1:9" x14ac:dyDescent="0.3">
      <c r="A236" t="s">
        <v>6</v>
      </c>
      <c r="B236" s="1">
        <v>45200</v>
      </c>
      <c r="C236" s="2">
        <v>12170</v>
      </c>
      <c r="D236" s="2">
        <v>625</v>
      </c>
      <c r="E236" s="2">
        <v>11220</v>
      </c>
      <c r="F236" s="2">
        <v>819</v>
      </c>
      <c r="G236" s="2">
        <v>-433</v>
      </c>
      <c r="H236" s="2">
        <v>950</v>
      </c>
      <c r="I236" s="2">
        <v>-194</v>
      </c>
    </row>
    <row r="237" spans="1:9" x14ac:dyDescent="0.3">
      <c r="A237" t="s">
        <v>6</v>
      </c>
      <c r="B237" s="1">
        <v>45170</v>
      </c>
      <c r="C237" s="2">
        <v>12472</v>
      </c>
      <c r="D237" s="2">
        <v>-974</v>
      </c>
      <c r="E237" s="2">
        <v>11328</v>
      </c>
      <c r="F237" s="2">
        <v>-249</v>
      </c>
      <c r="G237" s="2">
        <v>-227</v>
      </c>
      <c r="H237" s="2">
        <v>1144</v>
      </c>
      <c r="I237" s="2">
        <v>-725</v>
      </c>
    </row>
    <row r="238" spans="1:9" x14ac:dyDescent="0.3">
      <c r="A238" t="s">
        <v>6</v>
      </c>
      <c r="B238" s="1">
        <v>45139</v>
      </c>
      <c r="C238" s="2">
        <v>13828</v>
      </c>
      <c r="D238" s="2">
        <v>-451</v>
      </c>
      <c r="E238" s="2">
        <v>11959</v>
      </c>
      <c r="F238" s="2">
        <v>8</v>
      </c>
      <c r="G238" s="2">
        <v>-20</v>
      </c>
      <c r="H238" s="2">
        <v>1869</v>
      </c>
      <c r="I238" s="2">
        <v>-459</v>
      </c>
    </row>
    <row r="239" spans="1:9" x14ac:dyDescent="0.3">
      <c r="A239" t="s">
        <v>6</v>
      </c>
      <c r="B239" s="1">
        <v>45108</v>
      </c>
      <c r="C239" s="2">
        <v>14167</v>
      </c>
      <c r="D239" s="2">
        <v>-220</v>
      </c>
      <c r="E239" s="2">
        <v>11839</v>
      </c>
      <c r="F239" s="2">
        <v>-115</v>
      </c>
      <c r="G239" s="2">
        <v>234</v>
      </c>
      <c r="H239" s="2">
        <v>2328</v>
      </c>
      <c r="I239" s="2">
        <v>-105</v>
      </c>
    </row>
    <row r="240" spans="1:9" x14ac:dyDescent="0.3">
      <c r="A240" t="s">
        <v>6</v>
      </c>
      <c r="B240" s="1">
        <v>45078</v>
      </c>
      <c r="C240" s="2">
        <v>14011</v>
      </c>
      <c r="D240" s="2">
        <v>264</v>
      </c>
      <c r="E240" s="2">
        <v>11578</v>
      </c>
      <c r="F240" s="2">
        <v>143</v>
      </c>
      <c r="G240" s="2">
        <v>-176</v>
      </c>
      <c r="H240" s="2">
        <v>2433</v>
      </c>
      <c r="I240" s="2">
        <v>121</v>
      </c>
    </row>
    <row r="241" spans="1:9" x14ac:dyDescent="0.3">
      <c r="A241" t="s">
        <v>6</v>
      </c>
      <c r="B241" s="1">
        <v>45047</v>
      </c>
      <c r="C241" s="2">
        <v>14017</v>
      </c>
      <c r="D241" s="2">
        <v>-215</v>
      </c>
      <c r="E241" s="2">
        <v>11705</v>
      </c>
      <c r="F241" s="2">
        <v>51</v>
      </c>
      <c r="G241" s="2">
        <v>-104</v>
      </c>
      <c r="H241" s="2">
        <v>2312</v>
      </c>
      <c r="I241" s="2">
        <v>-266</v>
      </c>
    </row>
    <row r="242" spans="1:9" x14ac:dyDescent="0.3">
      <c r="A242" t="s">
        <v>6</v>
      </c>
      <c r="B242" s="1">
        <v>45017</v>
      </c>
      <c r="C242" s="2">
        <v>14684</v>
      </c>
      <c r="D242" s="2">
        <v>350</v>
      </c>
      <c r="E242" s="2">
        <v>12106</v>
      </c>
      <c r="F242" s="2">
        <v>463</v>
      </c>
      <c r="G242" s="2">
        <v>-68</v>
      </c>
      <c r="H242" s="2">
        <v>2578</v>
      </c>
      <c r="I242" s="2">
        <v>-113</v>
      </c>
    </row>
    <row r="243" spans="1:9" x14ac:dyDescent="0.3">
      <c r="A243" t="s">
        <v>6</v>
      </c>
      <c r="B243" s="1">
        <v>44986</v>
      </c>
      <c r="C243" s="2">
        <v>14226</v>
      </c>
      <c r="D243" s="2">
        <v>1363</v>
      </c>
      <c r="E243" s="2">
        <v>11535</v>
      </c>
      <c r="F243" s="2">
        <v>69</v>
      </c>
      <c r="G243" s="2">
        <v>116</v>
      </c>
      <c r="H243" s="2">
        <v>2691</v>
      </c>
      <c r="I243" s="2">
        <v>1294</v>
      </c>
    </row>
    <row r="244" spans="1:9" x14ac:dyDescent="0.3">
      <c r="A244" t="s">
        <v>6</v>
      </c>
      <c r="B244" s="1">
        <v>44958</v>
      </c>
      <c r="C244" s="2">
        <v>12668</v>
      </c>
      <c r="D244" s="2">
        <v>-272</v>
      </c>
      <c r="E244" s="2">
        <v>11271</v>
      </c>
      <c r="F244" s="2">
        <v>-265</v>
      </c>
      <c r="G244" s="2">
        <v>191</v>
      </c>
      <c r="H244" s="2">
        <v>1397</v>
      </c>
      <c r="I244" s="2">
        <v>-7</v>
      </c>
    </row>
    <row r="245" spans="1:9" hidden="1" x14ac:dyDescent="0.3">
      <c r="A245" t="s">
        <v>6</v>
      </c>
      <c r="B245" s="1">
        <v>44927</v>
      </c>
      <c r="C245" s="2">
        <v>13059</v>
      </c>
      <c r="D245" s="2" t="s">
        <v>3</v>
      </c>
      <c r="E245" s="2">
        <v>11655</v>
      </c>
      <c r="F245" s="2" t="s">
        <v>3</v>
      </c>
      <c r="G245" s="2" t="s">
        <v>3</v>
      </c>
      <c r="H245" s="2">
        <v>1404</v>
      </c>
      <c r="I245" s="2">
        <v>-31</v>
      </c>
    </row>
    <row r="246" spans="1:9" hidden="1" x14ac:dyDescent="0.3">
      <c r="A246" t="s">
        <v>6</v>
      </c>
      <c r="B246" s="1">
        <v>44896</v>
      </c>
      <c r="C246" s="2">
        <v>12336</v>
      </c>
      <c r="D246" s="2" t="s">
        <v>3</v>
      </c>
      <c r="E246" s="2">
        <v>10901</v>
      </c>
      <c r="F246" s="2" t="s">
        <v>3</v>
      </c>
      <c r="G246" s="2" t="s">
        <v>3</v>
      </c>
      <c r="H246" s="2">
        <v>1435</v>
      </c>
      <c r="I246" s="2">
        <v>-126</v>
      </c>
    </row>
    <row r="247" spans="1:9" hidden="1" x14ac:dyDescent="0.3">
      <c r="A247" t="s">
        <v>6</v>
      </c>
      <c r="B247" s="1">
        <v>44866</v>
      </c>
      <c r="C247" s="2">
        <v>12507</v>
      </c>
      <c r="D247" s="2" t="s">
        <v>3</v>
      </c>
      <c r="E247" s="2">
        <v>10946</v>
      </c>
      <c r="F247" s="2" t="s">
        <v>3</v>
      </c>
      <c r="G247" s="2" t="s">
        <v>3</v>
      </c>
      <c r="H247" s="2">
        <v>1561</v>
      </c>
      <c r="I247" s="2">
        <v>465</v>
      </c>
    </row>
    <row r="248" spans="1:9" hidden="1" x14ac:dyDescent="0.3">
      <c r="A248" t="s">
        <v>6</v>
      </c>
      <c r="B248" s="1">
        <v>44835</v>
      </c>
      <c r="C248" s="2">
        <v>11362</v>
      </c>
      <c r="D248" s="2" t="s">
        <v>3</v>
      </c>
      <c r="E248" s="2">
        <v>10266</v>
      </c>
      <c r="F248" s="2" t="s">
        <v>3</v>
      </c>
      <c r="G248" s="2" t="s">
        <v>3</v>
      </c>
      <c r="H248" s="2">
        <v>1096</v>
      </c>
      <c r="I248" s="2">
        <v>-30</v>
      </c>
    </row>
    <row r="249" spans="1:9" hidden="1" x14ac:dyDescent="0.3">
      <c r="A249" t="s">
        <v>6</v>
      </c>
      <c r="B249" s="1">
        <v>44805</v>
      </c>
      <c r="C249" s="2">
        <v>14078</v>
      </c>
      <c r="D249" s="2" t="s">
        <v>3</v>
      </c>
      <c r="E249" s="2">
        <v>12952</v>
      </c>
      <c r="F249" s="2" t="s">
        <v>3</v>
      </c>
      <c r="G249" s="2" t="s">
        <v>3</v>
      </c>
      <c r="H249" s="2">
        <v>1126</v>
      </c>
      <c r="I249" s="2">
        <v>251</v>
      </c>
    </row>
    <row r="250" spans="1:9" hidden="1" x14ac:dyDescent="0.3">
      <c r="A250" t="s">
        <v>6</v>
      </c>
      <c r="B250" s="1">
        <v>44774</v>
      </c>
      <c r="C250" s="2">
        <v>14047</v>
      </c>
      <c r="D250" s="2" t="s">
        <v>3</v>
      </c>
      <c r="E250" s="2">
        <v>13172</v>
      </c>
      <c r="F250" s="2" t="s">
        <v>3</v>
      </c>
      <c r="G250" s="2" t="s">
        <v>3</v>
      </c>
      <c r="H250" s="2">
        <v>875</v>
      </c>
      <c r="I250" s="2">
        <v>94</v>
      </c>
    </row>
    <row r="251" spans="1:9" hidden="1" x14ac:dyDescent="0.3">
      <c r="A251" t="s">
        <v>6</v>
      </c>
      <c r="B251" s="1">
        <v>44743</v>
      </c>
      <c r="C251" s="2">
        <v>14855</v>
      </c>
      <c r="D251" s="2" t="s">
        <v>3</v>
      </c>
      <c r="E251" s="2">
        <v>14074</v>
      </c>
      <c r="F251" s="2" t="s">
        <v>3</v>
      </c>
      <c r="G251" s="2" t="s">
        <v>3</v>
      </c>
      <c r="H251" s="2">
        <v>781</v>
      </c>
      <c r="I251" s="2">
        <v>20</v>
      </c>
    </row>
    <row r="252" spans="1:9" hidden="1" x14ac:dyDescent="0.3">
      <c r="A252" t="s">
        <v>6</v>
      </c>
      <c r="B252" s="1">
        <v>44713</v>
      </c>
      <c r="C252" s="2">
        <v>14725</v>
      </c>
      <c r="D252" s="2" t="s">
        <v>3</v>
      </c>
      <c r="E252" s="2">
        <v>13964</v>
      </c>
      <c r="F252" s="2" t="s">
        <v>3</v>
      </c>
      <c r="G252" s="2" t="s">
        <v>3</v>
      </c>
      <c r="H252" s="2">
        <v>761</v>
      </c>
      <c r="I252" s="2">
        <v>-83</v>
      </c>
    </row>
    <row r="253" spans="1:9" hidden="1" x14ac:dyDescent="0.3">
      <c r="A253" t="s">
        <v>6</v>
      </c>
      <c r="B253" s="1">
        <v>44682</v>
      </c>
      <c r="C253" s="2">
        <v>14469</v>
      </c>
      <c r="D253" s="2" t="s">
        <v>3</v>
      </c>
      <c r="E253" s="2">
        <v>13625</v>
      </c>
      <c r="F253" s="2" t="s">
        <v>3</v>
      </c>
      <c r="G253" s="2" t="s">
        <v>3</v>
      </c>
      <c r="H253" s="2">
        <v>844</v>
      </c>
      <c r="I253" s="2">
        <v>95</v>
      </c>
    </row>
    <row r="254" spans="1:9" hidden="1" x14ac:dyDescent="0.3">
      <c r="A254" t="s">
        <v>6</v>
      </c>
      <c r="B254" s="1">
        <v>44652</v>
      </c>
      <c r="C254" s="2">
        <v>15737</v>
      </c>
      <c r="D254" s="2" t="s">
        <v>3</v>
      </c>
      <c r="E254" s="2">
        <v>14988</v>
      </c>
      <c r="F254" s="2" t="s">
        <v>3</v>
      </c>
      <c r="G254" s="2" t="s">
        <v>3</v>
      </c>
      <c r="H254" s="2">
        <v>749</v>
      </c>
      <c r="I254" s="2">
        <v>-225</v>
      </c>
    </row>
    <row r="255" spans="1:9" hidden="1" x14ac:dyDescent="0.3">
      <c r="A255" t="s">
        <v>6</v>
      </c>
      <c r="B255" s="1">
        <v>44621</v>
      </c>
      <c r="C255" s="2">
        <v>14515</v>
      </c>
      <c r="D255" s="2" t="s">
        <v>3</v>
      </c>
      <c r="E255" s="2">
        <v>13541</v>
      </c>
      <c r="F255" s="2" t="s">
        <v>3</v>
      </c>
      <c r="G255" s="2" t="s">
        <v>3</v>
      </c>
      <c r="H255" s="2">
        <v>974</v>
      </c>
      <c r="I255" s="2">
        <v>217</v>
      </c>
    </row>
    <row r="256" spans="1:9" hidden="1" x14ac:dyDescent="0.3">
      <c r="A256" t="s">
        <v>6</v>
      </c>
      <c r="B256" s="1">
        <v>44593</v>
      </c>
      <c r="C256" s="2">
        <v>14589</v>
      </c>
      <c r="D256" s="2" t="s">
        <v>3</v>
      </c>
      <c r="E256" s="2">
        <v>13832</v>
      </c>
      <c r="F256" s="2" t="s">
        <v>3</v>
      </c>
      <c r="G256" s="2" t="s">
        <v>3</v>
      </c>
      <c r="H256" s="2">
        <v>757</v>
      </c>
      <c r="I256" s="2">
        <v>15</v>
      </c>
    </row>
    <row r="257" spans="1:9" hidden="1" x14ac:dyDescent="0.3">
      <c r="A257" t="s">
        <v>6</v>
      </c>
      <c r="B257" s="1">
        <v>44562</v>
      </c>
      <c r="C257" s="2">
        <v>15050</v>
      </c>
      <c r="D257" s="2" t="s">
        <v>3</v>
      </c>
      <c r="E257" s="2">
        <v>14308</v>
      </c>
      <c r="F257" s="2" t="s">
        <v>3</v>
      </c>
      <c r="G257" s="2" t="s">
        <v>3</v>
      </c>
      <c r="H257" s="2">
        <v>742</v>
      </c>
      <c r="I257" s="2">
        <v>109</v>
      </c>
    </row>
    <row r="258" spans="1:9" hidden="1" x14ac:dyDescent="0.3">
      <c r="A258" t="s">
        <v>6</v>
      </c>
      <c r="B258" s="1">
        <v>44531</v>
      </c>
      <c r="C258" s="2">
        <v>14797</v>
      </c>
      <c r="D258" s="2" t="s">
        <v>3</v>
      </c>
      <c r="E258" s="2">
        <v>14164</v>
      </c>
      <c r="F258" s="2" t="s">
        <v>3</v>
      </c>
      <c r="G258" s="2" t="s">
        <v>3</v>
      </c>
      <c r="H258" s="2">
        <v>633</v>
      </c>
      <c r="I258" s="2">
        <v>164</v>
      </c>
    </row>
    <row r="259" spans="1:9" hidden="1" x14ac:dyDescent="0.3">
      <c r="A259" t="s">
        <v>6</v>
      </c>
      <c r="B259" s="1">
        <v>44501</v>
      </c>
      <c r="C259" s="2">
        <v>14951</v>
      </c>
      <c r="D259" s="2" t="s">
        <v>3</v>
      </c>
      <c r="E259" s="2">
        <v>14482</v>
      </c>
      <c r="F259" s="2" t="s">
        <v>3</v>
      </c>
      <c r="G259" s="2" t="s">
        <v>3</v>
      </c>
      <c r="H259" s="2">
        <v>469</v>
      </c>
      <c r="I259" s="2">
        <v>-102</v>
      </c>
    </row>
    <row r="260" spans="1:9" hidden="1" x14ac:dyDescent="0.3">
      <c r="A260" t="s">
        <v>6</v>
      </c>
      <c r="B260" s="1">
        <v>44470</v>
      </c>
      <c r="C260" s="2">
        <v>15203</v>
      </c>
      <c r="D260" s="2" t="s">
        <v>3</v>
      </c>
      <c r="E260" s="2">
        <v>14632</v>
      </c>
      <c r="F260" s="2" t="s">
        <v>3</v>
      </c>
      <c r="G260" s="2" t="s">
        <v>3</v>
      </c>
      <c r="H260" s="2">
        <v>571</v>
      </c>
      <c r="I260" s="2">
        <v>95</v>
      </c>
    </row>
    <row r="261" spans="1:9" hidden="1" x14ac:dyDescent="0.3">
      <c r="A261" t="s">
        <v>6</v>
      </c>
      <c r="B261" s="1">
        <v>44440</v>
      </c>
      <c r="C261" s="2">
        <v>15326</v>
      </c>
      <c r="D261" s="2" t="s">
        <v>3</v>
      </c>
      <c r="E261" s="2">
        <v>14850</v>
      </c>
      <c r="F261" s="2" t="s">
        <v>3</v>
      </c>
      <c r="G261" s="2" t="s">
        <v>3</v>
      </c>
      <c r="H261" s="2">
        <v>476</v>
      </c>
      <c r="I261" s="2">
        <v>-152</v>
      </c>
    </row>
    <row r="262" spans="1:9" hidden="1" x14ac:dyDescent="0.3">
      <c r="A262" t="s">
        <v>6</v>
      </c>
      <c r="B262" s="1">
        <v>44409</v>
      </c>
      <c r="C262" s="2">
        <v>15575</v>
      </c>
      <c r="D262" s="2" t="s">
        <v>3</v>
      </c>
      <c r="E262" s="2">
        <v>14947</v>
      </c>
      <c r="F262" s="2" t="s">
        <v>3</v>
      </c>
      <c r="G262" s="2" t="s">
        <v>3</v>
      </c>
      <c r="H262" s="2">
        <v>628</v>
      </c>
      <c r="I262" s="2">
        <v>70</v>
      </c>
    </row>
    <row r="263" spans="1:9" hidden="1" x14ac:dyDescent="0.3">
      <c r="A263" t="s">
        <v>6</v>
      </c>
      <c r="B263" s="1">
        <v>44378</v>
      </c>
      <c r="C263" s="2">
        <v>17319</v>
      </c>
      <c r="D263" s="2" t="s">
        <v>3</v>
      </c>
      <c r="E263" s="2">
        <v>16761</v>
      </c>
      <c r="F263" s="2" t="s">
        <v>3</v>
      </c>
      <c r="G263" s="2" t="s">
        <v>3</v>
      </c>
      <c r="H263" s="2">
        <v>558</v>
      </c>
      <c r="I263" s="2">
        <v>-91</v>
      </c>
    </row>
    <row r="264" spans="1:9" hidden="1" x14ac:dyDescent="0.3">
      <c r="A264" t="s">
        <v>6</v>
      </c>
      <c r="B264" s="1">
        <v>44348</v>
      </c>
      <c r="C264" s="2">
        <v>17546</v>
      </c>
      <c r="D264" s="2" t="s">
        <v>3</v>
      </c>
      <c r="E264" s="2">
        <v>16897</v>
      </c>
      <c r="F264" s="2" t="s">
        <v>3</v>
      </c>
      <c r="G264" s="2" t="s">
        <v>3</v>
      </c>
      <c r="H264" s="2">
        <v>649</v>
      </c>
      <c r="I264" s="2">
        <v>105</v>
      </c>
    </row>
    <row r="265" spans="1:9" hidden="1" x14ac:dyDescent="0.3">
      <c r="A265" t="s">
        <v>6</v>
      </c>
      <c r="B265" s="1">
        <v>44317</v>
      </c>
      <c r="C265" s="2">
        <v>17395</v>
      </c>
      <c r="D265" s="2" t="s">
        <v>3</v>
      </c>
      <c r="E265" s="2">
        <v>16851</v>
      </c>
      <c r="F265" s="2" t="s">
        <v>3</v>
      </c>
      <c r="G265" s="2" t="s">
        <v>3</v>
      </c>
      <c r="H265" s="2">
        <v>544</v>
      </c>
      <c r="I265" s="2">
        <v>-181</v>
      </c>
    </row>
    <row r="266" spans="1:9" hidden="1" x14ac:dyDescent="0.3">
      <c r="A266" t="s">
        <v>6</v>
      </c>
      <c r="B266" s="1">
        <v>44287</v>
      </c>
      <c r="C266" s="2">
        <v>16615</v>
      </c>
      <c r="D266" s="2" t="s">
        <v>3</v>
      </c>
      <c r="E266" s="2">
        <v>15890</v>
      </c>
      <c r="F266" s="2" t="s">
        <v>3</v>
      </c>
      <c r="G266" s="2" t="s">
        <v>3</v>
      </c>
      <c r="H266" s="2">
        <v>725</v>
      </c>
      <c r="I266" s="2">
        <v>-455</v>
      </c>
    </row>
    <row r="267" spans="1:9" hidden="1" x14ac:dyDescent="0.3">
      <c r="A267" t="s">
        <v>6</v>
      </c>
      <c r="B267" s="1">
        <v>44256</v>
      </c>
      <c r="C267" s="2">
        <v>16915</v>
      </c>
      <c r="D267" s="2" t="s">
        <v>3</v>
      </c>
      <c r="E267" s="2">
        <v>15735</v>
      </c>
      <c r="F267" s="2" t="s">
        <v>3</v>
      </c>
      <c r="G267" s="2" t="s">
        <v>3</v>
      </c>
      <c r="H267" s="2">
        <v>1180</v>
      </c>
      <c r="I267" s="2">
        <v>82</v>
      </c>
    </row>
    <row r="268" spans="1:9" hidden="1" x14ac:dyDescent="0.3">
      <c r="A268" t="s">
        <v>6</v>
      </c>
      <c r="B268" s="1">
        <v>44228</v>
      </c>
      <c r="C268" s="2">
        <v>17864</v>
      </c>
      <c r="D268" s="2" t="s">
        <v>3</v>
      </c>
      <c r="E268" s="2">
        <v>16766</v>
      </c>
      <c r="F268" s="2" t="s">
        <v>3</v>
      </c>
      <c r="G268" s="2" t="s">
        <v>3</v>
      </c>
      <c r="H268" s="2">
        <v>1098</v>
      </c>
      <c r="I268" s="2">
        <v>-77</v>
      </c>
    </row>
    <row r="269" spans="1:9" hidden="1" x14ac:dyDescent="0.3">
      <c r="A269" t="s">
        <v>6</v>
      </c>
      <c r="B269" s="1">
        <v>44197</v>
      </c>
      <c r="C269" s="2">
        <v>17884</v>
      </c>
      <c r="D269" s="2" t="s">
        <v>3</v>
      </c>
      <c r="E269" s="2">
        <v>16709</v>
      </c>
      <c r="F269" s="2" t="s">
        <v>3</v>
      </c>
      <c r="G269" s="2" t="s">
        <v>3</v>
      </c>
      <c r="H269" s="2">
        <v>1175</v>
      </c>
      <c r="I269" s="2">
        <v>-22</v>
      </c>
    </row>
    <row r="270" spans="1:9" hidden="1" x14ac:dyDescent="0.3">
      <c r="A270" t="s">
        <v>6</v>
      </c>
      <c r="B270" s="1">
        <v>44166</v>
      </c>
      <c r="C270" s="2">
        <v>16878</v>
      </c>
      <c r="D270" s="2" t="s">
        <v>3</v>
      </c>
      <c r="E270" s="2">
        <v>15681</v>
      </c>
      <c r="F270" s="2" t="s">
        <v>3</v>
      </c>
      <c r="G270" s="2" t="s">
        <v>3</v>
      </c>
      <c r="H270" s="2">
        <v>1197</v>
      </c>
      <c r="I270" s="2">
        <v>-191</v>
      </c>
    </row>
    <row r="271" spans="1:9" hidden="1" x14ac:dyDescent="0.3">
      <c r="A271" t="s">
        <v>6</v>
      </c>
      <c r="B271" s="1">
        <v>44136</v>
      </c>
      <c r="C271" s="2">
        <v>16907</v>
      </c>
      <c r="D271" s="2" t="s">
        <v>3</v>
      </c>
      <c r="E271" s="2">
        <v>15519</v>
      </c>
      <c r="F271" s="2" t="s">
        <v>3</v>
      </c>
      <c r="G271" s="2" t="s">
        <v>3</v>
      </c>
      <c r="H271" s="2">
        <v>1388</v>
      </c>
      <c r="I271" s="2">
        <v>-764</v>
      </c>
    </row>
    <row r="272" spans="1:9" hidden="1" x14ac:dyDescent="0.3">
      <c r="A272" t="s">
        <v>6</v>
      </c>
      <c r="B272" s="1">
        <v>44105</v>
      </c>
      <c r="C272" s="2">
        <v>17797</v>
      </c>
      <c r="D272" s="2" t="s">
        <v>3</v>
      </c>
      <c r="E272" s="2">
        <v>15645</v>
      </c>
      <c r="F272" s="2" t="s">
        <v>3</v>
      </c>
      <c r="G272" s="2" t="s">
        <v>3</v>
      </c>
      <c r="H272" s="2">
        <v>2152</v>
      </c>
      <c r="I272" s="2">
        <v>-1078</v>
      </c>
    </row>
    <row r="273" spans="1:9" hidden="1" x14ac:dyDescent="0.3">
      <c r="A273" t="s">
        <v>6</v>
      </c>
      <c r="B273" s="1">
        <v>44075</v>
      </c>
      <c r="C273" s="2">
        <v>17512</v>
      </c>
      <c r="D273" s="2" t="s">
        <v>3</v>
      </c>
      <c r="E273" s="2">
        <v>14282</v>
      </c>
      <c r="F273" s="2" t="s">
        <v>3</v>
      </c>
      <c r="G273" s="2" t="s">
        <v>3</v>
      </c>
      <c r="H273" s="2">
        <v>3230</v>
      </c>
      <c r="I273" s="2">
        <v>-428</v>
      </c>
    </row>
    <row r="274" spans="1:9" hidden="1" x14ac:dyDescent="0.3">
      <c r="A274" t="s">
        <v>6</v>
      </c>
      <c r="B274" s="1">
        <v>44044</v>
      </c>
      <c r="C274" s="2">
        <v>17542</v>
      </c>
      <c r="D274" s="2" t="s">
        <v>3</v>
      </c>
      <c r="E274" s="2">
        <v>13884</v>
      </c>
      <c r="F274" s="2" t="s">
        <v>3</v>
      </c>
      <c r="G274" s="2" t="s">
        <v>3</v>
      </c>
      <c r="H274" s="2">
        <v>3658</v>
      </c>
      <c r="I274" s="2">
        <v>-351</v>
      </c>
    </row>
    <row r="275" spans="1:9" hidden="1" x14ac:dyDescent="0.3">
      <c r="A275" t="s">
        <v>6</v>
      </c>
      <c r="B275" s="1">
        <v>44013</v>
      </c>
      <c r="C275" s="2">
        <v>19157</v>
      </c>
      <c r="D275" s="2" t="s">
        <v>3</v>
      </c>
      <c r="E275" s="2">
        <v>15148</v>
      </c>
      <c r="F275" s="2" t="s">
        <v>3</v>
      </c>
      <c r="G275" s="2" t="s">
        <v>3</v>
      </c>
      <c r="H275" s="2">
        <v>4009</v>
      </c>
      <c r="I275" s="2">
        <v>421</v>
      </c>
    </row>
    <row r="276" spans="1:9" hidden="1" x14ac:dyDescent="0.3">
      <c r="A276" t="s">
        <v>6</v>
      </c>
      <c r="B276" s="1">
        <v>43983</v>
      </c>
      <c r="C276" s="2">
        <v>17634</v>
      </c>
      <c r="D276" s="2" t="s">
        <v>3</v>
      </c>
      <c r="E276" s="2">
        <v>14046</v>
      </c>
      <c r="F276" s="2" t="s">
        <v>3</v>
      </c>
      <c r="G276" s="2" t="s">
        <v>3</v>
      </c>
      <c r="H276" s="2">
        <v>3588</v>
      </c>
      <c r="I276" s="2">
        <v>2072</v>
      </c>
    </row>
    <row r="277" spans="1:9" hidden="1" x14ac:dyDescent="0.3">
      <c r="A277" t="s">
        <v>6</v>
      </c>
      <c r="B277" s="1">
        <v>43952</v>
      </c>
      <c r="C277" s="2">
        <v>15182</v>
      </c>
      <c r="D277" s="2" t="s">
        <v>3</v>
      </c>
      <c r="E277" s="2">
        <v>13666</v>
      </c>
      <c r="F277" s="2" t="s">
        <v>3</v>
      </c>
      <c r="G277" s="2" t="s">
        <v>3</v>
      </c>
      <c r="H277" s="2">
        <v>1516</v>
      </c>
      <c r="I277" s="2">
        <v>139</v>
      </c>
    </row>
    <row r="278" spans="1:9" hidden="1" x14ac:dyDescent="0.3">
      <c r="A278" t="s">
        <v>6</v>
      </c>
      <c r="B278" s="1">
        <v>43922</v>
      </c>
      <c r="C278" s="2">
        <v>16011</v>
      </c>
      <c r="D278" s="2" t="s">
        <v>3</v>
      </c>
      <c r="E278" s="2">
        <v>14634</v>
      </c>
      <c r="F278" s="2" t="s">
        <v>3</v>
      </c>
      <c r="G278" s="2" t="s">
        <v>3</v>
      </c>
      <c r="H278" s="2">
        <v>1377</v>
      </c>
      <c r="I278" s="2">
        <v>244</v>
      </c>
    </row>
    <row r="279" spans="1:9" hidden="1" x14ac:dyDescent="0.3">
      <c r="A279" t="s">
        <v>6</v>
      </c>
      <c r="B279" s="1">
        <v>43891</v>
      </c>
      <c r="C279" s="2">
        <v>16824</v>
      </c>
      <c r="D279" s="2" t="s">
        <v>3</v>
      </c>
      <c r="E279" s="2">
        <v>15691</v>
      </c>
      <c r="F279" s="2" t="s">
        <v>3</v>
      </c>
      <c r="G279" s="2" t="s">
        <v>3</v>
      </c>
      <c r="H279" s="2">
        <v>1133</v>
      </c>
      <c r="I279" s="2">
        <v>500</v>
      </c>
    </row>
    <row r="280" spans="1:9" hidden="1" x14ac:dyDescent="0.3">
      <c r="A280" t="s">
        <v>6</v>
      </c>
      <c r="B280" s="1">
        <v>43862</v>
      </c>
      <c r="C280" s="2">
        <v>18676</v>
      </c>
      <c r="D280" s="2" t="s">
        <v>3</v>
      </c>
      <c r="E280" s="2">
        <v>18043</v>
      </c>
      <c r="F280" s="2" t="s">
        <v>3</v>
      </c>
      <c r="G280" s="2" t="s">
        <v>3</v>
      </c>
      <c r="H280" s="2">
        <v>633</v>
      </c>
      <c r="I280" s="2">
        <v>22</v>
      </c>
    </row>
    <row r="281" spans="1:9" hidden="1" x14ac:dyDescent="0.3">
      <c r="A281" t="s">
        <v>6</v>
      </c>
      <c r="B281" s="1">
        <v>43831</v>
      </c>
      <c r="C281" s="2">
        <v>18690</v>
      </c>
      <c r="D281" s="2" t="s">
        <v>3</v>
      </c>
      <c r="E281" s="2">
        <v>18079</v>
      </c>
      <c r="F281" s="2" t="s">
        <v>3</v>
      </c>
      <c r="G281" s="2" t="s">
        <v>3</v>
      </c>
      <c r="H281" s="2">
        <v>611</v>
      </c>
      <c r="I281" s="2">
        <v>78</v>
      </c>
    </row>
    <row r="282" spans="1:9" x14ac:dyDescent="0.3">
      <c r="A282" t="s">
        <v>7</v>
      </c>
      <c r="B282" s="1">
        <v>45931</v>
      </c>
      <c r="C282" s="2">
        <v>9957</v>
      </c>
      <c r="D282" s="2">
        <v>29</v>
      </c>
      <c r="E282" s="2">
        <v>9535</v>
      </c>
      <c r="F282" s="2">
        <v>-125</v>
      </c>
      <c r="G282" s="2">
        <v>-36</v>
      </c>
      <c r="H282" s="2">
        <v>422</v>
      </c>
      <c r="I282" s="2">
        <v>155</v>
      </c>
    </row>
    <row r="283" spans="1:9" x14ac:dyDescent="0.3">
      <c r="A283" t="s">
        <v>7</v>
      </c>
      <c r="B283" s="1">
        <v>45901</v>
      </c>
      <c r="C283" s="2">
        <v>10147</v>
      </c>
      <c r="D283" s="2">
        <v>-235</v>
      </c>
      <c r="E283" s="2">
        <v>9880</v>
      </c>
      <c r="F283" s="2">
        <v>-199</v>
      </c>
      <c r="G283" s="2">
        <v>45</v>
      </c>
      <c r="H283" s="2">
        <v>267</v>
      </c>
      <c r="I283" s="2">
        <v>-36</v>
      </c>
    </row>
    <row r="284" spans="1:9" x14ac:dyDescent="0.3">
      <c r="A284" t="s">
        <v>7</v>
      </c>
      <c r="B284" s="1">
        <v>45870</v>
      </c>
      <c r="C284" s="2">
        <v>10338</v>
      </c>
      <c r="D284" s="2">
        <v>690</v>
      </c>
      <c r="E284" s="2">
        <v>10035</v>
      </c>
      <c r="F284" s="2">
        <v>826</v>
      </c>
      <c r="G284" s="2">
        <v>69</v>
      </c>
      <c r="H284" s="2">
        <v>303</v>
      </c>
      <c r="I284" s="2">
        <v>-136</v>
      </c>
    </row>
    <row r="285" spans="1:9" x14ac:dyDescent="0.3">
      <c r="A285" t="s">
        <v>7</v>
      </c>
      <c r="B285" s="1">
        <v>45839</v>
      </c>
      <c r="C285" s="2">
        <v>9586</v>
      </c>
      <c r="D285" s="2">
        <v>132</v>
      </c>
      <c r="E285" s="2">
        <v>9147</v>
      </c>
      <c r="F285" s="2">
        <v>115</v>
      </c>
      <c r="G285" s="2">
        <v>-51</v>
      </c>
      <c r="H285" s="2">
        <v>439</v>
      </c>
      <c r="I285" s="2">
        <v>17</v>
      </c>
    </row>
    <row r="286" spans="1:9" x14ac:dyDescent="0.3">
      <c r="A286" t="s">
        <v>7</v>
      </c>
      <c r="B286" s="1">
        <v>45809</v>
      </c>
      <c r="C286" s="2">
        <v>9524</v>
      </c>
      <c r="D286" s="2">
        <v>197</v>
      </c>
      <c r="E286" s="2">
        <v>9102</v>
      </c>
      <c r="F286" s="2">
        <v>179</v>
      </c>
      <c r="G286" s="2">
        <v>72</v>
      </c>
      <c r="H286" s="2">
        <v>422</v>
      </c>
      <c r="I286" s="2">
        <v>18</v>
      </c>
    </row>
    <row r="287" spans="1:9" x14ac:dyDescent="0.3">
      <c r="A287" t="s">
        <v>7</v>
      </c>
      <c r="B287" s="1">
        <v>45778</v>
      </c>
      <c r="C287" s="2">
        <v>9261</v>
      </c>
      <c r="D287" s="2">
        <v>-168</v>
      </c>
      <c r="E287" s="2">
        <v>8857</v>
      </c>
      <c r="F287" s="2">
        <v>-144</v>
      </c>
      <c r="G287" s="2">
        <v>-120</v>
      </c>
      <c r="H287" s="2">
        <v>403</v>
      </c>
      <c r="I287" s="2">
        <v>-24</v>
      </c>
    </row>
    <row r="288" spans="1:9" x14ac:dyDescent="0.3">
      <c r="A288" t="s">
        <v>7</v>
      </c>
      <c r="B288" s="1">
        <v>45748</v>
      </c>
      <c r="C288" s="2">
        <v>9560</v>
      </c>
      <c r="D288" s="2">
        <v>289</v>
      </c>
      <c r="E288" s="2">
        <v>9133</v>
      </c>
      <c r="F288" s="2">
        <v>174</v>
      </c>
      <c r="G288" s="2">
        <v>52</v>
      </c>
      <c r="H288" s="2">
        <v>427</v>
      </c>
      <c r="I288" s="2">
        <v>115</v>
      </c>
    </row>
    <row r="289" spans="1:9" x14ac:dyDescent="0.3">
      <c r="A289" t="s">
        <v>7</v>
      </c>
      <c r="B289" s="1">
        <v>45717</v>
      </c>
      <c r="C289" s="2">
        <v>9198</v>
      </c>
      <c r="D289" s="2">
        <v>519</v>
      </c>
      <c r="E289" s="2">
        <v>8886</v>
      </c>
      <c r="F289" s="2">
        <v>499</v>
      </c>
      <c r="G289" s="2">
        <v>106</v>
      </c>
      <c r="H289" s="2">
        <v>312</v>
      </c>
      <c r="I289" s="2">
        <v>20</v>
      </c>
    </row>
    <row r="290" spans="1:9" x14ac:dyDescent="0.3">
      <c r="A290" t="s">
        <v>7</v>
      </c>
      <c r="B290" s="1">
        <v>45689</v>
      </c>
      <c r="C290" s="2">
        <v>8571</v>
      </c>
      <c r="D290" s="2">
        <v>391</v>
      </c>
      <c r="E290" s="2">
        <v>8280</v>
      </c>
      <c r="F290" s="2">
        <v>354</v>
      </c>
      <c r="G290" s="2">
        <v>80</v>
      </c>
      <c r="H290" s="2">
        <v>291</v>
      </c>
      <c r="I290" s="2">
        <v>37</v>
      </c>
    </row>
    <row r="291" spans="1:9" x14ac:dyDescent="0.3">
      <c r="A291" t="s">
        <v>7</v>
      </c>
      <c r="B291" s="1">
        <v>45658</v>
      </c>
      <c r="C291" s="2">
        <v>8091</v>
      </c>
      <c r="D291" s="2">
        <v>1158</v>
      </c>
      <c r="E291" s="2">
        <v>7836</v>
      </c>
      <c r="F291" s="2">
        <v>1164</v>
      </c>
      <c r="G291" s="2">
        <v>16</v>
      </c>
      <c r="H291" s="2">
        <v>255</v>
      </c>
      <c r="I291" s="2">
        <v>-6</v>
      </c>
    </row>
    <row r="292" spans="1:9" x14ac:dyDescent="0.3">
      <c r="A292" t="s">
        <v>7</v>
      </c>
      <c r="B292" s="1">
        <v>45627</v>
      </c>
      <c r="C292" s="2">
        <v>6974</v>
      </c>
      <c r="D292" s="2">
        <v>-67</v>
      </c>
      <c r="E292" s="2">
        <v>6713</v>
      </c>
      <c r="F292" s="2">
        <v>-17</v>
      </c>
      <c r="G292" s="2">
        <v>-92</v>
      </c>
      <c r="H292" s="2">
        <v>260</v>
      </c>
      <c r="I292" s="2">
        <v>-50</v>
      </c>
    </row>
    <row r="293" spans="1:9" x14ac:dyDescent="0.3">
      <c r="A293" t="s">
        <v>7</v>
      </c>
      <c r="B293" s="1">
        <v>45597</v>
      </c>
      <c r="C293" s="2">
        <v>7181</v>
      </c>
      <c r="D293" s="2">
        <v>213</v>
      </c>
      <c r="E293" s="2">
        <v>6871</v>
      </c>
      <c r="F293" s="2">
        <v>259</v>
      </c>
      <c r="G293" s="2">
        <v>-120</v>
      </c>
      <c r="H293" s="2">
        <v>310</v>
      </c>
      <c r="I293" s="2">
        <v>-45</v>
      </c>
    </row>
    <row r="294" spans="1:9" x14ac:dyDescent="0.3">
      <c r="A294" t="s">
        <v>7</v>
      </c>
      <c r="B294" s="1">
        <v>45566</v>
      </c>
      <c r="C294" s="2">
        <v>7092</v>
      </c>
      <c r="D294" s="2">
        <v>86</v>
      </c>
      <c r="E294" s="2">
        <v>6737</v>
      </c>
      <c r="F294" s="2">
        <v>86</v>
      </c>
      <c r="G294" s="2">
        <v>-173</v>
      </c>
      <c r="H294" s="2">
        <v>355</v>
      </c>
      <c r="I294" s="2">
        <v>1</v>
      </c>
    </row>
    <row r="295" spans="1:9" x14ac:dyDescent="0.3">
      <c r="A295" t="s">
        <v>7</v>
      </c>
      <c r="B295" s="1">
        <v>45536</v>
      </c>
      <c r="C295" s="2">
        <v>7179</v>
      </c>
      <c r="D295" s="2">
        <v>165</v>
      </c>
      <c r="E295" s="2">
        <v>6824</v>
      </c>
      <c r="F295" s="2">
        <v>89</v>
      </c>
      <c r="G295" s="2">
        <v>59</v>
      </c>
      <c r="H295" s="2">
        <v>355</v>
      </c>
      <c r="I295" s="2">
        <v>76</v>
      </c>
    </row>
    <row r="296" spans="1:9" x14ac:dyDescent="0.3">
      <c r="A296" t="s">
        <v>7</v>
      </c>
      <c r="B296" s="1">
        <v>45505</v>
      </c>
      <c r="C296" s="2">
        <v>6887</v>
      </c>
      <c r="D296" s="2">
        <v>65</v>
      </c>
      <c r="E296" s="2">
        <v>6608</v>
      </c>
      <c r="F296" s="2">
        <v>33</v>
      </c>
      <c r="G296" s="2">
        <v>79</v>
      </c>
      <c r="H296" s="2">
        <v>279</v>
      </c>
      <c r="I296" s="2">
        <v>32</v>
      </c>
    </row>
    <row r="297" spans="1:9" x14ac:dyDescent="0.3">
      <c r="A297" t="s">
        <v>7</v>
      </c>
      <c r="B297" s="1">
        <v>45474</v>
      </c>
      <c r="C297" s="2">
        <v>6747</v>
      </c>
      <c r="D297" s="2">
        <v>50</v>
      </c>
      <c r="E297" s="2">
        <v>6500</v>
      </c>
      <c r="F297" s="2">
        <v>137</v>
      </c>
      <c r="G297" s="2">
        <v>100</v>
      </c>
      <c r="H297" s="2">
        <v>247</v>
      </c>
      <c r="I297" s="2">
        <v>-87</v>
      </c>
    </row>
    <row r="298" spans="1:9" x14ac:dyDescent="0.3">
      <c r="A298" t="s">
        <v>7</v>
      </c>
      <c r="B298" s="1">
        <v>45444</v>
      </c>
      <c r="C298" s="2">
        <v>6598</v>
      </c>
      <c r="D298" s="2">
        <v>-34</v>
      </c>
      <c r="E298" s="2">
        <v>6264</v>
      </c>
      <c r="F298" s="2">
        <v>-25</v>
      </c>
      <c r="G298" s="2">
        <v>64</v>
      </c>
      <c r="H298" s="2">
        <v>334</v>
      </c>
      <c r="I298" s="2">
        <v>-9</v>
      </c>
    </row>
    <row r="299" spans="1:9" x14ac:dyDescent="0.3">
      <c r="A299" t="s">
        <v>7</v>
      </c>
      <c r="B299" s="1">
        <v>45413</v>
      </c>
      <c r="C299" s="2">
        <v>6593</v>
      </c>
      <c r="D299" s="2">
        <v>44</v>
      </c>
      <c r="E299" s="2">
        <v>6250</v>
      </c>
      <c r="F299" s="2">
        <v>66</v>
      </c>
      <c r="G299" s="2">
        <v>65</v>
      </c>
      <c r="H299" s="2">
        <v>343</v>
      </c>
      <c r="I299" s="2">
        <v>-22</v>
      </c>
    </row>
    <row r="300" spans="1:9" x14ac:dyDescent="0.3">
      <c r="A300" t="s">
        <v>7</v>
      </c>
      <c r="B300" s="1">
        <v>45383</v>
      </c>
      <c r="C300" s="2">
        <v>6464</v>
      </c>
      <c r="D300" s="2">
        <v>-147</v>
      </c>
      <c r="E300" s="2">
        <v>6098</v>
      </c>
      <c r="F300" s="2">
        <v>-168</v>
      </c>
      <c r="G300" s="2">
        <v>-134</v>
      </c>
      <c r="H300" s="2">
        <v>366</v>
      </c>
      <c r="I300" s="2">
        <v>21</v>
      </c>
    </row>
    <row r="301" spans="1:9" x14ac:dyDescent="0.3">
      <c r="A301" t="s">
        <v>7</v>
      </c>
      <c r="B301" s="1">
        <v>45352</v>
      </c>
      <c r="C301" s="2">
        <v>6711</v>
      </c>
      <c r="D301" s="2">
        <v>-189</v>
      </c>
      <c r="E301" s="2">
        <v>6367</v>
      </c>
      <c r="F301" s="2">
        <v>-162</v>
      </c>
      <c r="G301" s="2">
        <v>26</v>
      </c>
      <c r="H301" s="2">
        <v>345</v>
      </c>
      <c r="I301" s="2">
        <v>-27</v>
      </c>
    </row>
    <row r="302" spans="1:9" x14ac:dyDescent="0.3">
      <c r="A302" t="s">
        <v>7</v>
      </c>
      <c r="B302" s="1">
        <v>45323</v>
      </c>
      <c r="C302" s="2">
        <v>6677</v>
      </c>
      <c r="D302" s="2">
        <v>-84</v>
      </c>
      <c r="E302" s="2">
        <v>6305</v>
      </c>
      <c r="F302" s="2">
        <v>-90</v>
      </c>
      <c r="G302" s="2">
        <v>-89</v>
      </c>
      <c r="H302" s="2">
        <v>372</v>
      </c>
      <c r="I302" s="2">
        <v>6</v>
      </c>
    </row>
    <row r="303" spans="1:9" x14ac:dyDescent="0.3">
      <c r="A303" t="s">
        <v>7</v>
      </c>
      <c r="B303" s="1">
        <v>45292</v>
      </c>
      <c r="C303" s="2">
        <v>6959</v>
      </c>
      <c r="D303" s="2">
        <v>182</v>
      </c>
      <c r="E303" s="2">
        <v>6593</v>
      </c>
      <c r="F303" s="2">
        <v>276</v>
      </c>
      <c r="G303" s="2">
        <v>-21</v>
      </c>
      <c r="H303" s="2">
        <v>366</v>
      </c>
      <c r="I303" s="2">
        <v>-94</v>
      </c>
    </row>
    <row r="304" spans="1:9" x14ac:dyDescent="0.3">
      <c r="A304" t="s">
        <v>7</v>
      </c>
      <c r="B304" s="1">
        <v>45261</v>
      </c>
      <c r="C304" s="2">
        <v>6784</v>
      </c>
      <c r="D304" s="2">
        <v>45</v>
      </c>
      <c r="E304" s="2">
        <v>6324</v>
      </c>
      <c r="F304" s="2">
        <v>24</v>
      </c>
      <c r="G304" s="2">
        <v>144</v>
      </c>
      <c r="H304" s="2">
        <v>460</v>
      </c>
      <c r="I304" s="2">
        <v>21</v>
      </c>
    </row>
    <row r="305" spans="1:9" x14ac:dyDescent="0.3">
      <c r="A305" t="s">
        <v>7</v>
      </c>
      <c r="B305" s="1">
        <v>45231</v>
      </c>
      <c r="C305" s="2">
        <v>6703</v>
      </c>
      <c r="D305" s="2">
        <v>-556</v>
      </c>
      <c r="E305" s="2">
        <v>6264</v>
      </c>
      <c r="F305" s="2">
        <v>-124</v>
      </c>
      <c r="G305" s="2">
        <v>141</v>
      </c>
      <c r="H305" s="2">
        <v>439</v>
      </c>
      <c r="I305" s="2">
        <v>-433</v>
      </c>
    </row>
    <row r="306" spans="1:9" x14ac:dyDescent="0.3">
      <c r="A306" t="s">
        <v>7</v>
      </c>
      <c r="B306" s="1">
        <v>45200</v>
      </c>
      <c r="C306" s="2">
        <v>7120</v>
      </c>
      <c r="D306" s="2">
        <v>-74</v>
      </c>
      <c r="E306" s="2">
        <v>6248</v>
      </c>
      <c r="F306" s="2">
        <v>-17</v>
      </c>
      <c r="G306" s="2">
        <v>-50</v>
      </c>
      <c r="H306" s="2">
        <v>872</v>
      </c>
      <c r="I306" s="2">
        <v>-56</v>
      </c>
    </row>
    <row r="307" spans="1:9" x14ac:dyDescent="0.3">
      <c r="A307" t="s">
        <v>7</v>
      </c>
      <c r="B307" s="1">
        <v>45170</v>
      </c>
      <c r="C307" s="2">
        <v>7208</v>
      </c>
      <c r="D307" s="2">
        <v>-289</v>
      </c>
      <c r="E307" s="2">
        <v>6279</v>
      </c>
      <c r="F307" s="2">
        <v>-300</v>
      </c>
      <c r="G307" s="2">
        <v>25</v>
      </c>
      <c r="H307" s="2">
        <v>929</v>
      </c>
      <c r="I307" s="2">
        <v>11</v>
      </c>
    </row>
    <row r="308" spans="1:9" x14ac:dyDescent="0.3">
      <c r="A308" t="s">
        <v>7</v>
      </c>
      <c r="B308" s="1">
        <v>45139</v>
      </c>
      <c r="C308" s="2">
        <v>7561</v>
      </c>
      <c r="D308" s="2">
        <v>106</v>
      </c>
      <c r="E308" s="2">
        <v>6643</v>
      </c>
      <c r="F308" s="2">
        <v>230</v>
      </c>
      <c r="G308" s="2">
        <v>-57</v>
      </c>
      <c r="H308" s="2">
        <v>918</v>
      </c>
      <c r="I308" s="2">
        <v>-124</v>
      </c>
    </row>
    <row r="309" spans="1:9" x14ac:dyDescent="0.3">
      <c r="A309" t="s">
        <v>7</v>
      </c>
      <c r="B309" s="1">
        <v>45108</v>
      </c>
      <c r="C309" s="2">
        <v>7507</v>
      </c>
      <c r="D309" s="2">
        <v>396</v>
      </c>
      <c r="E309" s="2">
        <v>6466</v>
      </c>
      <c r="F309" s="2">
        <v>39</v>
      </c>
      <c r="G309" s="2">
        <v>-68</v>
      </c>
      <c r="H309" s="2">
        <v>1041</v>
      </c>
      <c r="I309" s="2">
        <v>357</v>
      </c>
    </row>
    <row r="310" spans="1:9" x14ac:dyDescent="0.3">
      <c r="A310" t="s">
        <v>7</v>
      </c>
      <c r="B310" s="1">
        <v>45078</v>
      </c>
      <c r="C310" s="2">
        <v>7166</v>
      </c>
      <c r="D310" s="2">
        <v>425</v>
      </c>
      <c r="E310" s="2">
        <v>6482</v>
      </c>
      <c r="F310" s="2">
        <v>-63</v>
      </c>
      <c r="G310" s="2">
        <v>-57</v>
      </c>
      <c r="H310" s="2">
        <v>684</v>
      </c>
      <c r="I310" s="2">
        <v>488</v>
      </c>
    </row>
    <row r="311" spans="1:9" x14ac:dyDescent="0.3">
      <c r="A311" t="s">
        <v>7</v>
      </c>
      <c r="B311" s="1">
        <v>45047</v>
      </c>
      <c r="C311" s="2">
        <v>6780</v>
      </c>
      <c r="D311" s="2">
        <v>107</v>
      </c>
      <c r="E311" s="2">
        <v>6584</v>
      </c>
      <c r="F311" s="2">
        <v>33</v>
      </c>
      <c r="G311" s="2">
        <v>-141</v>
      </c>
      <c r="H311" s="2">
        <v>196</v>
      </c>
      <c r="I311" s="2">
        <v>75</v>
      </c>
    </row>
    <row r="312" spans="1:9" x14ac:dyDescent="0.3">
      <c r="A312" t="s">
        <v>7</v>
      </c>
      <c r="B312" s="1">
        <v>45017</v>
      </c>
      <c r="C312" s="2">
        <v>6815</v>
      </c>
      <c r="D312" s="2">
        <v>180</v>
      </c>
      <c r="E312" s="2">
        <v>6693</v>
      </c>
      <c r="F312" s="2">
        <v>250</v>
      </c>
      <c r="G312" s="2">
        <v>15</v>
      </c>
      <c r="H312" s="2">
        <v>122</v>
      </c>
      <c r="I312" s="2">
        <v>-70</v>
      </c>
    </row>
    <row r="313" spans="1:9" x14ac:dyDescent="0.3">
      <c r="A313" t="s">
        <v>7</v>
      </c>
      <c r="B313" s="1">
        <v>44986</v>
      </c>
      <c r="C313" s="2">
        <v>6618</v>
      </c>
      <c r="D313" s="2">
        <v>34</v>
      </c>
      <c r="E313" s="2">
        <v>6426</v>
      </c>
      <c r="F313" s="2">
        <v>104</v>
      </c>
      <c r="G313" s="2">
        <v>173</v>
      </c>
      <c r="H313" s="2">
        <v>191</v>
      </c>
      <c r="I313" s="2">
        <v>-70</v>
      </c>
    </row>
    <row r="314" spans="1:9" x14ac:dyDescent="0.3">
      <c r="A314" t="s">
        <v>7</v>
      </c>
      <c r="B314" s="1">
        <v>44958</v>
      </c>
      <c r="C314" s="2">
        <v>6391</v>
      </c>
      <c r="D314" s="2">
        <v>174</v>
      </c>
      <c r="E314" s="2">
        <v>6129</v>
      </c>
      <c r="F314" s="2">
        <v>265</v>
      </c>
      <c r="G314" s="2">
        <v>-226</v>
      </c>
      <c r="H314" s="2">
        <v>261</v>
      </c>
      <c r="I314" s="2">
        <v>-91</v>
      </c>
    </row>
    <row r="315" spans="1:9" hidden="1" x14ac:dyDescent="0.3">
      <c r="A315" t="s">
        <v>7</v>
      </c>
      <c r="B315" s="1">
        <v>44927</v>
      </c>
      <c r="C315" s="2">
        <v>6460</v>
      </c>
      <c r="D315" s="2" t="s">
        <v>3</v>
      </c>
      <c r="E315" s="2">
        <v>6108</v>
      </c>
      <c r="F315" s="2" t="s">
        <v>3</v>
      </c>
      <c r="G315" s="2" t="s">
        <v>3</v>
      </c>
      <c r="H315" s="2">
        <v>352</v>
      </c>
      <c r="I315" s="2">
        <v>170</v>
      </c>
    </row>
    <row r="316" spans="1:9" hidden="1" x14ac:dyDescent="0.3">
      <c r="A316" t="s">
        <v>7</v>
      </c>
      <c r="B316" s="1">
        <v>44896</v>
      </c>
      <c r="C316" s="2">
        <v>5808</v>
      </c>
      <c r="D316" s="2" t="s">
        <v>3</v>
      </c>
      <c r="E316" s="2">
        <v>5626</v>
      </c>
      <c r="F316" s="2" t="s">
        <v>3</v>
      </c>
      <c r="G316" s="2" t="s">
        <v>3</v>
      </c>
      <c r="H316" s="2">
        <v>182</v>
      </c>
      <c r="I316" s="2">
        <v>-124</v>
      </c>
    </row>
    <row r="317" spans="1:9" hidden="1" x14ac:dyDescent="0.3">
      <c r="A317" t="s">
        <v>7</v>
      </c>
      <c r="B317" s="1">
        <v>44866</v>
      </c>
      <c r="C317" s="2">
        <v>5704</v>
      </c>
      <c r="D317" s="2" t="s">
        <v>3</v>
      </c>
      <c r="E317" s="2">
        <v>5397</v>
      </c>
      <c r="F317" s="2" t="s">
        <v>3</v>
      </c>
      <c r="G317" s="2" t="s">
        <v>3</v>
      </c>
      <c r="H317" s="2">
        <v>306</v>
      </c>
      <c r="I317" s="2">
        <v>22</v>
      </c>
    </row>
    <row r="318" spans="1:9" hidden="1" x14ac:dyDescent="0.3">
      <c r="A318" t="s">
        <v>7</v>
      </c>
      <c r="B318" s="1">
        <v>44835</v>
      </c>
      <c r="C318" s="2">
        <v>5613</v>
      </c>
      <c r="D318" s="2" t="s">
        <v>3</v>
      </c>
      <c r="E318" s="2">
        <v>5328</v>
      </c>
      <c r="F318" s="2" t="s">
        <v>3</v>
      </c>
      <c r="G318" s="2" t="s">
        <v>3</v>
      </c>
      <c r="H318" s="2">
        <v>285</v>
      </c>
      <c r="I318" s="2">
        <v>37</v>
      </c>
    </row>
    <row r="319" spans="1:9" hidden="1" x14ac:dyDescent="0.3">
      <c r="A319" t="s">
        <v>7</v>
      </c>
      <c r="B319" s="1">
        <v>44805</v>
      </c>
      <c r="C319" s="2">
        <v>5694</v>
      </c>
      <c r="D319" s="2" t="s">
        <v>3</v>
      </c>
      <c r="E319" s="2">
        <v>5446</v>
      </c>
      <c r="F319" s="2" t="s">
        <v>3</v>
      </c>
      <c r="G319" s="2" t="s">
        <v>3</v>
      </c>
      <c r="H319" s="2">
        <v>248</v>
      </c>
      <c r="I319" s="2">
        <v>-34</v>
      </c>
    </row>
    <row r="320" spans="1:9" hidden="1" x14ac:dyDescent="0.3">
      <c r="A320" t="s">
        <v>7</v>
      </c>
      <c r="B320" s="1">
        <v>44774</v>
      </c>
      <c r="C320" s="2">
        <v>5885</v>
      </c>
      <c r="D320" s="2" t="s">
        <v>3</v>
      </c>
      <c r="E320" s="2">
        <v>5604</v>
      </c>
      <c r="F320" s="2" t="s">
        <v>3</v>
      </c>
      <c r="G320" s="2" t="s">
        <v>3</v>
      </c>
      <c r="H320" s="2">
        <v>281</v>
      </c>
      <c r="I320" s="2">
        <v>149</v>
      </c>
    </row>
    <row r="321" spans="1:9" hidden="1" x14ac:dyDescent="0.3">
      <c r="A321" t="s">
        <v>7</v>
      </c>
      <c r="B321" s="1">
        <v>44743</v>
      </c>
      <c r="C321" s="2">
        <v>5764</v>
      </c>
      <c r="D321" s="2" t="s">
        <v>3</v>
      </c>
      <c r="E321" s="2">
        <v>5632</v>
      </c>
      <c r="F321" s="2" t="s">
        <v>3</v>
      </c>
      <c r="G321" s="2" t="s">
        <v>3</v>
      </c>
      <c r="H321" s="2">
        <v>132</v>
      </c>
      <c r="I321" s="2">
        <v>11</v>
      </c>
    </row>
    <row r="322" spans="1:9" hidden="1" x14ac:dyDescent="0.3">
      <c r="A322" t="s">
        <v>7</v>
      </c>
      <c r="B322" s="1">
        <v>44713</v>
      </c>
      <c r="C322" s="2">
        <v>5651</v>
      </c>
      <c r="D322" s="2" t="s">
        <v>3</v>
      </c>
      <c r="E322" s="2">
        <v>5531</v>
      </c>
      <c r="F322" s="2" t="s">
        <v>3</v>
      </c>
      <c r="G322" s="2" t="s">
        <v>3</v>
      </c>
      <c r="H322" s="2">
        <v>120</v>
      </c>
      <c r="I322" s="2">
        <v>-96</v>
      </c>
    </row>
    <row r="323" spans="1:9" hidden="1" x14ac:dyDescent="0.3">
      <c r="A323" t="s">
        <v>7</v>
      </c>
      <c r="B323" s="1">
        <v>44682</v>
      </c>
      <c r="C323" s="2">
        <v>6152</v>
      </c>
      <c r="D323" s="2" t="s">
        <v>3</v>
      </c>
      <c r="E323" s="2">
        <v>5935</v>
      </c>
      <c r="F323" s="2" t="s">
        <v>3</v>
      </c>
      <c r="G323" s="2" t="s">
        <v>3</v>
      </c>
      <c r="H323" s="2">
        <v>217</v>
      </c>
      <c r="I323" s="2">
        <v>-162</v>
      </c>
    </row>
    <row r="324" spans="1:9" hidden="1" x14ac:dyDescent="0.3">
      <c r="A324" t="s">
        <v>7</v>
      </c>
      <c r="B324" s="1">
        <v>44652</v>
      </c>
      <c r="C324" s="2">
        <v>7043</v>
      </c>
      <c r="D324" s="2" t="s">
        <v>3</v>
      </c>
      <c r="E324" s="2">
        <v>6664</v>
      </c>
      <c r="F324" s="2" t="s">
        <v>3</v>
      </c>
      <c r="G324" s="2" t="s">
        <v>3</v>
      </c>
      <c r="H324" s="2">
        <v>379</v>
      </c>
      <c r="I324" s="2">
        <v>-119</v>
      </c>
    </row>
    <row r="325" spans="1:9" hidden="1" x14ac:dyDescent="0.3">
      <c r="A325" t="s">
        <v>7</v>
      </c>
      <c r="B325" s="1">
        <v>44621</v>
      </c>
      <c r="C325" s="2">
        <v>7357</v>
      </c>
      <c r="D325" s="2" t="s">
        <v>3</v>
      </c>
      <c r="E325" s="2">
        <v>6859</v>
      </c>
      <c r="F325" s="2" t="s">
        <v>3</v>
      </c>
      <c r="G325" s="2" t="s">
        <v>3</v>
      </c>
      <c r="H325" s="2">
        <v>498</v>
      </c>
      <c r="I325" s="2">
        <v>-106</v>
      </c>
    </row>
    <row r="326" spans="1:9" hidden="1" x14ac:dyDescent="0.3">
      <c r="A326" t="s">
        <v>7</v>
      </c>
      <c r="B326" s="1">
        <v>44593</v>
      </c>
      <c r="C326" s="2">
        <v>7830</v>
      </c>
      <c r="D326" s="2" t="s">
        <v>3</v>
      </c>
      <c r="E326" s="2">
        <v>7226</v>
      </c>
      <c r="F326" s="2" t="s">
        <v>3</v>
      </c>
      <c r="G326" s="2" t="s">
        <v>3</v>
      </c>
      <c r="H326" s="2">
        <v>604</v>
      </c>
      <c r="I326" s="2">
        <v>-15</v>
      </c>
    </row>
    <row r="327" spans="1:9" hidden="1" x14ac:dyDescent="0.3">
      <c r="A327" t="s">
        <v>7</v>
      </c>
      <c r="B327" s="1">
        <v>44562</v>
      </c>
      <c r="C327" s="2">
        <v>8236</v>
      </c>
      <c r="D327" s="2" t="s">
        <v>3</v>
      </c>
      <c r="E327" s="2">
        <v>7617</v>
      </c>
      <c r="F327" s="2" t="s">
        <v>3</v>
      </c>
      <c r="G327" s="2" t="s">
        <v>3</v>
      </c>
      <c r="H327" s="2">
        <v>619</v>
      </c>
      <c r="I327" s="2">
        <v>-41</v>
      </c>
    </row>
    <row r="328" spans="1:9" hidden="1" x14ac:dyDescent="0.3">
      <c r="A328" t="s">
        <v>7</v>
      </c>
      <c r="B328" s="1">
        <v>44531</v>
      </c>
      <c r="C328" s="2">
        <v>8453</v>
      </c>
      <c r="D328" s="2" t="s">
        <v>3</v>
      </c>
      <c r="E328" s="2">
        <v>7793</v>
      </c>
      <c r="F328" s="2" t="s">
        <v>3</v>
      </c>
      <c r="G328" s="2" t="s">
        <v>3</v>
      </c>
      <c r="H328" s="2">
        <v>660</v>
      </c>
      <c r="I328" s="2">
        <v>-151</v>
      </c>
    </row>
    <row r="329" spans="1:9" hidden="1" x14ac:dyDescent="0.3">
      <c r="A329" t="s">
        <v>7</v>
      </c>
      <c r="B329" s="1">
        <v>44501</v>
      </c>
      <c r="C329" s="2">
        <v>7114</v>
      </c>
      <c r="D329" s="2" t="s">
        <v>3</v>
      </c>
      <c r="E329" s="2">
        <v>6303</v>
      </c>
      <c r="F329" s="2" t="s">
        <v>3</v>
      </c>
      <c r="G329" s="2" t="s">
        <v>3</v>
      </c>
      <c r="H329" s="2">
        <v>811</v>
      </c>
      <c r="I329" s="2">
        <v>143</v>
      </c>
    </row>
    <row r="330" spans="1:9" hidden="1" x14ac:dyDescent="0.3">
      <c r="A330" t="s">
        <v>7</v>
      </c>
      <c r="B330" s="1">
        <v>44470</v>
      </c>
      <c r="C330" s="2">
        <v>6962</v>
      </c>
      <c r="D330" s="2" t="s">
        <v>3</v>
      </c>
      <c r="E330" s="2">
        <v>6293</v>
      </c>
      <c r="F330" s="2" t="s">
        <v>3</v>
      </c>
      <c r="G330" s="2" t="s">
        <v>3</v>
      </c>
      <c r="H330" s="2">
        <v>669</v>
      </c>
      <c r="I330" s="2">
        <v>96</v>
      </c>
    </row>
    <row r="331" spans="1:9" hidden="1" x14ac:dyDescent="0.3">
      <c r="A331" t="s">
        <v>7</v>
      </c>
      <c r="B331" s="1">
        <v>44440</v>
      </c>
      <c r="C331" s="2">
        <v>6453</v>
      </c>
      <c r="D331" s="2" t="s">
        <v>3</v>
      </c>
      <c r="E331" s="2">
        <v>5880</v>
      </c>
      <c r="F331" s="2" t="s">
        <v>3</v>
      </c>
      <c r="G331" s="2" t="s">
        <v>3</v>
      </c>
      <c r="H331" s="2">
        <v>573</v>
      </c>
      <c r="I331" s="2">
        <v>-4</v>
      </c>
    </row>
    <row r="332" spans="1:9" hidden="1" x14ac:dyDescent="0.3">
      <c r="A332" t="s">
        <v>7</v>
      </c>
      <c r="B332" s="1">
        <v>44409</v>
      </c>
      <c r="C332" s="2">
        <v>6512</v>
      </c>
      <c r="D332" s="2" t="s">
        <v>3</v>
      </c>
      <c r="E332" s="2">
        <v>5934</v>
      </c>
      <c r="F332" s="2" t="s">
        <v>3</v>
      </c>
      <c r="G332" s="2" t="s">
        <v>3</v>
      </c>
      <c r="H332" s="2">
        <v>577</v>
      </c>
      <c r="I332" s="2">
        <v>-35</v>
      </c>
    </row>
    <row r="333" spans="1:9" hidden="1" x14ac:dyDescent="0.3">
      <c r="A333" t="s">
        <v>7</v>
      </c>
      <c r="B333" s="1">
        <v>44378</v>
      </c>
      <c r="C333" s="2">
        <v>6405</v>
      </c>
      <c r="D333" s="2" t="s">
        <v>3</v>
      </c>
      <c r="E333" s="2">
        <v>5793</v>
      </c>
      <c r="F333" s="2" t="s">
        <v>3</v>
      </c>
      <c r="G333" s="2" t="s">
        <v>3</v>
      </c>
      <c r="H333" s="2">
        <v>612</v>
      </c>
      <c r="I333" s="2">
        <v>3</v>
      </c>
    </row>
    <row r="334" spans="1:9" hidden="1" x14ac:dyDescent="0.3">
      <c r="A334" t="s">
        <v>7</v>
      </c>
      <c r="B334" s="1">
        <v>44348</v>
      </c>
      <c r="C334" s="2">
        <v>6349</v>
      </c>
      <c r="D334" s="2" t="s">
        <v>3</v>
      </c>
      <c r="E334" s="2">
        <v>5740</v>
      </c>
      <c r="F334" s="2" t="s">
        <v>3</v>
      </c>
      <c r="G334" s="2" t="s">
        <v>3</v>
      </c>
      <c r="H334" s="2">
        <v>609</v>
      </c>
      <c r="I334" s="2">
        <v>110</v>
      </c>
    </row>
    <row r="335" spans="1:9" hidden="1" x14ac:dyDescent="0.3">
      <c r="A335" t="s">
        <v>7</v>
      </c>
      <c r="B335" s="1">
        <v>44317</v>
      </c>
      <c r="C335" s="2">
        <v>6453</v>
      </c>
      <c r="D335" s="2" t="s">
        <v>3</v>
      </c>
      <c r="E335" s="2">
        <v>5955</v>
      </c>
      <c r="F335" s="2" t="s">
        <v>3</v>
      </c>
      <c r="G335" s="2" t="s">
        <v>3</v>
      </c>
      <c r="H335" s="2">
        <v>499</v>
      </c>
      <c r="I335" s="2">
        <v>-247</v>
      </c>
    </row>
    <row r="336" spans="1:9" hidden="1" x14ac:dyDescent="0.3">
      <c r="A336" t="s">
        <v>7</v>
      </c>
      <c r="B336" s="1">
        <v>44287</v>
      </c>
      <c r="C336" s="2">
        <v>5984</v>
      </c>
      <c r="D336" s="2" t="s">
        <v>3</v>
      </c>
      <c r="E336" s="2">
        <v>5238</v>
      </c>
      <c r="F336" s="2" t="s">
        <v>3</v>
      </c>
      <c r="G336" s="2" t="s">
        <v>3</v>
      </c>
      <c r="H336" s="2">
        <v>745</v>
      </c>
      <c r="I336" s="2">
        <v>-118</v>
      </c>
    </row>
    <row r="337" spans="1:9" hidden="1" x14ac:dyDescent="0.3">
      <c r="A337" t="s">
        <v>7</v>
      </c>
      <c r="B337" s="1">
        <v>44256</v>
      </c>
      <c r="C337" s="2">
        <v>5527</v>
      </c>
      <c r="D337" s="2" t="s">
        <v>3</v>
      </c>
      <c r="E337" s="2">
        <v>4664</v>
      </c>
      <c r="F337" s="2" t="s">
        <v>3</v>
      </c>
      <c r="G337" s="2" t="s">
        <v>3</v>
      </c>
      <c r="H337" s="2">
        <v>863</v>
      </c>
      <c r="I337" s="2">
        <v>6</v>
      </c>
    </row>
    <row r="338" spans="1:9" hidden="1" x14ac:dyDescent="0.3">
      <c r="A338" t="s">
        <v>7</v>
      </c>
      <c r="B338" s="1">
        <v>44228</v>
      </c>
      <c r="C338" s="2">
        <v>5267</v>
      </c>
      <c r="D338" s="2" t="s">
        <v>3</v>
      </c>
      <c r="E338" s="2">
        <v>4410</v>
      </c>
      <c r="F338" s="2" t="s">
        <v>3</v>
      </c>
      <c r="G338" s="2" t="s">
        <v>3</v>
      </c>
      <c r="H338" s="2">
        <v>858</v>
      </c>
      <c r="I338" s="2">
        <v>114</v>
      </c>
    </row>
    <row r="339" spans="1:9" hidden="1" x14ac:dyDescent="0.3">
      <c r="A339" t="s">
        <v>7</v>
      </c>
      <c r="B339" s="1">
        <v>44197</v>
      </c>
      <c r="C339" s="2">
        <v>5713</v>
      </c>
      <c r="D339" s="2" t="s">
        <v>3</v>
      </c>
      <c r="E339" s="2">
        <v>4970</v>
      </c>
      <c r="F339" s="2" t="s">
        <v>3</v>
      </c>
      <c r="G339" s="2" t="s">
        <v>3</v>
      </c>
      <c r="H339" s="2">
        <v>743</v>
      </c>
      <c r="I339" s="2">
        <v>574</v>
      </c>
    </row>
    <row r="340" spans="1:9" hidden="1" x14ac:dyDescent="0.3">
      <c r="A340" t="s">
        <v>7</v>
      </c>
      <c r="B340" s="1">
        <v>44166</v>
      </c>
      <c r="C340" s="2">
        <v>6049</v>
      </c>
      <c r="D340" s="2" t="s">
        <v>3</v>
      </c>
      <c r="E340" s="2">
        <v>5879</v>
      </c>
      <c r="F340" s="2" t="s">
        <v>3</v>
      </c>
      <c r="G340" s="2" t="s">
        <v>3</v>
      </c>
      <c r="H340" s="2">
        <v>169</v>
      </c>
      <c r="I340" s="2">
        <v>-14</v>
      </c>
    </row>
    <row r="341" spans="1:9" hidden="1" x14ac:dyDescent="0.3">
      <c r="A341" t="s">
        <v>7</v>
      </c>
      <c r="B341" s="1">
        <v>44136</v>
      </c>
      <c r="C341" s="2">
        <v>6278</v>
      </c>
      <c r="D341" s="2" t="s">
        <v>3</v>
      </c>
      <c r="E341" s="2">
        <v>6094</v>
      </c>
      <c r="F341" s="2" t="s">
        <v>3</v>
      </c>
      <c r="G341" s="2" t="s">
        <v>3</v>
      </c>
      <c r="H341" s="2">
        <v>184</v>
      </c>
      <c r="I341" s="2">
        <v>-103</v>
      </c>
    </row>
    <row r="342" spans="1:9" hidden="1" x14ac:dyDescent="0.3">
      <c r="A342" t="s">
        <v>7</v>
      </c>
      <c r="B342" s="1">
        <v>44105</v>
      </c>
      <c r="C342" s="2">
        <v>6129</v>
      </c>
      <c r="D342" s="2" t="s">
        <v>3</v>
      </c>
      <c r="E342" s="2">
        <v>5842</v>
      </c>
      <c r="F342" s="2" t="s">
        <v>3</v>
      </c>
      <c r="G342" s="2" t="s">
        <v>3</v>
      </c>
      <c r="H342" s="2">
        <v>287</v>
      </c>
      <c r="I342" s="2">
        <v>77</v>
      </c>
    </row>
    <row r="343" spans="1:9" hidden="1" x14ac:dyDescent="0.3">
      <c r="A343" t="s">
        <v>7</v>
      </c>
      <c r="B343" s="1">
        <v>44075</v>
      </c>
      <c r="C343" s="2">
        <v>5908</v>
      </c>
      <c r="D343" s="2" t="s">
        <v>3</v>
      </c>
      <c r="E343" s="2">
        <v>5697</v>
      </c>
      <c r="F343" s="2" t="s">
        <v>3</v>
      </c>
      <c r="G343" s="2" t="s">
        <v>3</v>
      </c>
      <c r="H343" s="2">
        <v>210</v>
      </c>
      <c r="I343" s="2">
        <v>-31</v>
      </c>
    </row>
    <row r="344" spans="1:9" hidden="1" x14ac:dyDescent="0.3">
      <c r="A344" t="s">
        <v>7</v>
      </c>
      <c r="B344" s="1">
        <v>44044</v>
      </c>
      <c r="C344" s="2">
        <v>5419</v>
      </c>
      <c r="D344" s="2" t="s">
        <v>3</v>
      </c>
      <c r="E344" s="2">
        <v>5177</v>
      </c>
      <c r="F344" s="2" t="s">
        <v>3</v>
      </c>
      <c r="G344" s="2" t="s">
        <v>3</v>
      </c>
      <c r="H344" s="2">
        <v>242</v>
      </c>
      <c r="I344" s="2">
        <v>-103</v>
      </c>
    </row>
    <row r="345" spans="1:9" hidden="1" x14ac:dyDescent="0.3">
      <c r="A345" t="s">
        <v>7</v>
      </c>
      <c r="B345" s="1">
        <v>44013</v>
      </c>
      <c r="C345" s="2">
        <v>5649</v>
      </c>
      <c r="D345" s="2" t="s">
        <v>3</v>
      </c>
      <c r="E345" s="2">
        <v>5304</v>
      </c>
      <c r="F345" s="2" t="s">
        <v>3</v>
      </c>
      <c r="G345" s="2" t="s">
        <v>3</v>
      </c>
      <c r="H345" s="2">
        <v>345</v>
      </c>
      <c r="I345" s="2">
        <v>-145</v>
      </c>
    </row>
    <row r="346" spans="1:9" hidden="1" x14ac:dyDescent="0.3">
      <c r="A346" t="s">
        <v>7</v>
      </c>
      <c r="B346" s="1">
        <v>43983</v>
      </c>
      <c r="C346" s="2">
        <v>5570</v>
      </c>
      <c r="D346" s="2" t="s">
        <v>3</v>
      </c>
      <c r="E346" s="2">
        <v>5081</v>
      </c>
      <c r="F346" s="2" t="s">
        <v>3</v>
      </c>
      <c r="G346" s="2" t="s">
        <v>3</v>
      </c>
      <c r="H346" s="2">
        <v>489</v>
      </c>
      <c r="I346" s="2">
        <v>-55</v>
      </c>
    </row>
    <row r="347" spans="1:9" hidden="1" x14ac:dyDescent="0.3">
      <c r="A347" t="s">
        <v>7</v>
      </c>
      <c r="B347" s="1">
        <v>43952</v>
      </c>
      <c r="C347" s="2">
        <v>5585</v>
      </c>
      <c r="D347" s="2" t="s">
        <v>3</v>
      </c>
      <c r="E347" s="2">
        <v>5041</v>
      </c>
      <c r="F347" s="2" t="s">
        <v>3</v>
      </c>
      <c r="G347" s="2" t="s">
        <v>3</v>
      </c>
      <c r="H347" s="2">
        <v>545</v>
      </c>
      <c r="I347" s="2">
        <v>331</v>
      </c>
    </row>
    <row r="348" spans="1:9" hidden="1" x14ac:dyDescent="0.3">
      <c r="A348" t="s">
        <v>7</v>
      </c>
      <c r="B348" s="1">
        <v>43922</v>
      </c>
      <c r="C348" s="2">
        <v>5445</v>
      </c>
      <c r="D348" s="2" t="s">
        <v>3</v>
      </c>
      <c r="E348" s="2">
        <v>5231</v>
      </c>
      <c r="F348" s="2" t="s">
        <v>3</v>
      </c>
      <c r="G348" s="2" t="s">
        <v>3</v>
      </c>
      <c r="H348" s="2">
        <v>214</v>
      </c>
      <c r="I348" s="2">
        <v>97</v>
      </c>
    </row>
    <row r="349" spans="1:9" hidden="1" x14ac:dyDescent="0.3">
      <c r="A349" t="s">
        <v>7</v>
      </c>
      <c r="B349" s="1">
        <v>43891</v>
      </c>
      <c r="C349" s="2">
        <v>5602</v>
      </c>
      <c r="D349" s="2" t="s">
        <v>3</v>
      </c>
      <c r="E349" s="2">
        <v>5485</v>
      </c>
      <c r="F349" s="2" t="s">
        <v>3</v>
      </c>
      <c r="G349" s="2" t="s">
        <v>3</v>
      </c>
      <c r="H349" s="2">
        <v>117</v>
      </c>
      <c r="I349" s="2">
        <v>9</v>
      </c>
    </row>
    <row r="350" spans="1:9" hidden="1" x14ac:dyDescent="0.3">
      <c r="A350" t="s">
        <v>7</v>
      </c>
      <c r="B350" s="1">
        <v>43862</v>
      </c>
      <c r="C350" s="2">
        <v>6130</v>
      </c>
      <c r="D350" s="2" t="s">
        <v>3</v>
      </c>
      <c r="E350" s="2">
        <v>6022</v>
      </c>
      <c r="F350" s="2" t="s">
        <v>3</v>
      </c>
      <c r="G350" s="2" t="s">
        <v>3</v>
      </c>
      <c r="H350" s="2">
        <v>108</v>
      </c>
      <c r="I350" s="2">
        <v>8</v>
      </c>
    </row>
    <row r="351" spans="1:9" hidden="1" x14ac:dyDescent="0.3">
      <c r="A351" t="s">
        <v>7</v>
      </c>
      <c r="B351" s="1">
        <v>43831</v>
      </c>
      <c r="C351" s="2">
        <v>6185</v>
      </c>
      <c r="D351" s="2" t="s">
        <v>3</v>
      </c>
      <c r="E351" s="2">
        <v>6086</v>
      </c>
      <c r="F351" s="2" t="s">
        <v>3</v>
      </c>
      <c r="G351" s="2" t="s">
        <v>3</v>
      </c>
      <c r="H351" s="2">
        <v>99</v>
      </c>
      <c r="I351" s="2">
        <v>-61</v>
      </c>
    </row>
    <row r="352" spans="1:9" x14ac:dyDescent="0.3">
      <c r="A352" t="s">
        <v>8</v>
      </c>
      <c r="B352" s="1">
        <v>45931</v>
      </c>
      <c r="C352" s="2">
        <v>390242</v>
      </c>
      <c r="D352" s="2">
        <v>17408</v>
      </c>
      <c r="E352" s="2">
        <v>369453</v>
      </c>
      <c r="F352" s="2">
        <v>14365</v>
      </c>
      <c r="G352" s="2">
        <v>-3219</v>
      </c>
      <c r="H352" s="2">
        <v>20789</v>
      </c>
      <c r="I352" s="2">
        <v>3043</v>
      </c>
    </row>
    <row r="353" spans="1:9" x14ac:dyDescent="0.3">
      <c r="A353" t="s">
        <v>8</v>
      </c>
      <c r="B353" s="1">
        <v>45901</v>
      </c>
      <c r="C353" s="2">
        <v>376409</v>
      </c>
      <c r="D353" s="2">
        <v>-11828</v>
      </c>
      <c r="E353" s="2">
        <v>358662</v>
      </c>
      <c r="F353" s="2">
        <v>-10072</v>
      </c>
      <c r="G353" s="2">
        <v>4398</v>
      </c>
      <c r="H353" s="2">
        <v>17746</v>
      </c>
      <c r="I353" s="2">
        <v>-1756</v>
      </c>
    </row>
    <row r="354" spans="1:9" x14ac:dyDescent="0.3">
      <c r="A354" t="s">
        <v>8</v>
      </c>
      <c r="B354" s="1">
        <v>45870</v>
      </c>
      <c r="C354" s="2">
        <v>390241</v>
      </c>
      <c r="D354" s="2">
        <v>3665</v>
      </c>
      <c r="E354" s="2">
        <v>370738</v>
      </c>
      <c r="F354" s="2">
        <v>4627</v>
      </c>
      <c r="G354" s="2">
        <v>748</v>
      </c>
      <c r="H354" s="2">
        <v>19503</v>
      </c>
      <c r="I354" s="2">
        <v>-962</v>
      </c>
    </row>
    <row r="355" spans="1:9" x14ac:dyDescent="0.3">
      <c r="A355" t="s">
        <v>8</v>
      </c>
      <c r="B355" s="1">
        <v>45839</v>
      </c>
      <c r="C355" s="2">
        <v>391993</v>
      </c>
      <c r="D355" s="2">
        <v>18642</v>
      </c>
      <c r="E355" s="2">
        <v>371528</v>
      </c>
      <c r="F355" s="2">
        <v>16308</v>
      </c>
      <c r="G355" s="2">
        <v>-472</v>
      </c>
      <c r="H355" s="2">
        <v>20464</v>
      </c>
      <c r="I355" s="2">
        <v>2334</v>
      </c>
    </row>
    <row r="356" spans="1:9" x14ac:dyDescent="0.3">
      <c r="A356" t="s">
        <v>8</v>
      </c>
      <c r="B356" s="1">
        <v>45809</v>
      </c>
      <c r="C356" s="2">
        <v>374781</v>
      </c>
      <c r="D356" s="2">
        <v>6947</v>
      </c>
      <c r="E356" s="2">
        <v>356650</v>
      </c>
      <c r="F356" s="2">
        <v>11498</v>
      </c>
      <c r="G356" s="2">
        <v>-6650</v>
      </c>
      <c r="H356" s="2">
        <v>18131</v>
      </c>
      <c r="I356" s="2">
        <v>-4550</v>
      </c>
    </row>
    <row r="357" spans="1:9" x14ac:dyDescent="0.3">
      <c r="A357" t="s">
        <v>8</v>
      </c>
      <c r="B357" s="1">
        <v>45778</v>
      </c>
      <c r="C357" s="2">
        <v>375103</v>
      </c>
      <c r="D357" s="2">
        <v>9621</v>
      </c>
      <c r="E357" s="2">
        <v>352422</v>
      </c>
      <c r="F357" s="2">
        <v>9766</v>
      </c>
      <c r="G357" s="2">
        <v>715</v>
      </c>
      <c r="H357" s="2">
        <v>22681</v>
      </c>
      <c r="I357" s="2">
        <v>-145</v>
      </c>
    </row>
    <row r="358" spans="1:9" x14ac:dyDescent="0.3">
      <c r="A358" t="s">
        <v>8</v>
      </c>
      <c r="B358" s="1">
        <v>45748</v>
      </c>
      <c r="C358" s="2">
        <v>360557</v>
      </c>
      <c r="D358" s="2">
        <v>3679</v>
      </c>
      <c r="E358" s="2">
        <v>337731</v>
      </c>
      <c r="F358" s="2">
        <v>-1994</v>
      </c>
      <c r="G358" s="2">
        <v>4010</v>
      </c>
      <c r="H358" s="2">
        <v>22826</v>
      </c>
      <c r="I358" s="2">
        <v>5673</v>
      </c>
    </row>
    <row r="359" spans="1:9" x14ac:dyDescent="0.3">
      <c r="A359" t="s">
        <v>8</v>
      </c>
      <c r="B359" s="1">
        <v>45717</v>
      </c>
      <c r="C359" s="2">
        <v>363055</v>
      </c>
      <c r="D359" s="2">
        <v>11346</v>
      </c>
      <c r="E359" s="2">
        <v>345902</v>
      </c>
      <c r="F359" s="2">
        <v>15931</v>
      </c>
      <c r="G359" s="2">
        <v>-6189</v>
      </c>
      <c r="H359" s="2">
        <v>17153</v>
      </c>
      <c r="I359" s="2">
        <v>-4585</v>
      </c>
    </row>
    <row r="360" spans="1:9" x14ac:dyDescent="0.3">
      <c r="A360" t="s">
        <v>8</v>
      </c>
      <c r="B360" s="1">
        <v>45689</v>
      </c>
      <c r="C360" s="2">
        <v>354029</v>
      </c>
      <c r="D360" s="2">
        <v>6908</v>
      </c>
      <c r="E360" s="2">
        <v>332291</v>
      </c>
      <c r="F360" s="2">
        <v>1424</v>
      </c>
      <c r="G360" s="2">
        <v>5585</v>
      </c>
      <c r="H360" s="2">
        <v>21738</v>
      </c>
      <c r="I360" s="2">
        <v>5484</v>
      </c>
    </row>
    <row r="361" spans="1:9" x14ac:dyDescent="0.3">
      <c r="A361" t="s">
        <v>8</v>
      </c>
      <c r="B361" s="1">
        <v>45658</v>
      </c>
      <c r="C361" s="2">
        <v>335391</v>
      </c>
      <c r="D361" s="2">
        <v>-8643</v>
      </c>
      <c r="E361" s="2">
        <v>319137</v>
      </c>
      <c r="F361" s="2">
        <v>-8411</v>
      </c>
      <c r="G361" s="2">
        <v>7842</v>
      </c>
      <c r="H361" s="2">
        <v>16254</v>
      </c>
      <c r="I361" s="2">
        <v>-231</v>
      </c>
    </row>
    <row r="362" spans="1:9" x14ac:dyDescent="0.3">
      <c r="A362" t="s">
        <v>8</v>
      </c>
      <c r="B362" s="1">
        <v>45627</v>
      </c>
      <c r="C362" s="2">
        <v>332299</v>
      </c>
      <c r="D362" s="2">
        <v>3624</v>
      </c>
      <c r="E362" s="2">
        <v>315814</v>
      </c>
      <c r="F362" s="2">
        <v>11740</v>
      </c>
      <c r="G362" s="2">
        <v>-1661</v>
      </c>
      <c r="H362" s="2">
        <v>16485</v>
      </c>
      <c r="I362" s="2">
        <v>-8115</v>
      </c>
    </row>
    <row r="363" spans="1:9" x14ac:dyDescent="0.3">
      <c r="A363" t="s">
        <v>8</v>
      </c>
      <c r="B363" s="1">
        <v>45597</v>
      </c>
      <c r="C363" s="2">
        <v>332490</v>
      </c>
      <c r="D363" s="2">
        <v>9956</v>
      </c>
      <c r="E363" s="2">
        <v>307890</v>
      </c>
      <c r="F363" s="2">
        <v>4057</v>
      </c>
      <c r="G363" s="2">
        <v>-378</v>
      </c>
      <c r="H363" s="2">
        <v>24601</v>
      </c>
      <c r="I363" s="2">
        <v>5899</v>
      </c>
    </row>
    <row r="364" spans="1:9" x14ac:dyDescent="0.3">
      <c r="A364" t="s">
        <v>8</v>
      </c>
      <c r="B364" s="1">
        <v>45566</v>
      </c>
      <c r="C364" s="2">
        <v>330148</v>
      </c>
      <c r="D364" s="2">
        <v>7781</v>
      </c>
      <c r="E364" s="2">
        <v>311447</v>
      </c>
      <c r="F364" s="2">
        <v>5726</v>
      </c>
      <c r="G364" s="2">
        <v>-3885</v>
      </c>
      <c r="H364" s="2">
        <v>18701</v>
      </c>
      <c r="I364" s="2">
        <v>2054</v>
      </c>
    </row>
    <row r="365" spans="1:9" x14ac:dyDescent="0.3">
      <c r="A365" t="s">
        <v>8</v>
      </c>
      <c r="B365" s="1">
        <v>45536</v>
      </c>
      <c r="C365" s="2">
        <v>328932</v>
      </c>
      <c r="D365" s="2">
        <v>9532</v>
      </c>
      <c r="E365" s="2">
        <v>312285</v>
      </c>
      <c r="F365" s="2">
        <v>11752</v>
      </c>
      <c r="G365" s="2">
        <v>170</v>
      </c>
      <c r="H365" s="2">
        <v>16647</v>
      </c>
      <c r="I365" s="2">
        <v>-2220</v>
      </c>
    </row>
    <row r="366" spans="1:9" x14ac:dyDescent="0.3">
      <c r="A366" t="s">
        <v>8</v>
      </c>
      <c r="B366" s="1">
        <v>45505</v>
      </c>
      <c r="C366" s="2">
        <v>312484</v>
      </c>
      <c r="D366" s="2">
        <v>12627</v>
      </c>
      <c r="E366" s="2">
        <v>293618</v>
      </c>
      <c r="F366" s="2">
        <v>13823</v>
      </c>
      <c r="G366" s="2">
        <v>3014</v>
      </c>
      <c r="H366" s="2">
        <v>18867</v>
      </c>
      <c r="I366" s="2">
        <v>-1196</v>
      </c>
    </row>
    <row r="367" spans="1:9" x14ac:dyDescent="0.3">
      <c r="A367" t="s">
        <v>8</v>
      </c>
      <c r="B367" s="1">
        <v>45474</v>
      </c>
      <c r="C367" s="2">
        <v>291120</v>
      </c>
      <c r="D367" s="2">
        <v>-6890</v>
      </c>
      <c r="E367" s="2">
        <v>271058</v>
      </c>
      <c r="F367" s="2">
        <v>-9279</v>
      </c>
      <c r="G367" s="2">
        <v>1064</v>
      </c>
      <c r="H367" s="2">
        <v>20063</v>
      </c>
      <c r="I367" s="2">
        <v>2389</v>
      </c>
    </row>
    <row r="368" spans="1:9" x14ac:dyDescent="0.3">
      <c r="A368" t="s">
        <v>8</v>
      </c>
      <c r="B368" s="1">
        <v>45444</v>
      </c>
      <c r="C368" s="2">
        <v>305385</v>
      </c>
      <c r="D368" s="2">
        <v>12941</v>
      </c>
      <c r="E368" s="2">
        <v>287711</v>
      </c>
      <c r="F368" s="2">
        <v>18451</v>
      </c>
      <c r="G368" s="2">
        <v>970</v>
      </c>
      <c r="H368" s="2">
        <v>17674</v>
      </c>
      <c r="I368" s="2">
        <v>-5510</v>
      </c>
    </row>
    <row r="369" spans="1:9" x14ac:dyDescent="0.3">
      <c r="A369" t="s">
        <v>8</v>
      </c>
      <c r="B369" s="1">
        <v>45413</v>
      </c>
      <c r="C369" s="2">
        <v>283023</v>
      </c>
      <c r="D369" s="2">
        <v>3229</v>
      </c>
      <c r="E369" s="2">
        <v>259839</v>
      </c>
      <c r="F369" s="2">
        <v>5361</v>
      </c>
      <c r="G369" s="2">
        <v>1524</v>
      </c>
      <c r="H369" s="2">
        <v>23184</v>
      </c>
      <c r="I369" s="2">
        <v>-2132</v>
      </c>
    </row>
    <row r="370" spans="1:9" x14ac:dyDescent="0.3">
      <c r="A370" t="s">
        <v>8</v>
      </c>
      <c r="B370" s="1">
        <v>45383</v>
      </c>
      <c r="C370" s="2">
        <v>276614</v>
      </c>
      <c r="D370" s="2">
        <v>7669</v>
      </c>
      <c r="E370" s="2">
        <v>251298</v>
      </c>
      <c r="F370" s="2">
        <v>1470</v>
      </c>
      <c r="G370" s="2">
        <v>-2018</v>
      </c>
      <c r="H370" s="2">
        <v>25316</v>
      </c>
      <c r="I370" s="2">
        <v>6199</v>
      </c>
    </row>
    <row r="371" spans="1:9" x14ac:dyDescent="0.3">
      <c r="A371" t="s">
        <v>8</v>
      </c>
      <c r="B371" s="1">
        <v>45352</v>
      </c>
      <c r="C371" s="2">
        <v>271899</v>
      </c>
      <c r="D371" s="2">
        <v>-5115</v>
      </c>
      <c r="E371" s="2">
        <v>252782</v>
      </c>
      <c r="F371" s="2">
        <v>-2666</v>
      </c>
      <c r="G371" s="2">
        <v>-44</v>
      </c>
      <c r="H371" s="2">
        <v>19117</v>
      </c>
      <c r="I371" s="2">
        <v>-2449</v>
      </c>
    </row>
    <row r="372" spans="1:9" x14ac:dyDescent="0.3">
      <c r="A372" t="s">
        <v>8</v>
      </c>
      <c r="B372" s="1">
        <v>45323</v>
      </c>
      <c r="C372" s="2">
        <v>271008</v>
      </c>
      <c r="D372" s="2">
        <v>15394</v>
      </c>
      <c r="E372" s="2">
        <v>249442</v>
      </c>
      <c r="F372" s="2">
        <v>10436</v>
      </c>
      <c r="G372" s="2">
        <v>345</v>
      </c>
      <c r="H372" s="2">
        <v>21566</v>
      </c>
      <c r="I372" s="2">
        <v>4959</v>
      </c>
    </row>
    <row r="373" spans="1:9" x14ac:dyDescent="0.3">
      <c r="A373" t="s">
        <v>8</v>
      </c>
      <c r="B373" s="1">
        <v>45292</v>
      </c>
      <c r="C373" s="2">
        <v>256358</v>
      </c>
      <c r="D373" s="2">
        <v>15157</v>
      </c>
      <c r="E373" s="2">
        <v>239751</v>
      </c>
      <c r="F373" s="2">
        <v>16499</v>
      </c>
      <c r="G373" s="2">
        <v>-162</v>
      </c>
      <c r="H373" s="2">
        <v>16608</v>
      </c>
      <c r="I373" s="2">
        <v>-1342</v>
      </c>
    </row>
    <row r="374" spans="1:9" x14ac:dyDescent="0.3">
      <c r="A374" t="s">
        <v>8</v>
      </c>
      <c r="B374" s="1">
        <v>45261</v>
      </c>
      <c r="C374" s="2">
        <v>236652</v>
      </c>
      <c r="D374" s="2">
        <v>-6132</v>
      </c>
      <c r="E374" s="2">
        <v>218703</v>
      </c>
      <c r="F374" s="2">
        <v>-5164</v>
      </c>
      <c r="G374" s="2">
        <v>1397</v>
      </c>
      <c r="H374" s="2">
        <v>17950</v>
      </c>
      <c r="I374" s="2">
        <v>-968</v>
      </c>
    </row>
    <row r="375" spans="1:9" x14ac:dyDescent="0.3">
      <c r="A375" t="s">
        <v>8</v>
      </c>
      <c r="B375" s="1">
        <v>45231</v>
      </c>
      <c r="C375" s="2">
        <v>244669</v>
      </c>
      <c r="D375" s="2">
        <v>42905</v>
      </c>
      <c r="E375" s="2">
        <v>225752</v>
      </c>
      <c r="F375" s="2">
        <v>45063</v>
      </c>
      <c r="G375" s="2">
        <v>1971</v>
      </c>
      <c r="H375" s="2">
        <v>18917</v>
      </c>
      <c r="I375" s="2">
        <v>-2158</v>
      </c>
    </row>
    <row r="376" spans="1:9" x14ac:dyDescent="0.3">
      <c r="A376" t="s">
        <v>8</v>
      </c>
      <c r="B376" s="1">
        <v>45200</v>
      </c>
      <c r="C376" s="2">
        <v>222420</v>
      </c>
      <c r="D376" s="2">
        <v>6475</v>
      </c>
      <c r="E376" s="2">
        <v>201345</v>
      </c>
      <c r="F376" s="2">
        <v>9691</v>
      </c>
      <c r="G376" s="2">
        <v>93</v>
      </c>
      <c r="H376" s="2">
        <v>21075</v>
      </c>
      <c r="I376" s="2">
        <v>-3217</v>
      </c>
    </row>
    <row r="377" spans="1:9" x14ac:dyDescent="0.3">
      <c r="A377" t="s">
        <v>8</v>
      </c>
      <c r="B377" s="1">
        <v>45170</v>
      </c>
      <c r="C377" s="2">
        <v>215634</v>
      </c>
      <c r="D377" s="2">
        <v>4373</v>
      </c>
      <c r="E377" s="2">
        <v>191343</v>
      </c>
      <c r="F377" s="2">
        <v>340</v>
      </c>
      <c r="G377" s="2">
        <v>-7065</v>
      </c>
      <c r="H377" s="2">
        <v>24292</v>
      </c>
      <c r="I377" s="2">
        <v>4032</v>
      </c>
    </row>
    <row r="378" spans="1:9" x14ac:dyDescent="0.3">
      <c r="A378" t="s">
        <v>8</v>
      </c>
      <c r="B378" s="1">
        <v>45139</v>
      </c>
      <c r="C378" s="2">
        <v>217340</v>
      </c>
      <c r="D378" s="2">
        <v>-7667</v>
      </c>
      <c r="E378" s="2">
        <v>197080</v>
      </c>
      <c r="F378" s="2">
        <v>-5084</v>
      </c>
      <c r="G378" s="2">
        <v>3964</v>
      </c>
      <c r="H378" s="2">
        <v>20259</v>
      </c>
      <c r="I378" s="2">
        <v>-2583</v>
      </c>
    </row>
    <row r="379" spans="1:9" x14ac:dyDescent="0.3">
      <c r="A379" t="s">
        <v>8</v>
      </c>
      <c r="B379" s="1">
        <v>45108</v>
      </c>
      <c r="C379" s="2">
        <v>219270</v>
      </c>
      <c r="D379" s="2">
        <v>6924</v>
      </c>
      <c r="E379" s="2">
        <v>196428</v>
      </c>
      <c r="F379" s="2">
        <v>3330</v>
      </c>
      <c r="G379" s="2">
        <v>-1308</v>
      </c>
      <c r="H379" s="2">
        <v>22842</v>
      </c>
      <c r="I379" s="2">
        <v>3594</v>
      </c>
    </row>
    <row r="380" spans="1:9" x14ac:dyDescent="0.3">
      <c r="A380" t="s">
        <v>8</v>
      </c>
      <c r="B380" s="1">
        <v>45078</v>
      </c>
      <c r="C380" s="2">
        <v>207805</v>
      </c>
      <c r="D380" s="2">
        <v>24788</v>
      </c>
      <c r="E380" s="2">
        <v>188557</v>
      </c>
      <c r="F380" s="2">
        <v>39496</v>
      </c>
      <c r="G380" s="2">
        <v>243</v>
      </c>
      <c r="H380" s="2">
        <v>19249</v>
      </c>
      <c r="I380" s="2">
        <v>-14708</v>
      </c>
    </row>
    <row r="381" spans="1:9" x14ac:dyDescent="0.3">
      <c r="A381" t="s">
        <v>8</v>
      </c>
      <c r="B381" s="1">
        <v>45047</v>
      </c>
      <c r="C381" s="2">
        <v>201957</v>
      </c>
      <c r="D381" s="2">
        <v>6418</v>
      </c>
      <c r="E381" s="2">
        <v>168001</v>
      </c>
      <c r="F381" s="2">
        <v>-9043</v>
      </c>
      <c r="G381" s="2">
        <v>-701</v>
      </c>
      <c r="H381" s="2">
        <v>33956</v>
      </c>
      <c r="I381" s="2">
        <v>15461</v>
      </c>
    </row>
    <row r="382" spans="1:9" x14ac:dyDescent="0.3">
      <c r="A382" t="s">
        <v>8</v>
      </c>
      <c r="B382" s="1">
        <v>45017</v>
      </c>
      <c r="C382" s="2">
        <v>187228</v>
      </c>
      <c r="D382" s="2">
        <v>26910</v>
      </c>
      <c r="E382" s="2">
        <v>168733</v>
      </c>
      <c r="F382" s="2">
        <v>27024</v>
      </c>
      <c r="G382" s="2">
        <v>-178</v>
      </c>
      <c r="H382" s="2">
        <v>18495</v>
      </c>
      <c r="I382" s="2">
        <v>-114</v>
      </c>
    </row>
    <row r="383" spans="1:9" x14ac:dyDescent="0.3">
      <c r="A383" t="s">
        <v>8</v>
      </c>
      <c r="B383" s="1">
        <v>44986</v>
      </c>
      <c r="C383" s="2">
        <v>173862</v>
      </c>
      <c r="D383" s="2">
        <v>6486</v>
      </c>
      <c r="E383" s="2">
        <v>155253</v>
      </c>
      <c r="F383" s="2">
        <v>6574</v>
      </c>
      <c r="G383" s="2">
        <v>390</v>
      </c>
      <c r="H383" s="2">
        <v>18609</v>
      </c>
      <c r="I383" s="2">
        <v>-88</v>
      </c>
    </row>
    <row r="384" spans="1:9" x14ac:dyDescent="0.3">
      <c r="A384" t="s">
        <v>8</v>
      </c>
      <c r="B384" s="1">
        <v>44958</v>
      </c>
      <c r="C384" s="2">
        <v>171148</v>
      </c>
      <c r="D384" s="2">
        <v>-7861</v>
      </c>
      <c r="E384" s="2">
        <v>152451</v>
      </c>
      <c r="F384" s="2">
        <v>-12238</v>
      </c>
      <c r="G384" s="2">
        <v>566</v>
      </c>
      <c r="H384" s="2">
        <v>18697</v>
      </c>
      <c r="I384" s="2">
        <v>4377</v>
      </c>
    </row>
    <row r="385" spans="1:9" hidden="1" x14ac:dyDescent="0.3">
      <c r="A385" t="s">
        <v>8</v>
      </c>
      <c r="B385" s="1">
        <v>44927</v>
      </c>
      <c r="C385" s="2">
        <v>178377</v>
      </c>
      <c r="D385" s="2" t="s">
        <v>3</v>
      </c>
      <c r="E385" s="2">
        <v>164057</v>
      </c>
      <c r="F385" s="2" t="s">
        <v>3</v>
      </c>
      <c r="G385" s="2" t="s">
        <v>3</v>
      </c>
      <c r="H385" s="2">
        <v>14320</v>
      </c>
      <c r="I385" s="2">
        <v>-690</v>
      </c>
    </row>
    <row r="386" spans="1:9" hidden="1" x14ac:dyDescent="0.3">
      <c r="A386" t="s">
        <v>8</v>
      </c>
      <c r="B386" s="1">
        <v>44896</v>
      </c>
      <c r="C386" s="2">
        <v>180295</v>
      </c>
      <c r="D386" s="2" t="s">
        <v>3</v>
      </c>
      <c r="E386" s="2">
        <v>165284</v>
      </c>
      <c r="F386" s="2" t="s">
        <v>3</v>
      </c>
      <c r="G386" s="2" t="s">
        <v>3</v>
      </c>
      <c r="H386" s="2">
        <v>15011</v>
      </c>
      <c r="I386" s="2">
        <v>-1274</v>
      </c>
    </row>
    <row r="387" spans="1:9" hidden="1" x14ac:dyDescent="0.3">
      <c r="A387" t="s">
        <v>8</v>
      </c>
      <c r="B387" s="1">
        <v>44866</v>
      </c>
      <c r="C387" s="2">
        <v>194736</v>
      </c>
      <c r="D387" s="2" t="s">
        <v>3</v>
      </c>
      <c r="E387" s="2">
        <v>178452</v>
      </c>
      <c r="F387" s="2" t="s">
        <v>3</v>
      </c>
      <c r="G387" s="2" t="s">
        <v>3</v>
      </c>
      <c r="H387" s="2">
        <v>16284</v>
      </c>
      <c r="I387" s="2">
        <v>353</v>
      </c>
    </row>
    <row r="388" spans="1:9" hidden="1" x14ac:dyDescent="0.3">
      <c r="A388" t="s">
        <v>8</v>
      </c>
      <c r="B388" s="1">
        <v>44835</v>
      </c>
      <c r="C388" s="2">
        <v>217399</v>
      </c>
      <c r="D388" s="2" t="s">
        <v>3</v>
      </c>
      <c r="E388" s="2">
        <v>201467</v>
      </c>
      <c r="F388" s="2" t="s">
        <v>3</v>
      </c>
      <c r="G388" s="2" t="s">
        <v>3</v>
      </c>
      <c r="H388" s="2">
        <v>15932</v>
      </c>
      <c r="I388" s="2">
        <v>901</v>
      </c>
    </row>
    <row r="389" spans="1:9" hidden="1" x14ac:dyDescent="0.3">
      <c r="A389" t="s">
        <v>8</v>
      </c>
      <c r="B389" s="1">
        <v>44805</v>
      </c>
      <c r="C389" s="2">
        <v>206734</v>
      </c>
      <c r="D389" s="2" t="s">
        <v>3</v>
      </c>
      <c r="E389" s="2">
        <v>191703</v>
      </c>
      <c r="F389" s="2" t="s">
        <v>3</v>
      </c>
      <c r="G389" s="2" t="s">
        <v>3</v>
      </c>
      <c r="H389" s="2">
        <v>15031</v>
      </c>
      <c r="I389" s="2">
        <v>-5568</v>
      </c>
    </row>
    <row r="390" spans="1:9" hidden="1" x14ac:dyDescent="0.3">
      <c r="A390" t="s">
        <v>8</v>
      </c>
      <c r="B390" s="1">
        <v>44774</v>
      </c>
      <c r="C390" s="2">
        <v>232740</v>
      </c>
      <c r="D390" s="2" t="s">
        <v>3</v>
      </c>
      <c r="E390" s="2">
        <v>212141</v>
      </c>
      <c r="F390" s="2" t="s">
        <v>3</v>
      </c>
      <c r="G390" s="2" t="s">
        <v>3</v>
      </c>
      <c r="H390" s="2">
        <v>20599</v>
      </c>
      <c r="I390" s="2">
        <v>999</v>
      </c>
    </row>
    <row r="391" spans="1:9" hidden="1" x14ac:dyDescent="0.3">
      <c r="A391" t="s">
        <v>8</v>
      </c>
      <c r="B391" s="1">
        <v>44743</v>
      </c>
      <c r="C391" s="2">
        <v>231848</v>
      </c>
      <c r="D391" s="2" t="s">
        <v>3</v>
      </c>
      <c r="E391" s="2">
        <v>212248</v>
      </c>
      <c r="F391" s="2" t="s">
        <v>3</v>
      </c>
      <c r="G391" s="2" t="s">
        <v>3</v>
      </c>
      <c r="H391" s="2">
        <v>19600</v>
      </c>
      <c r="I391" s="2">
        <v>2483</v>
      </c>
    </row>
    <row r="392" spans="1:9" hidden="1" x14ac:dyDescent="0.3">
      <c r="A392" t="s">
        <v>8</v>
      </c>
      <c r="B392" s="1">
        <v>44713</v>
      </c>
      <c r="C392" s="2">
        <v>236276</v>
      </c>
      <c r="D392" s="2" t="s">
        <v>3</v>
      </c>
      <c r="E392" s="2">
        <v>219159</v>
      </c>
      <c r="F392" s="2" t="s">
        <v>3</v>
      </c>
      <c r="G392" s="2" t="s">
        <v>3</v>
      </c>
      <c r="H392" s="2">
        <v>17117</v>
      </c>
      <c r="I392" s="2">
        <v>-2031</v>
      </c>
    </row>
    <row r="393" spans="1:9" hidden="1" x14ac:dyDescent="0.3">
      <c r="A393" t="s">
        <v>8</v>
      </c>
      <c r="B393" s="1">
        <v>44682</v>
      </c>
      <c r="C393" s="2">
        <v>242544</v>
      </c>
      <c r="D393" s="2" t="s">
        <v>3</v>
      </c>
      <c r="E393" s="2">
        <v>223396</v>
      </c>
      <c r="F393" s="2" t="s">
        <v>3</v>
      </c>
      <c r="G393" s="2" t="s">
        <v>3</v>
      </c>
      <c r="H393" s="2">
        <v>19148</v>
      </c>
      <c r="I393" s="2">
        <v>-2392</v>
      </c>
    </row>
    <row r="394" spans="1:9" hidden="1" x14ac:dyDescent="0.3">
      <c r="A394" t="s">
        <v>8</v>
      </c>
      <c r="B394" s="1">
        <v>44652</v>
      </c>
      <c r="C394" s="2">
        <v>242872</v>
      </c>
      <c r="D394" s="2" t="s">
        <v>3</v>
      </c>
      <c r="E394" s="2">
        <v>221332</v>
      </c>
      <c r="F394" s="2" t="s">
        <v>3</v>
      </c>
      <c r="G394" s="2" t="s">
        <v>3</v>
      </c>
      <c r="H394" s="2">
        <v>21540</v>
      </c>
      <c r="I394" s="2">
        <v>-1274</v>
      </c>
    </row>
    <row r="395" spans="1:9" hidden="1" x14ac:dyDescent="0.3">
      <c r="A395" t="s">
        <v>8</v>
      </c>
      <c r="B395" s="1">
        <v>44621</v>
      </c>
      <c r="C395" s="2">
        <v>246039</v>
      </c>
      <c r="D395" s="2" t="s">
        <v>3</v>
      </c>
      <c r="E395" s="2">
        <v>223225</v>
      </c>
      <c r="F395" s="2" t="s">
        <v>3</v>
      </c>
      <c r="G395" s="2" t="s">
        <v>3</v>
      </c>
      <c r="H395" s="2">
        <v>22814</v>
      </c>
      <c r="I395" s="2">
        <v>-2375</v>
      </c>
    </row>
    <row r="396" spans="1:9" hidden="1" x14ac:dyDescent="0.3">
      <c r="A396" t="s">
        <v>8</v>
      </c>
      <c r="B396" s="1">
        <v>44593</v>
      </c>
      <c r="C396" s="2">
        <v>238700</v>
      </c>
      <c r="D396" s="2" t="s">
        <v>3</v>
      </c>
      <c r="E396" s="2">
        <v>213510</v>
      </c>
      <c r="F396" s="2" t="s">
        <v>3</v>
      </c>
      <c r="G396" s="2" t="s">
        <v>3</v>
      </c>
      <c r="H396" s="2">
        <v>25190</v>
      </c>
      <c r="I396" s="2">
        <v>6333</v>
      </c>
    </row>
    <row r="397" spans="1:9" hidden="1" x14ac:dyDescent="0.3">
      <c r="A397" t="s">
        <v>8</v>
      </c>
      <c r="B397" s="1">
        <v>44562</v>
      </c>
      <c r="C397" s="2">
        <v>232932</v>
      </c>
      <c r="D397" s="2" t="s">
        <v>3</v>
      </c>
      <c r="E397" s="2">
        <v>214075</v>
      </c>
      <c r="F397" s="2" t="s">
        <v>3</v>
      </c>
      <c r="G397" s="2" t="s">
        <v>3</v>
      </c>
      <c r="H397" s="2">
        <v>18856</v>
      </c>
      <c r="I397" s="2">
        <v>3142</v>
      </c>
    </row>
    <row r="398" spans="1:9" hidden="1" x14ac:dyDescent="0.3">
      <c r="A398" t="s">
        <v>8</v>
      </c>
      <c r="B398" s="1">
        <v>44531</v>
      </c>
      <c r="C398" s="2">
        <v>223922</v>
      </c>
      <c r="D398" s="2" t="s">
        <v>3</v>
      </c>
      <c r="E398" s="2">
        <v>208207</v>
      </c>
      <c r="F398" s="2" t="s">
        <v>3</v>
      </c>
      <c r="G398" s="2" t="s">
        <v>3</v>
      </c>
      <c r="H398" s="2">
        <v>15715</v>
      </c>
      <c r="I398" s="2">
        <v>-2902</v>
      </c>
    </row>
    <row r="399" spans="1:9" hidden="1" x14ac:dyDescent="0.3">
      <c r="A399" t="s">
        <v>8</v>
      </c>
      <c r="B399" s="1">
        <v>44501</v>
      </c>
      <c r="C399" s="2">
        <v>227289</v>
      </c>
      <c r="D399" s="2" t="s">
        <v>3</v>
      </c>
      <c r="E399" s="2">
        <v>208672</v>
      </c>
      <c r="F399" s="2" t="s">
        <v>3</v>
      </c>
      <c r="G399" s="2" t="s">
        <v>3</v>
      </c>
      <c r="H399" s="2">
        <v>18617</v>
      </c>
      <c r="I399" s="2">
        <v>-3069</v>
      </c>
    </row>
    <row r="400" spans="1:9" hidden="1" x14ac:dyDescent="0.3">
      <c r="A400" t="s">
        <v>8</v>
      </c>
      <c r="B400" s="1">
        <v>44470</v>
      </c>
      <c r="C400" s="2">
        <v>239722</v>
      </c>
      <c r="D400" s="2" t="s">
        <v>3</v>
      </c>
      <c r="E400" s="2">
        <v>218035</v>
      </c>
      <c r="F400" s="2" t="s">
        <v>3</v>
      </c>
      <c r="G400" s="2" t="s">
        <v>3</v>
      </c>
      <c r="H400" s="2">
        <v>21686</v>
      </c>
      <c r="I400" s="2">
        <v>6011</v>
      </c>
    </row>
    <row r="401" spans="1:9" hidden="1" x14ac:dyDescent="0.3">
      <c r="A401" t="s">
        <v>8</v>
      </c>
      <c r="B401" s="1">
        <v>44440</v>
      </c>
      <c r="C401" s="2">
        <v>241961</v>
      </c>
      <c r="D401" s="2" t="s">
        <v>3</v>
      </c>
      <c r="E401" s="2">
        <v>226286</v>
      </c>
      <c r="F401" s="2" t="s">
        <v>3</v>
      </c>
      <c r="G401" s="2" t="s">
        <v>3</v>
      </c>
      <c r="H401" s="2">
        <v>15675</v>
      </c>
      <c r="I401" s="2">
        <v>-6679</v>
      </c>
    </row>
    <row r="402" spans="1:9" hidden="1" x14ac:dyDescent="0.3">
      <c r="A402" t="s">
        <v>8</v>
      </c>
      <c r="B402" s="1">
        <v>44409</v>
      </c>
      <c r="C402" s="2">
        <v>238054</v>
      </c>
      <c r="D402" s="2" t="s">
        <v>3</v>
      </c>
      <c r="E402" s="2">
        <v>215700</v>
      </c>
      <c r="F402" s="2" t="s">
        <v>3</v>
      </c>
      <c r="G402" s="2" t="s">
        <v>3</v>
      </c>
      <c r="H402" s="2">
        <v>22354</v>
      </c>
      <c r="I402" s="2">
        <v>-2618</v>
      </c>
    </row>
    <row r="403" spans="1:9" hidden="1" x14ac:dyDescent="0.3">
      <c r="A403" t="s">
        <v>8</v>
      </c>
      <c r="B403" s="1">
        <v>44378</v>
      </c>
      <c r="C403" s="2">
        <v>235941</v>
      </c>
      <c r="D403" s="2" t="s">
        <v>3</v>
      </c>
      <c r="E403" s="2">
        <v>210969</v>
      </c>
      <c r="F403" s="2" t="s">
        <v>3</v>
      </c>
      <c r="G403" s="2" t="s">
        <v>3</v>
      </c>
      <c r="H403" s="2">
        <v>24972</v>
      </c>
      <c r="I403" s="2">
        <v>5792</v>
      </c>
    </row>
    <row r="404" spans="1:9" hidden="1" x14ac:dyDescent="0.3">
      <c r="A404" t="s">
        <v>8</v>
      </c>
      <c r="B404" s="1">
        <v>44348</v>
      </c>
      <c r="C404" s="2">
        <v>226705</v>
      </c>
      <c r="D404" s="2" t="s">
        <v>3</v>
      </c>
      <c r="E404" s="2">
        <v>207524</v>
      </c>
      <c r="F404" s="2" t="s">
        <v>3</v>
      </c>
      <c r="G404" s="2" t="s">
        <v>3</v>
      </c>
      <c r="H404" s="2">
        <v>19180</v>
      </c>
      <c r="I404" s="2">
        <v>4942</v>
      </c>
    </row>
    <row r="405" spans="1:9" hidden="1" x14ac:dyDescent="0.3">
      <c r="A405" t="s">
        <v>8</v>
      </c>
      <c r="B405" s="1">
        <v>44317</v>
      </c>
      <c r="C405" s="2">
        <v>108776</v>
      </c>
      <c r="D405" s="2" t="s">
        <v>3</v>
      </c>
      <c r="E405" s="2">
        <v>94537</v>
      </c>
      <c r="F405" s="2" t="s">
        <v>3</v>
      </c>
      <c r="G405" s="2" t="s">
        <v>3</v>
      </c>
      <c r="H405" s="2">
        <v>14239</v>
      </c>
      <c r="I405" s="2">
        <v>870</v>
      </c>
    </row>
    <row r="406" spans="1:9" hidden="1" x14ac:dyDescent="0.3">
      <c r="A406" t="s">
        <v>8</v>
      </c>
      <c r="B406" s="1">
        <v>44287</v>
      </c>
      <c r="C406" s="2">
        <v>107221</v>
      </c>
      <c r="D406" s="2" t="s">
        <v>3</v>
      </c>
      <c r="E406" s="2">
        <v>93853</v>
      </c>
      <c r="F406" s="2" t="s">
        <v>3</v>
      </c>
      <c r="G406" s="2" t="s">
        <v>3</v>
      </c>
      <c r="H406" s="2">
        <v>13368</v>
      </c>
      <c r="I406" s="2">
        <v>-912</v>
      </c>
    </row>
    <row r="407" spans="1:9" hidden="1" x14ac:dyDescent="0.3">
      <c r="A407" t="s">
        <v>8</v>
      </c>
      <c r="B407" s="1">
        <v>44256</v>
      </c>
      <c r="C407" s="2">
        <v>114405</v>
      </c>
      <c r="D407" s="2" t="s">
        <v>3</v>
      </c>
      <c r="E407" s="2">
        <v>100125</v>
      </c>
      <c r="F407" s="2" t="s">
        <v>3</v>
      </c>
      <c r="G407" s="2" t="s">
        <v>3</v>
      </c>
      <c r="H407" s="2">
        <v>14280</v>
      </c>
      <c r="I407" s="2">
        <v>361</v>
      </c>
    </row>
    <row r="408" spans="1:9" hidden="1" x14ac:dyDescent="0.3">
      <c r="A408" t="s">
        <v>8</v>
      </c>
      <c r="B408" s="1">
        <v>44228</v>
      </c>
      <c r="C408" s="2">
        <v>108685</v>
      </c>
      <c r="D408" s="2" t="s">
        <v>3</v>
      </c>
      <c r="E408" s="2">
        <v>94766</v>
      </c>
      <c r="F408" s="2" t="s">
        <v>3</v>
      </c>
      <c r="G408" s="2" t="s">
        <v>3</v>
      </c>
      <c r="H408" s="2">
        <v>13920</v>
      </c>
      <c r="I408" s="2">
        <v>-1323</v>
      </c>
    </row>
    <row r="409" spans="1:9" hidden="1" x14ac:dyDescent="0.3">
      <c r="A409" t="s">
        <v>8</v>
      </c>
      <c r="B409" s="1">
        <v>44197</v>
      </c>
      <c r="C409" s="2">
        <v>121500</v>
      </c>
      <c r="D409" s="2" t="s">
        <v>3</v>
      </c>
      <c r="E409" s="2">
        <v>106257</v>
      </c>
      <c r="F409" s="2" t="s">
        <v>3</v>
      </c>
      <c r="G409" s="2" t="s">
        <v>3</v>
      </c>
      <c r="H409" s="2">
        <v>15243</v>
      </c>
      <c r="I409" s="2">
        <v>727</v>
      </c>
    </row>
    <row r="410" spans="1:9" hidden="1" x14ac:dyDescent="0.3">
      <c r="A410" t="s">
        <v>8</v>
      </c>
      <c r="B410" s="1">
        <v>44166</v>
      </c>
      <c r="C410" s="2">
        <v>111270</v>
      </c>
      <c r="D410" s="2" t="s">
        <v>3</v>
      </c>
      <c r="E410" s="2">
        <v>96754</v>
      </c>
      <c r="F410" s="2" t="s">
        <v>3</v>
      </c>
      <c r="G410" s="2" t="s">
        <v>3</v>
      </c>
      <c r="H410" s="2">
        <v>14516</v>
      </c>
      <c r="I410" s="2">
        <v>-2795</v>
      </c>
    </row>
    <row r="411" spans="1:9" hidden="1" x14ac:dyDescent="0.3">
      <c r="A411" t="s">
        <v>8</v>
      </c>
      <c r="B411" s="1">
        <v>44136</v>
      </c>
      <c r="C411" s="2">
        <v>132375</v>
      </c>
      <c r="D411" s="2" t="s">
        <v>3</v>
      </c>
      <c r="E411" s="2">
        <v>115065</v>
      </c>
      <c r="F411" s="2" t="s">
        <v>3</v>
      </c>
      <c r="G411" s="2" t="s">
        <v>3</v>
      </c>
      <c r="H411" s="2">
        <v>17310</v>
      </c>
      <c r="I411" s="2">
        <v>-1171</v>
      </c>
    </row>
    <row r="412" spans="1:9" hidden="1" x14ac:dyDescent="0.3">
      <c r="A412" t="s">
        <v>8</v>
      </c>
      <c r="B412" s="1">
        <v>44105</v>
      </c>
      <c r="C412" s="2">
        <v>136946</v>
      </c>
      <c r="D412" s="2" t="s">
        <v>3</v>
      </c>
      <c r="E412" s="2">
        <v>118464</v>
      </c>
      <c r="F412" s="2" t="s">
        <v>3</v>
      </c>
      <c r="G412" s="2" t="s">
        <v>3</v>
      </c>
      <c r="H412" s="2">
        <v>18482</v>
      </c>
      <c r="I412" s="2">
        <v>-198</v>
      </c>
    </row>
    <row r="413" spans="1:9" hidden="1" x14ac:dyDescent="0.3">
      <c r="A413" t="s">
        <v>8</v>
      </c>
      <c r="B413" s="1">
        <v>44075</v>
      </c>
      <c r="C413" s="2">
        <v>135071</v>
      </c>
      <c r="D413" s="2" t="s">
        <v>3</v>
      </c>
      <c r="E413" s="2">
        <v>116391</v>
      </c>
      <c r="F413" s="2" t="s">
        <v>3</v>
      </c>
      <c r="G413" s="2" t="s">
        <v>3</v>
      </c>
      <c r="H413" s="2">
        <v>18680</v>
      </c>
      <c r="I413" s="2">
        <v>-3547</v>
      </c>
    </row>
    <row r="414" spans="1:9" hidden="1" x14ac:dyDescent="0.3">
      <c r="A414" t="s">
        <v>8</v>
      </c>
      <c r="B414" s="1">
        <v>44044</v>
      </c>
      <c r="C414" s="2">
        <v>133290</v>
      </c>
      <c r="D414" s="2" t="s">
        <v>3</v>
      </c>
      <c r="E414" s="2">
        <v>111064</v>
      </c>
      <c r="F414" s="2" t="s">
        <v>3</v>
      </c>
      <c r="G414" s="2" t="s">
        <v>3</v>
      </c>
      <c r="H414" s="2">
        <v>22227</v>
      </c>
      <c r="I414" s="2">
        <v>426</v>
      </c>
    </row>
    <row r="415" spans="1:9" hidden="1" x14ac:dyDescent="0.3">
      <c r="A415" t="s">
        <v>8</v>
      </c>
      <c r="B415" s="1">
        <v>44013</v>
      </c>
      <c r="C415" s="2">
        <v>130001</v>
      </c>
      <c r="D415" s="2" t="s">
        <v>3</v>
      </c>
      <c r="E415" s="2">
        <v>108200</v>
      </c>
      <c r="F415" s="2" t="s">
        <v>3</v>
      </c>
      <c r="G415" s="2" t="s">
        <v>3</v>
      </c>
      <c r="H415" s="2">
        <v>21801</v>
      </c>
      <c r="I415" s="2">
        <v>-2216</v>
      </c>
    </row>
    <row r="416" spans="1:9" hidden="1" x14ac:dyDescent="0.3">
      <c r="A416" t="s">
        <v>8</v>
      </c>
      <c r="B416" s="1">
        <v>43983</v>
      </c>
      <c r="C416" s="2">
        <v>144139</v>
      </c>
      <c r="D416" s="2" t="s">
        <v>3</v>
      </c>
      <c r="E416" s="2">
        <v>120123</v>
      </c>
      <c r="F416" s="2" t="s">
        <v>3</v>
      </c>
      <c r="G416" s="2" t="s">
        <v>3</v>
      </c>
      <c r="H416" s="2">
        <v>24016</v>
      </c>
      <c r="I416" s="2">
        <v>1708</v>
      </c>
    </row>
    <row r="417" spans="1:9" hidden="1" x14ac:dyDescent="0.3">
      <c r="A417" t="s">
        <v>8</v>
      </c>
      <c r="B417" s="1">
        <v>43952</v>
      </c>
      <c r="C417" s="2">
        <v>130501</v>
      </c>
      <c r="D417" s="2" t="s">
        <v>3</v>
      </c>
      <c r="E417" s="2">
        <v>108193</v>
      </c>
      <c r="F417" s="2" t="s">
        <v>3</v>
      </c>
      <c r="G417" s="2" t="s">
        <v>3</v>
      </c>
      <c r="H417" s="2">
        <v>22309</v>
      </c>
      <c r="I417" s="2">
        <v>2965</v>
      </c>
    </row>
    <row r="418" spans="1:9" hidden="1" x14ac:dyDescent="0.3">
      <c r="A418" t="s">
        <v>8</v>
      </c>
      <c r="B418" s="1">
        <v>43922</v>
      </c>
      <c r="C418" s="2">
        <v>137705</v>
      </c>
      <c r="D418" s="2" t="s">
        <v>3</v>
      </c>
      <c r="E418" s="2">
        <v>118361</v>
      </c>
      <c r="F418" s="2" t="s">
        <v>3</v>
      </c>
      <c r="G418" s="2" t="s">
        <v>3</v>
      </c>
      <c r="H418" s="2">
        <v>19344</v>
      </c>
      <c r="I418" s="2">
        <v>1948</v>
      </c>
    </row>
    <row r="419" spans="1:9" hidden="1" x14ac:dyDescent="0.3">
      <c r="A419" t="s">
        <v>8</v>
      </c>
      <c r="B419" s="1">
        <v>43891</v>
      </c>
      <c r="C419" s="2">
        <v>156027</v>
      </c>
      <c r="D419" s="2" t="s">
        <v>3</v>
      </c>
      <c r="E419" s="2">
        <v>138631</v>
      </c>
      <c r="F419" s="2" t="s">
        <v>3</v>
      </c>
      <c r="G419" s="2" t="s">
        <v>3</v>
      </c>
      <c r="H419" s="2">
        <v>17396</v>
      </c>
      <c r="I419" s="2">
        <v>-559</v>
      </c>
    </row>
    <row r="420" spans="1:9" hidden="1" x14ac:dyDescent="0.3">
      <c r="A420" t="s">
        <v>8</v>
      </c>
      <c r="B420" s="1">
        <v>43862</v>
      </c>
      <c r="C420" s="2">
        <v>147623</v>
      </c>
      <c r="D420" s="2" t="s">
        <v>3</v>
      </c>
      <c r="E420" s="2">
        <v>129667</v>
      </c>
      <c r="F420" s="2" t="s">
        <v>3</v>
      </c>
      <c r="G420" s="2" t="s">
        <v>3</v>
      </c>
      <c r="H420" s="2">
        <v>17955</v>
      </c>
      <c r="I420" s="2">
        <v>1920</v>
      </c>
    </row>
    <row r="421" spans="1:9" hidden="1" x14ac:dyDescent="0.3">
      <c r="A421" t="s">
        <v>8</v>
      </c>
      <c r="B421" s="1">
        <v>43831</v>
      </c>
      <c r="C421" s="2">
        <v>133966</v>
      </c>
      <c r="D421" s="2" t="s">
        <v>3</v>
      </c>
      <c r="E421" s="2">
        <v>117931</v>
      </c>
      <c r="F421" s="2" t="s">
        <v>3</v>
      </c>
      <c r="G421" s="2" t="s">
        <v>3</v>
      </c>
      <c r="H421" s="2">
        <v>16035</v>
      </c>
      <c r="I421" s="2">
        <v>594</v>
      </c>
    </row>
    <row r="422" spans="1:9" x14ac:dyDescent="0.3">
      <c r="A422" t="s">
        <v>9</v>
      </c>
      <c r="B422" s="1">
        <v>45931</v>
      </c>
      <c r="C422" s="2">
        <v>115235</v>
      </c>
      <c r="D422" s="2">
        <v>4248</v>
      </c>
      <c r="E422" s="2">
        <v>83039</v>
      </c>
      <c r="F422" s="2">
        <v>-2414</v>
      </c>
      <c r="G422" s="2">
        <v>522</v>
      </c>
      <c r="H422" s="2">
        <v>32196</v>
      </c>
      <c r="I422" s="2">
        <v>6661</v>
      </c>
    </row>
    <row r="423" spans="1:9" x14ac:dyDescent="0.3">
      <c r="A423" t="s">
        <v>9</v>
      </c>
      <c r="B423" s="1">
        <v>45901</v>
      </c>
      <c r="C423" s="2">
        <v>110178</v>
      </c>
      <c r="D423" s="2">
        <v>10403</v>
      </c>
      <c r="E423" s="2">
        <v>84644</v>
      </c>
      <c r="F423" s="2">
        <v>7872</v>
      </c>
      <c r="G423" s="2">
        <v>-580</v>
      </c>
      <c r="H423" s="2">
        <v>25534</v>
      </c>
      <c r="I423" s="2">
        <v>2531</v>
      </c>
    </row>
    <row r="424" spans="1:9" x14ac:dyDescent="0.3">
      <c r="A424" t="s">
        <v>9</v>
      </c>
      <c r="B424" s="1">
        <v>45870</v>
      </c>
      <c r="C424" s="2">
        <v>101259</v>
      </c>
      <c r="D424" s="2">
        <v>-7789</v>
      </c>
      <c r="E424" s="2">
        <v>78256</v>
      </c>
      <c r="F424" s="2">
        <v>-3958</v>
      </c>
      <c r="G424" s="2">
        <v>675</v>
      </c>
      <c r="H424" s="2">
        <v>23003</v>
      </c>
      <c r="I424" s="2">
        <v>-3832</v>
      </c>
    </row>
    <row r="425" spans="1:9" x14ac:dyDescent="0.3">
      <c r="A425" t="s">
        <v>9</v>
      </c>
      <c r="B425" s="1">
        <v>45839</v>
      </c>
      <c r="C425" s="2">
        <v>107734</v>
      </c>
      <c r="D425" s="2">
        <v>8281</v>
      </c>
      <c r="E425" s="2">
        <v>80899</v>
      </c>
      <c r="F425" s="2">
        <v>3662</v>
      </c>
      <c r="G425" s="2">
        <v>405</v>
      </c>
      <c r="H425" s="2">
        <v>26835</v>
      </c>
      <c r="I425" s="2">
        <v>4618</v>
      </c>
    </row>
    <row r="426" spans="1:9" x14ac:dyDescent="0.3">
      <c r="A426" t="s">
        <v>9</v>
      </c>
      <c r="B426" s="1">
        <v>45809</v>
      </c>
      <c r="C426" s="2">
        <v>100575</v>
      </c>
      <c r="D426" s="2">
        <v>-1991</v>
      </c>
      <c r="E426" s="2">
        <v>78358</v>
      </c>
      <c r="F426" s="2">
        <v>-1528</v>
      </c>
      <c r="G426" s="2">
        <v>464</v>
      </c>
      <c r="H426" s="2">
        <v>22217</v>
      </c>
      <c r="I426" s="2">
        <v>-463</v>
      </c>
    </row>
    <row r="427" spans="1:9" x14ac:dyDescent="0.3">
      <c r="A427" t="s">
        <v>9</v>
      </c>
      <c r="B427" s="1">
        <v>45778</v>
      </c>
      <c r="C427" s="2">
        <v>101872</v>
      </c>
      <c r="D427" s="2">
        <v>-7336</v>
      </c>
      <c r="E427" s="2">
        <v>79193</v>
      </c>
      <c r="F427" s="2">
        <v>-4095</v>
      </c>
      <c r="G427" s="2">
        <v>-691</v>
      </c>
      <c r="H427" s="2">
        <v>22679</v>
      </c>
      <c r="I427" s="2">
        <v>-3241</v>
      </c>
    </row>
    <row r="428" spans="1:9" x14ac:dyDescent="0.3">
      <c r="A428" t="s">
        <v>9</v>
      </c>
      <c r="B428" s="1">
        <v>45748</v>
      </c>
      <c r="C428" s="2">
        <v>110397</v>
      </c>
      <c r="D428" s="2">
        <v>-1223</v>
      </c>
      <c r="E428" s="2">
        <v>84476</v>
      </c>
      <c r="F428" s="2">
        <v>-2917</v>
      </c>
      <c r="G428" s="2">
        <v>153</v>
      </c>
      <c r="H428" s="2">
        <v>25920</v>
      </c>
      <c r="I428" s="2">
        <v>1694</v>
      </c>
    </row>
    <row r="429" spans="1:9" x14ac:dyDescent="0.3">
      <c r="A429" t="s">
        <v>9</v>
      </c>
      <c r="B429" s="1">
        <v>45717</v>
      </c>
      <c r="C429" s="2">
        <v>111371</v>
      </c>
      <c r="D429" s="2">
        <v>6615</v>
      </c>
      <c r="E429" s="2">
        <v>87145</v>
      </c>
      <c r="F429" s="2">
        <v>3264</v>
      </c>
      <c r="G429" s="2">
        <v>-117</v>
      </c>
      <c r="H429" s="2">
        <v>24227</v>
      </c>
      <c r="I429" s="2">
        <v>3351</v>
      </c>
    </row>
    <row r="430" spans="1:9" x14ac:dyDescent="0.3">
      <c r="A430" t="s">
        <v>9</v>
      </c>
      <c r="B430" s="1">
        <v>45689</v>
      </c>
      <c r="C430" s="2">
        <v>103786</v>
      </c>
      <c r="D430" s="2">
        <v>-2070</v>
      </c>
      <c r="E430" s="2">
        <v>82910</v>
      </c>
      <c r="F430" s="2">
        <v>2530</v>
      </c>
      <c r="G430" s="2">
        <v>1338</v>
      </c>
      <c r="H430" s="2">
        <v>20876</v>
      </c>
      <c r="I430" s="2">
        <v>-4599</v>
      </c>
    </row>
    <row r="431" spans="1:9" x14ac:dyDescent="0.3">
      <c r="A431" t="s">
        <v>9</v>
      </c>
      <c r="B431" s="1">
        <v>45658</v>
      </c>
      <c r="C431" s="2">
        <v>105526</v>
      </c>
      <c r="D431" s="2">
        <v>5123</v>
      </c>
      <c r="E431" s="2">
        <v>80050</v>
      </c>
      <c r="F431" s="2">
        <v>1950</v>
      </c>
      <c r="G431" s="2">
        <v>392</v>
      </c>
      <c r="H431" s="2">
        <v>25475</v>
      </c>
      <c r="I431" s="2">
        <v>3172</v>
      </c>
    </row>
    <row r="432" spans="1:9" x14ac:dyDescent="0.3">
      <c r="A432" t="s">
        <v>9</v>
      </c>
      <c r="B432" s="1">
        <v>45627</v>
      </c>
      <c r="C432" s="2">
        <v>97037</v>
      </c>
      <c r="D432" s="2">
        <v>491</v>
      </c>
      <c r="E432" s="2">
        <v>74734</v>
      </c>
      <c r="F432" s="2">
        <v>1578</v>
      </c>
      <c r="G432" s="2">
        <v>-945</v>
      </c>
      <c r="H432" s="2">
        <v>22303</v>
      </c>
      <c r="I432" s="2">
        <v>-1088</v>
      </c>
    </row>
    <row r="433" spans="1:9" x14ac:dyDescent="0.3">
      <c r="A433" t="s">
        <v>9</v>
      </c>
      <c r="B433" s="1">
        <v>45597</v>
      </c>
      <c r="C433" s="2">
        <v>99918</v>
      </c>
      <c r="D433" s="2">
        <v>-1081</v>
      </c>
      <c r="E433" s="2">
        <v>76527</v>
      </c>
      <c r="F433" s="2">
        <v>158</v>
      </c>
      <c r="G433" s="2">
        <v>496</v>
      </c>
      <c r="H433" s="2">
        <v>23390</v>
      </c>
      <c r="I433" s="2">
        <v>-1239</v>
      </c>
    </row>
    <row r="434" spans="1:9" x14ac:dyDescent="0.3">
      <c r="A434" t="s">
        <v>9</v>
      </c>
      <c r="B434" s="1">
        <v>45566</v>
      </c>
      <c r="C434" s="2">
        <v>102349</v>
      </c>
      <c r="D434" s="2">
        <v>1006</v>
      </c>
      <c r="E434" s="2">
        <v>77719</v>
      </c>
      <c r="F434" s="2">
        <v>-563</v>
      </c>
      <c r="G434" s="2">
        <v>-733</v>
      </c>
      <c r="H434" s="2">
        <v>24630</v>
      </c>
      <c r="I434" s="2">
        <v>1570</v>
      </c>
    </row>
    <row r="435" spans="1:9" x14ac:dyDescent="0.3">
      <c r="A435" t="s">
        <v>9</v>
      </c>
      <c r="B435" s="1">
        <v>45536</v>
      </c>
      <c r="C435" s="2">
        <v>103783</v>
      </c>
      <c r="D435" s="2">
        <v>3938</v>
      </c>
      <c r="E435" s="2">
        <v>80723</v>
      </c>
      <c r="F435" s="2">
        <v>3832</v>
      </c>
      <c r="G435" s="2">
        <v>391</v>
      </c>
      <c r="H435" s="2">
        <v>23060</v>
      </c>
      <c r="I435" s="2">
        <v>106</v>
      </c>
    </row>
    <row r="436" spans="1:9" x14ac:dyDescent="0.3">
      <c r="A436" t="s">
        <v>9</v>
      </c>
      <c r="B436" s="1">
        <v>45505</v>
      </c>
      <c r="C436" s="2">
        <v>99078</v>
      </c>
      <c r="D436" s="2">
        <v>-7667</v>
      </c>
      <c r="E436" s="2">
        <v>76124</v>
      </c>
      <c r="F436" s="2">
        <v>-9383</v>
      </c>
      <c r="G436" s="2">
        <v>840</v>
      </c>
      <c r="H436" s="2">
        <v>22954</v>
      </c>
      <c r="I436" s="2">
        <v>1716</v>
      </c>
    </row>
    <row r="437" spans="1:9" x14ac:dyDescent="0.3">
      <c r="A437" t="s">
        <v>9</v>
      </c>
      <c r="B437" s="1">
        <v>45474</v>
      </c>
      <c r="C437" s="2">
        <v>104924</v>
      </c>
      <c r="D437" s="2">
        <v>15703</v>
      </c>
      <c r="E437" s="2">
        <v>83685</v>
      </c>
      <c r="F437" s="2">
        <v>7654</v>
      </c>
      <c r="G437" s="2">
        <v>800</v>
      </c>
      <c r="H437" s="2">
        <v>21238</v>
      </c>
      <c r="I437" s="2">
        <v>8049</v>
      </c>
    </row>
    <row r="438" spans="1:9" x14ac:dyDescent="0.3">
      <c r="A438" t="s">
        <v>9</v>
      </c>
      <c r="B438" s="1">
        <v>45444</v>
      </c>
      <c r="C438" s="2">
        <v>90850</v>
      </c>
      <c r="D438" s="2">
        <v>-330</v>
      </c>
      <c r="E438" s="2">
        <v>77660</v>
      </c>
      <c r="F438" s="2">
        <v>557</v>
      </c>
      <c r="G438" s="2">
        <v>-535</v>
      </c>
      <c r="H438" s="2">
        <v>13190</v>
      </c>
      <c r="I438" s="2">
        <v>-887</v>
      </c>
    </row>
    <row r="439" spans="1:9" x14ac:dyDescent="0.3">
      <c r="A439" t="s">
        <v>9</v>
      </c>
      <c r="B439" s="1">
        <v>45413</v>
      </c>
      <c r="C439" s="2">
        <v>91295</v>
      </c>
      <c r="D439" s="2">
        <v>-1346</v>
      </c>
      <c r="E439" s="2">
        <v>77219</v>
      </c>
      <c r="F439" s="2">
        <v>-1755</v>
      </c>
      <c r="G439" s="2">
        <v>528</v>
      </c>
      <c r="H439" s="2">
        <v>14076</v>
      </c>
      <c r="I439" s="2">
        <v>408</v>
      </c>
    </row>
    <row r="440" spans="1:9" x14ac:dyDescent="0.3">
      <c r="A440" t="s">
        <v>9</v>
      </c>
      <c r="B440" s="1">
        <v>45383</v>
      </c>
      <c r="C440" s="2">
        <v>91860</v>
      </c>
      <c r="D440" s="2">
        <v>57</v>
      </c>
      <c r="E440" s="2">
        <v>78192</v>
      </c>
      <c r="F440" s="2">
        <v>-761</v>
      </c>
      <c r="G440" s="2">
        <v>-1105</v>
      </c>
      <c r="H440" s="2">
        <v>13668</v>
      </c>
      <c r="I440" s="2">
        <v>818</v>
      </c>
    </row>
    <row r="441" spans="1:9" x14ac:dyDescent="0.3">
      <c r="A441" t="s">
        <v>9</v>
      </c>
      <c r="B441" s="1">
        <v>45352</v>
      </c>
      <c r="C441" s="2">
        <v>94101</v>
      </c>
      <c r="D441" s="2">
        <v>-439</v>
      </c>
      <c r="E441" s="2">
        <v>81251</v>
      </c>
      <c r="F441" s="2">
        <v>580</v>
      </c>
      <c r="G441" s="2">
        <v>-85</v>
      </c>
      <c r="H441" s="2">
        <v>12850</v>
      </c>
      <c r="I441" s="2">
        <v>-1019</v>
      </c>
    </row>
    <row r="442" spans="1:9" x14ac:dyDescent="0.3">
      <c r="A442" t="s">
        <v>9</v>
      </c>
      <c r="B442" s="1">
        <v>45323</v>
      </c>
      <c r="C442" s="2">
        <v>95324</v>
      </c>
      <c r="D442" s="2">
        <v>2964</v>
      </c>
      <c r="E442" s="2">
        <v>81456</v>
      </c>
      <c r="F442" s="2">
        <v>1094</v>
      </c>
      <c r="G442" s="2">
        <v>-870</v>
      </c>
      <c r="H442" s="2">
        <v>13869</v>
      </c>
      <c r="I442" s="2">
        <v>1870</v>
      </c>
    </row>
    <row r="443" spans="1:9" x14ac:dyDescent="0.3">
      <c r="A443" t="s">
        <v>9</v>
      </c>
      <c r="B443" s="1">
        <v>45292</v>
      </c>
      <c r="C443" s="2">
        <v>94347</v>
      </c>
      <c r="D443" s="2">
        <v>3055</v>
      </c>
      <c r="E443" s="2">
        <v>82348</v>
      </c>
      <c r="F443" s="2">
        <v>4322</v>
      </c>
      <c r="G443" s="2">
        <v>38</v>
      </c>
      <c r="H443" s="2">
        <v>11998</v>
      </c>
      <c r="I443" s="2">
        <v>-1267</v>
      </c>
    </row>
    <row r="444" spans="1:9" x14ac:dyDescent="0.3">
      <c r="A444" t="s">
        <v>9</v>
      </c>
      <c r="B444" s="1">
        <v>45261</v>
      </c>
      <c r="C444" s="2">
        <v>91384</v>
      </c>
      <c r="D444" s="2">
        <v>652</v>
      </c>
      <c r="E444" s="2">
        <v>78119</v>
      </c>
      <c r="F444" s="2">
        <v>-233</v>
      </c>
      <c r="G444" s="2">
        <v>1277</v>
      </c>
      <c r="H444" s="2">
        <v>13265</v>
      </c>
      <c r="I444" s="2">
        <v>884</v>
      </c>
    </row>
    <row r="445" spans="1:9" x14ac:dyDescent="0.3">
      <c r="A445" t="s">
        <v>9</v>
      </c>
      <c r="B445" s="1">
        <v>45231</v>
      </c>
      <c r="C445" s="2">
        <v>86132</v>
      </c>
      <c r="D445" s="2">
        <v>-2205</v>
      </c>
      <c r="E445" s="2">
        <v>73751</v>
      </c>
      <c r="F445" s="2">
        <v>-2160</v>
      </c>
      <c r="G445" s="2">
        <v>1766</v>
      </c>
      <c r="H445" s="2">
        <v>12381</v>
      </c>
      <c r="I445" s="2">
        <v>-45</v>
      </c>
    </row>
    <row r="446" spans="1:9" x14ac:dyDescent="0.3">
      <c r="A446" t="s">
        <v>9</v>
      </c>
      <c r="B446" s="1">
        <v>45200</v>
      </c>
      <c r="C446" s="2">
        <v>87770</v>
      </c>
      <c r="D446" s="2">
        <v>4993</v>
      </c>
      <c r="E446" s="2">
        <v>75344</v>
      </c>
      <c r="F446" s="2">
        <v>4687</v>
      </c>
      <c r="G446" s="2">
        <v>-510</v>
      </c>
      <c r="H446" s="2">
        <v>12426</v>
      </c>
      <c r="I446" s="2">
        <v>305</v>
      </c>
    </row>
    <row r="447" spans="1:9" x14ac:dyDescent="0.3">
      <c r="A447" t="s">
        <v>9</v>
      </c>
      <c r="B447" s="1">
        <v>45170</v>
      </c>
      <c r="C447" s="2">
        <v>84641</v>
      </c>
      <c r="D447" s="2">
        <v>-1485</v>
      </c>
      <c r="E447" s="2">
        <v>72520</v>
      </c>
      <c r="F447" s="2">
        <v>-545</v>
      </c>
      <c r="G447" s="2">
        <v>-1305</v>
      </c>
      <c r="H447" s="2">
        <v>12121</v>
      </c>
      <c r="I447" s="2">
        <v>-939</v>
      </c>
    </row>
    <row r="448" spans="1:9" x14ac:dyDescent="0.3">
      <c r="A448" t="s">
        <v>9</v>
      </c>
      <c r="B448" s="1">
        <v>45139</v>
      </c>
      <c r="C448" s="2">
        <v>88371</v>
      </c>
      <c r="D448" s="2">
        <v>1008</v>
      </c>
      <c r="E448" s="2">
        <v>75311</v>
      </c>
      <c r="F448" s="2">
        <v>86</v>
      </c>
      <c r="G448" s="2">
        <v>69</v>
      </c>
      <c r="H448" s="2">
        <v>13060</v>
      </c>
      <c r="I448" s="2">
        <v>921</v>
      </c>
    </row>
    <row r="449" spans="1:9" x14ac:dyDescent="0.3">
      <c r="A449" t="s">
        <v>9</v>
      </c>
      <c r="B449" s="1">
        <v>45108</v>
      </c>
      <c r="C449" s="2">
        <v>88295</v>
      </c>
      <c r="D449" s="2">
        <v>2256</v>
      </c>
      <c r="E449" s="2">
        <v>76156</v>
      </c>
      <c r="F449" s="2">
        <v>2564</v>
      </c>
      <c r="G449" s="2">
        <v>-105</v>
      </c>
      <c r="H449" s="2">
        <v>12139</v>
      </c>
      <c r="I449" s="2">
        <v>-308</v>
      </c>
    </row>
    <row r="450" spans="1:9" x14ac:dyDescent="0.3">
      <c r="A450" t="s">
        <v>9</v>
      </c>
      <c r="B450" s="1">
        <v>45078</v>
      </c>
      <c r="C450" s="2">
        <v>87616</v>
      </c>
      <c r="D450" s="2">
        <v>2291</v>
      </c>
      <c r="E450" s="2">
        <v>75169</v>
      </c>
      <c r="F450" s="2">
        <v>2292</v>
      </c>
      <c r="G450" s="2">
        <v>66</v>
      </c>
      <c r="H450" s="2">
        <v>12447</v>
      </c>
      <c r="I450" s="2">
        <v>-1</v>
      </c>
    </row>
    <row r="451" spans="1:9" x14ac:dyDescent="0.3">
      <c r="A451" t="s">
        <v>9</v>
      </c>
      <c r="B451" s="1">
        <v>45047</v>
      </c>
      <c r="C451" s="2">
        <v>84048</v>
      </c>
      <c r="D451" s="2">
        <v>3922</v>
      </c>
      <c r="E451" s="2">
        <v>71600</v>
      </c>
      <c r="F451" s="2">
        <v>593</v>
      </c>
      <c r="G451" s="2">
        <v>-278</v>
      </c>
      <c r="H451" s="2">
        <v>12448</v>
      </c>
      <c r="I451" s="2">
        <v>3329</v>
      </c>
    </row>
    <row r="452" spans="1:9" x14ac:dyDescent="0.3">
      <c r="A452" t="s">
        <v>9</v>
      </c>
      <c r="B452" s="1">
        <v>45017</v>
      </c>
      <c r="C452" s="2">
        <v>79388</v>
      </c>
      <c r="D452" s="2">
        <v>1659</v>
      </c>
      <c r="E452" s="2">
        <v>70269</v>
      </c>
      <c r="F452" s="2">
        <v>765</v>
      </c>
      <c r="G452" s="2">
        <v>-908</v>
      </c>
      <c r="H452" s="2">
        <v>9119</v>
      </c>
      <c r="I452" s="2">
        <v>894</v>
      </c>
    </row>
    <row r="453" spans="1:9" x14ac:dyDescent="0.3">
      <c r="A453" t="s">
        <v>9</v>
      </c>
      <c r="B453" s="1">
        <v>44986</v>
      </c>
      <c r="C453" s="2">
        <v>77539</v>
      </c>
      <c r="D453" s="2">
        <v>969</v>
      </c>
      <c r="E453" s="2">
        <v>69314</v>
      </c>
      <c r="F453" s="2">
        <v>1969</v>
      </c>
      <c r="G453" s="2">
        <v>1100</v>
      </c>
      <c r="H453" s="2">
        <v>8225</v>
      </c>
      <c r="I453" s="2">
        <v>-1000</v>
      </c>
    </row>
    <row r="454" spans="1:9" x14ac:dyDescent="0.3">
      <c r="A454" t="s">
        <v>9</v>
      </c>
      <c r="B454" s="1">
        <v>44958</v>
      </c>
      <c r="C454" s="2">
        <v>79516</v>
      </c>
      <c r="D454" s="2">
        <v>2544</v>
      </c>
      <c r="E454" s="2">
        <v>70290</v>
      </c>
      <c r="F454" s="2">
        <v>3276</v>
      </c>
      <c r="G454" s="2">
        <v>-1289</v>
      </c>
      <c r="H454" s="2">
        <v>9225</v>
      </c>
      <c r="I454" s="2">
        <v>-733</v>
      </c>
    </row>
    <row r="455" spans="1:9" hidden="1" x14ac:dyDescent="0.3">
      <c r="A455" t="s">
        <v>9</v>
      </c>
      <c r="B455" s="1">
        <v>44927</v>
      </c>
      <c r="C455" s="2">
        <v>77693</v>
      </c>
      <c r="D455" s="2" t="s">
        <v>3</v>
      </c>
      <c r="E455" s="2">
        <v>67735</v>
      </c>
      <c r="F455" s="2" t="s">
        <v>3</v>
      </c>
      <c r="G455" s="2" t="s">
        <v>3</v>
      </c>
      <c r="H455" s="2">
        <v>9958</v>
      </c>
      <c r="I455" s="2">
        <v>-2060</v>
      </c>
    </row>
    <row r="456" spans="1:9" hidden="1" x14ac:dyDescent="0.3">
      <c r="A456" t="s">
        <v>9</v>
      </c>
      <c r="B456" s="1">
        <v>44896</v>
      </c>
      <c r="C456" s="2">
        <v>80142</v>
      </c>
      <c r="D456" s="2" t="s">
        <v>3</v>
      </c>
      <c r="E456" s="2">
        <v>68125</v>
      </c>
      <c r="F456" s="2" t="s">
        <v>3</v>
      </c>
      <c r="G456" s="2" t="s">
        <v>3</v>
      </c>
      <c r="H456" s="2">
        <v>12018</v>
      </c>
      <c r="I456" s="2">
        <v>2053</v>
      </c>
    </row>
    <row r="457" spans="1:9" hidden="1" x14ac:dyDescent="0.3">
      <c r="A457" t="s">
        <v>9</v>
      </c>
      <c r="B457" s="1">
        <v>44866</v>
      </c>
      <c r="C457" s="2">
        <v>79754</v>
      </c>
      <c r="D457" s="2" t="s">
        <v>3</v>
      </c>
      <c r="E457" s="2">
        <v>69789</v>
      </c>
      <c r="F457" s="2" t="s">
        <v>3</v>
      </c>
      <c r="G457" s="2" t="s">
        <v>3</v>
      </c>
      <c r="H457" s="2">
        <v>9964</v>
      </c>
      <c r="I457" s="2">
        <v>1121</v>
      </c>
    </row>
    <row r="458" spans="1:9" hidden="1" x14ac:dyDescent="0.3">
      <c r="A458" t="s">
        <v>9</v>
      </c>
      <c r="B458" s="1">
        <v>44835</v>
      </c>
      <c r="C458" s="2">
        <v>85894</v>
      </c>
      <c r="D458" s="2" t="s">
        <v>3</v>
      </c>
      <c r="E458" s="2">
        <v>77050</v>
      </c>
      <c r="F458" s="2" t="s">
        <v>3</v>
      </c>
      <c r="G458" s="2" t="s">
        <v>3</v>
      </c>
      <c r="H458" s="2">
        <v>8844</v>
      </c>
      <c r="I458" s="2">
        <v>70</v>
      </c>
    </row>
    <row r="459" spans="1:9" hidden="1" x14ac:dyDescent="0.3">
      <c r="A459" t="s">
        <v>9</v>
      </c>
      <c r="B459" s="1">
        <v>44805</v>
      </c>
      <c r="C459" s="2">
        <v>83886</v>
      </c>
      <c r="D459" s="2" t="s">
        <v>3</v>
      </c>
      <c r="E459" s="2">
        <v>75112</v>
      </c>
      <c r="F459" s="2" t="s">
        <v>3</v>
      </c>
      <c r="G459" s="2" t="s">
        <v>3</v>
      </c>
      <c r="H459" s="2">
        <v>8774</v>
      </c>
      <c r="I459" s="2">
        <v>899</v>
      </c>
    </row>
    <row r="460" spans="1:9" hidden="1" x14ac:dyDescent="0.3">
      <c r="A460" t="s">
        <v>9</v>
      </c>
      <c r="B460" s="1">
        <v>44774</v>
      </c>
      <c r="C460" s="2">
        <v>88782</v>
      </c>
      <c r="D460" s="2" t="s">
        <v>3</v>
      </c>
      <c r="E460" s="2">
        <v>80907</v>
      </c>
      <c r="F460" s="2" t="s">
        <v>3</v>
      </c>
      <c r="G460" s="2" t="s">
        <v>3</v>
      </c>
      <c r="H460" s="2">
        <v>7875</v>
      </c>
      <c r="I460" s="2">
        <v>312</v>
      </c>
    </row>
    <row r="461" spans="1:9" hidden="1" x14ac:dyDescent="0.3">
      <c r="A461" t="s">
        <v>9</v>
      </c>
      <c r="B461" s="1">
        <v>44743</v>
      </c>
      <c r="C461" s="2">
        <v>87543</v>
      </c>
      <c r="D461" s="2" t="s">
        <v>3</v>
      </c>
      <c r="E461" s="2">
        <v>79980</v>
      </c>
      <c r="F461" s="2" t="s">
        <v>3</v>
      </c>
      <c r="G461" s="2" t="s">
        <v>3</v>
      </c>
      <c r="H461" s="2">
        <v>7563</v>
      </c>
      <c r="I461" s="2">
        <v>-129</v>
      </c>
    </row>
    <row r="462" spans="1:9" hidden="1" x14ac:dyDescent="0.3">
      <c r="A462" t="s">
        <v>9</v>
      </c>
      <c r="B462" s="1">
        <v>44713</v>
      </c>
      <c r="C462" s="2">
        <v>95379</v>
      </c>
      <c r="D462" s="2" t="s">
        <v>3</v>
      </c>
      <c r="E462" s="2">
        <v>87687</v>
      </c>
      <c r="F462" s="2" t="s">
        <v>3</v>
      </c>
      <c r="G462" s="2" t="s">
        <v>3</v>
      </c>
      <c r="H462" s="2">
        <v>7692</v>
      </c>
      <c r="I462" s="2">
        <v>-1031</v>
      </c>
    </row>
    <row r="463" spans="1:9" hidden="1" x14ac:dyDescent="0.3">
      <c r="A463" t="s">
        <v>9</v>
      </c>
      <c r="B463" s="1">
        <v>44682</v>
      </c>
      <c r="C463" s="2">
        <v>91575</v>
      </c>
      <c r="D463" s="2" t="s">
        <v>3</v>
      </c>
      <c r="E463" s="2">
        <v>82852</v>
      </c>
      <c r="F463" s="2" t="s">
        <v>3</v>
      </c>
      <c r="G463" s="2" t="s">
        <v>3</v>
      </c>
      <c r="H463" s="2">
        <v>8723</v>
      </c>
      <c r="I463" s="2">
        <v>1071</v>
      </c>
    </row>
    <row r="464" spans="1:9" hidden="1" x14ac:dyDescent="0.3">
      <c r="A464" t="s">
        <v>9</v>
      </c>
      <c r="B464" s="1">
        <v>44652</v>
      </c>
      <c r="C464" s="2">
        <v>92811</v>
      </c>
      <c r="D464" s="2" t="s">
        <v>3</v>
      </c>
      <c r="E464" s="2">
        <v>85158</v>
      </c>
      <c r="F464" s="2" t="s">
        <v>3</v>
      </c>
      <c r="G464" s="2" t="s">
        <v>3</v>
      </c>
      <c r="H464" s="2">
        <v>7652</v>
      </c>
      <c r="I464" s="2">
        <v>-414</v>
      </c>
    </row>
    <row r="465" spans="1:9" hidden="1" x14ac:dyDescent="0.3">
      <c r="A465" t="s">
        <v>9</v>
      </c>
      <c r="B465" s="1">
        <v>44621</v>
      </c>
      <c r="C465" s="2">
        <v>93795</v>
      </c>
      <c r="D465" s="2" t="s">
        <v>3</v>
      </c>
      <c r="E465" s="2">
        <v>85728</v>
      </c>
      <c r="F465" s="2" t="s">
        <v>3</v>
      </c>
      <c r="G465" s="2" t="s">
        <v>3</v>
      </c>
      <c r="H465" s="2">
        <v>8067</v>
      </c>
      <c r="I465" s="2">
        <v>-922</v>
      </c>
    </row>
    <row r="466" spans="1:9" hidden="1" x14ac:dyDescent="0.3">
      <c r="A466" t="s">
        <v>9</v>
      </c>
      <c r="B466" s="1">
        <v>44593</v>
      </c>
      <c r="C466" s="2">
        <v>90548</v>
      </c>
      <c r="D466" s="2" t="s">
        <v>3</v>
      </c>
      <c r="E466" s="2">
        <v>81559</v>
      </c>
      <c r="F466" s="2" t="s">
        <v>3</v>
      </c>
      <c r="G466" s="2" t="s">
        <v>3</v>
      </c>
      <c r="H466" s="2">
        <v>8989</v>
      </c>
      <c r="I466" s="2">
        <v>-622</v>
      </c>
    </row>
    <row r="467" spans="1:9" hidden="1" x14ac:dyDescent="0.3">
      <c r="A467" t="s">
        <v>9</v>
      </c>
      <c r="B467" s="1">
        <v>44562</v>
      </c>
      <c r="C467" s="2">
        <v>84255</v>
      </c>
      <c r="D467" s="2" t="s">
        <v>3</v>
      </c>
      <c r="E467" s="2">
        <v>74645</v>
      </c>
      <c r="F467" s="2" t="s">
        <v>3</v>
      </c>
      <c r="G467" s="2" t="s">
        <v>3</v>
      </c>
      <c r="H467" s="2">
        <v>9610</v>
      </c>
      <c r="I467" s="2">
        <v>9</v>
      </c>
    </row>
    <row r="468" spans="1:9" hidden="1" x14ac:dyDescent="0.3">
      <c r="A468" t="s">
        <v>9</v>
      </c>
      <c r="B468" s="1">
        <v>44531</v>
      </c>
      <c r="C468" s="2">
        <v>83361</v>
      </c>
      <c r="D468" s="2" t="s">
        <v>3</v>
      </c>
      <c r="E468" s="2">
        <v>73759</v>
      </c>
      <c r="F468" s="2" t="s">
        <v>3</v>
      </c>
      <c r="G468" s="2" t="s">
        <v>3</v>
      </c>
      <c r="H468" s="2">
        <v>9601</v>
      </c>
      <c r="I468" s="2">
        <v>925</v>
      </c>
    </row>
    <row r="469" spans="1:9" hidden="1" x14ac:dyDescent="0.3">
      <c r="A469" t="s">
        <v>9</v>
      </c>
      <c r="B469" s="1">
        <v>44501</v>
      </c>
      <c r="C469" s="2">
        <v>82264</v>
      </c>
      <c r="D469" s="2" t="s">
        <v>3</v>
      </c>
      <c r="E469" s="2">
        <v>73587</v>
      </c>
      <c r="F469" s="2" t="s">
        <v>3</v>
      </c>
      <c r="G469" s="2" t="s">
        <v>3</v>
      </c>
      <c r="H469" s="2">
        <v>8676</v>
      </c>
      <c r="I469" s="2">
        <v>193</v>
      </c>
    </row>
    <row r="470" spans="1:9" hidden="1" x14ac:dyDescent="0.3">
      <c r="A470" t="s">
        <v>9</v>
      </c>
      <c r="B470" s="1">
        <v>44470</v>
      </c>
      <c r="C470" s="2">
        <v>83799</v>
      </c>
      <c r="D470" s="2" t="s">
        <v>3</v>
      </c>
      <c r="E470" s="2">
        <v>75316</v>
      </c>
      <c r="F470" s="2" t="s">
        <v>3</v>
      </c>
      <c r="G470" s="2" t="s">
        <v>3</v>
      </c>
      <c r="H470" s="2">
        <v>8483</v>
      </c>
      <c r="I470" s="2">
        <v>243</v>
      </c>
    </row>
    <row r="471" spans="1:9" hidden="1" x14ac:dyDescent="0.3">
      <c r="A471" t="s">
        <v>9</v>
      </c>
      <c r="B471" s="1">
        <v>44440</v>
      </c>
      <c r="C471" s="2">
        <v>83552</v>
      </c>
      <c r="D471" s="2" t="s">
        <v>3</v>
      </c>
      <c r="E471" s="2">
        <v>75311</v>
      </c>
      <c r="F471" s="2" t="s">
        <v>3</v>
      </c>
      <c r="G471" s="2" t="s">
        <v>3</v>
      </c>
      <c r="H471" s="2">
        <v>8240</v>
      </c>
      <c r="I471" s="2">
        <v>614</v>
      </c>
    </row>
    <row r="472" spans="1:9" hidden="1" x14ac:dyDescent="0.3">
      <c r="A472" t="s">
        <v>9</v>
      </c>
      <c r="B472" s="1">
        <v>44409</v>
      </c>
      <c r="C472" s="2">
        <v>82434</v>
      </c>
      <c r="D472" s="2" t="s">
        <v>3</v>
      </c>
      <c r="E472" s="2">
        <v>74807</v>
      </c>
      <c r="F472" s="2" t="s">
        <v>3</v>
      </c>
      <c r="G472" s="2" t="s">
        <v>3</v>
      </c>
      <c r="H472" s="2">
        <v>7627</v>
      </c>
      <c r="I472" s="2">
        <v>873</v>
      </c>
    </row>
    <row r="473" spans="1:9" hidden="1" x14ac:dyDescent="0.3">
      <c r="A473" t="s">
        <v>9</v>
      </c>
      <c r="B473" s="1">
        <v>44378</v>
      </c>
      <c r="C473" s="2">
        <v>80459</v>
      </c>
      <c r="D473" s="2" t="s">
        <v>3</v>
      </c>
      <c r="E473" s="2">
        <v>73705</v>
      </c>
      <c r="F473" s="2" t="s">
        <v>3</v>
      </c>
      <c r="G473" s="2" t="s">
        <v>3</v>
      </c>
      <c r="H473" s="2">
        <v>6754</v>
      </c>
      <c r="I473" s="2">
        <v>-632</v>
      </c>
    </row>
    <row r="474" spans="1:9" hidden="1" x14ac:dyDescent="0.3">
      <c r="A474" t="s">
        <v>9</v>
      </c>
      <c r="B474" s="1">
        <v>44348</v>
      </c>
      <c r="C474" s="2">
        <v>83332</v>
      </c>
      <c r="D474" s="2" t="s">
        <v>3</v>
      </c>
      <c r="E474" s="2">
        <v>75947</v>
      </c>
      <c r="F474" s="2" t="s">
        <v>3</v>
      </c>
      <c r="G474" s="2" t="s">
        <v>3</v>
      </c>
      <c r="H474" s="2">
        <v>7386</v>
      </c>
      <c r="I474" s="2">
        <v>-424</v>
      </c>
    </row>
    <row r="475" spans="1:9" hidden="1" x14ac:dyDescent="0.3">
      <c r="A475" t="s">
        <v>9</v>
      </c>
      <c r="B475" s="1">
        <v>44317</v>
      </c>
      <c r="C475" s="2">
        <v>77147</v>
      </c>
      <c r="D475" s="2" t="s">
        <v>3</v>
      </c>
      <c r="E475" s="2">
        <v>69337</v>
      </c>
      <c r="F475" s="2" t="s">
        <v>3</v>
      </c>
      <c r="G475" s="2" t="s">
        <v>3</v>
      </c>
      <c r="H475" s="2">
        <v>7810</v>
      </c>
      <c r="I475" s="2">
        <v>484</v>
      </c>
    </row>
    <row r="476" spans="1:9" hidden="1" x14ac:dyDescent="0.3">
      <c r="A476" t="s">
        <v>9</v>
      </c>
      <c r="B476" s="1">
        <v>44287</v>
      </c>
      <c r="C476" s="2">
        <v>77850</v>
      </c>
      <c r="D476" s="2" t="s">
        <v>3</v>
      </c>
      <c r="E476" s="2">
        <v>70523</v>
      </c>
      <c r="F476" s="2" t="s">
        <v>3</v>
      </c>
      <c r="G476" s="2" t="s">
        <v>3</v>
      </c>
      <c r="H476" s="2">
        <v>7326</v>
      </c>
      <c r="I476" s="2">
        <v>-305</v>
      </c>
    </row>
    <row r="477" spans="1:9" hidden="1" x14ac:dyDescent="0.3">
      <c r="A477" t="s">
        <v>9</v>
      </c>
      <c r="B477" s="1">
        <v>44256</v>
      </c>
      <c r="C477" s="2">
        <v>77630</v>
      </c>
      <c r="D477" s="2" t="s">
        <v>3</v>
      </c>
      <c r="E477" s="2">
        <v>69999</v>
      </c>
      <c r="F477" s="2" t="s">
        <v>3</v>
      </c>
      <c r="G477" s="2" t="s">
        <v>3</v>
      </c>
      <c r="H477" s="2">
        <v>7631</v>
      </c>
      <c r="I477" s="2">
        <v>-341</v>
      </c>
    </row>
    <row r="478" spans="1:9" hidden="1" x14ac:dyDescent="0.3">
      <c r="A478" t="s">
        <v>9</v>
      </c>
      <c r="B478" s="1">
        <v>44228</v>
      </c>
      <c r="C478" s="2">
        <v>73538</v>
      </c>
      <c r="D478" s="2" t="s">
        <v>3</v>
      </c>
      <c r="E478" s="2">
        <v>65566</v>
      </c>
      <c r="F478" s="2" t="s">
        <v>3</v>
      </c>
      <c r="G478" s="2" t="s">
        <v>3</v>
      </c>
      <c r="H478" s="2">
        <v>7972</v>
      </c>
      <c r="I478" s="2">
        <v>286</v>
      </c>
    </row>
    <row r="479" spans="1:9" hidden="1" x14ac:dyDescent="0.3">
      <c r="A479" t="s">
        <v>9</v>
      </c>
      <c r="B479" s="1">
        <v>44197</v>
      </c>
      <c r="C479" s="2">
        <v>74786</v>
      </c>
      <c r="D479" s="2" t="s">
        <v>3</v>
      </c>
      <c r="E479" s="2">
        <v>67099</v>
      </c>
      <c r="F479" s="2" t="s">
        <v>3</v>
      </c>
      <c r="G479" s="2" t="s">
        <v>3</v>
      </c>
      <c r="H479" s="2">
        <v>7687</v>
      </c>
      <c r="I479" s="2">
        <v>-591</v>
      </c>
    </row>
    <row r="480" spans="1:9" hidden="1" x14ac:dyDescent="0.3">
      <c r="A480" t="s">
        <v>9</v>
      </c>
      <c r="B480" s="1">
        <v>44166</v>
      </c>
      <c r="C480" s="2">
        <v>75363</v>
      </c>
      <c r="D480" s="2" t="s">
        <v>3</v>
      </c>
      <c r="E480" s="2">
        <v>67086</v>
      </c>
      <c r="F480" s="2" t="s">
        <v>3</v>
      </c>
      <c r="G480" s="2" t="s">
        <v>3</v>
      </c>
      <c r="H480" s="2">
        <v>8277</v>
      </c>
      <c r="I480" s="2">
        <v>1115</v>
      </c>
    </row>
    <row r="481" spans="1:9" hidden="1" x14ac:dyDescent="0.3">
      <c r="A481" t="s">
        <v>9</v>
      </c>
      <c r="B481" s="1">
        <v>44136</v>
      </c>
      <c r="C481" s="2">
        <v>72988</v>
      </c>
      <c r="D481" s="2" t="s">
        <v>3</v>
      </c>
      <c r="E481" s="2">
        <v>65826</v>
      </c>
      <c r="F481" s="2" t="s">
        <v>3</v>
      </c>
      <c r="G481" s="2" t="s">
        <v>3</v>
      </c>
      <c r="H481" s="2">
        <v>7162</v>
      </c>
      <c r="I481" s="2">
        <v>376</v>
      </c>
    </row>
    <row r="482" spans="1:9" hidden="1" x14ac:dyDescent="0.3">
      <c r="A482" t="s">
        <v>9</v>
      </c>
      <c r="B482" s="1">
        <v>44105</v>
      </c>
      <c r="C482" s="2">
        <v>74178</v>
      </c>
      <c r="D482" s="2" t="s">
        <v>3</v>
      </c>
      <c r="E482" s="2">
        <v>67392</v>
      </c>
      <c r="F482" s="2" t="s">
        <v>3</v>
      </c>
      <c r="G482" s="2" t="s">
        <v>3</v>
      </c>
      <c r="H482" s="2">
        <v>6786</v>
      </c>
      <c r="I482" s="2">
        <v>-628</v>
      </c>
    </row>
    <row r="483" spans="1:9" hidden="1" x14ac:dyDescent="0.3">
      <c r="A483" t="s">
        <v>9</v>
      </c>
      <c r="B483" s="1">
        <v>44075</v>
      </c>
      <c r="C483" s="2">
        <v>74675</v>
      </c>
      <c r="D483" s="2" t="s">
        <v>3</v>
      </c>
      <c r="E483" s="2">
        <v>67261</v>
      </c>
      <c r="F483" s="2" t="s">
        <v>3</v>
      </c>
      <c r="G483" s="2" t="s">
        <v>3</v>
      </c>
      <c r="H483" s="2">
        <v>7414</v>
      </c>
      <c r="I483" s="2">
        <v>-1052</v>
      </c>
    </row>
    <row r="484" spans="1:9" hidden="1" x14ac:dyDescent="0.3">
      <c r="A484" t="s">
        <v>9</v>
      </c>
      <c r="B484" s="1">
        <v>44044</v>
      </c>
      <c r="C484" s="2">
        <v>78722</v>
      </c>
      <c r="D484" s="2" t="s">
        <v>3</v>
      </c>
      <c r="E484" s="2">
        <v>70256</v>
      </c>
      <c r="F484" s="2" t="s">
        <v>3</v>
      </c>
      <c r="G484" s="2" t="s">
        <v>3</v>
      </c>
      <c r="H484" s="2">
        <v>8467</v>
      </c>
      <c r="I484" s="2">
        <v>-1869</v>
      </c>
    </row>
    <row r="485" spans="1:9" hidden="1" x14ac:dyDescent="0.3">
      <c r="A485" t="s">
        <v>9</v>
      </c>
      <c r="B485" s="1">
        <v>44013</v>
      </c>
      <c r="C485" s="2">
        <v>78192</v>
      </c>
      <c r="D485" s="2" t="s">
        <v>3</v>
      </c>
      <c r="E485" s="2">
        <v>67857</v>
      </c>
      <c r="F485" s="2" t="s">
        <v>3</v>
      </c>
      <c r="G485" s="2" t="s">
        <v>3</v>
      </c>
      <c r="H485" s="2">
        <v>10336</v>
      </c>
      <c r="I485" s="2">
        <v>-1767</v>
      </c>
    </row>
    <row r="486" spans="1:9" hidden="1" x14ac:dyDescent="0.3">
      <c r="A486" t="s">
        <v>9</v>
      </c>
      <c r="B486" s="1">
        <v>43983</v>
      </c>
      <c r="C486" s="2">
        <v>79363</v>
      </c>
      <c r="D486" s="2" t="s">
        <v>3</v>
      </c>
      <c r="E486" s="2">
        <v>67261</v>
      </c>
      <c r="F486" s="2" t="s">
        <v>3</v>
      </c>
      <c r="G486" s="2" t="s">
        <v>3</v>
      </c>
      <c r="H486" s="2">
        <v>12102</v>
      </c>
      <c r="I486" s="2">
        <v>1517</v>
      </c>
    </row>
    <row r="487" spans="1:9" hidden="1" x14ac:dyDescent="0.3">
      <c r="A487" t="s">
        <v>9</v>
      </c>
      <c r="B487" s="1">
        <v>43952</v>
      </c>
      <c r="C487" s="2">
        <v>80582</v>
      </c>
      <c r="D487" s="2" t="s">
        <v>3</v>
      </c>
      <c r="E487" s="2">
        <v>69997</v>
      </c>
      <c r="F487" s="2" t="s">
        <v>3</v>
      </c>
      <c r="G487" s="2" t="s">
        <v>3</v>
      </c>
      <c r="H487" s="2">
        <v>10585</v>
      </c>
      <c r="I487" s="2">
        <v>932</v>
      </c>
    </row>
    <row r="488" spans="1:9" hidden="1" x14ac:dyDescent="0.3">
      <c r="A488" t="s">
        <v>9</v>
      </c>
      <c r="B488" s="1">
        <v>43922</v>
      </c>
      <c r="C488" s="2">
        <v>77710</v>
      </c>
      <c r="D488" s="2" t="s">
        <v>3</v>
      </c>
      <c r="E488" s="2">
        <v>68057</v>
      </c>
      <c r="F488" s="2" t="s">
        <v>3</v>
      </c>
      <c r="G488" s="2" t="s">
        <v>3</v>
      </c>
      <c r="H488" s="2">
        <v>9653</v>
      </c>
      <c r="I488" s="2">
        <v>2116</v>
      </c>
    </row>
    <row r="489" spans="1:9" hidden="1" x14ac:dyDescent="0.3">
      <c r="A489" t="s">
        <v>9</v>
      </c>
      <c r="B489" s="1">
        <v>43891</v>
      </c>
      <c r="C489" s="2">
        <v>77285</v>
      </c>
      <c r="D489" s="2" t="s">
        <v>3</v>
      </c>
      <c r="E489" s="2">
        <v>69748</v>
      </c>
      <c r="F489" s="2" t="s">
        <v>3</v>
      </c>
      <c r="G489" s="2" t="s">
        <v>3</v>
      </c>
      <c r="H489" s="2">
        <v>7537</v>
      </c>
      <c r="I489" s="2">
        <v>-2790</v>
      </c>
    </row>
    <row r="490" spans="1:9" hidden="1" x14ac:dyDescent="0.3">
      <c r="A490" t="s">
        <v>9</v>
      </c>
      <c r="B490" s="1">
        <v>43862</v>
      </c>
      <c r="C490" s="2">
        <v>85963</v>
      </c>
      <c r="D490" s="2" t="s">
        <v>3</v>
      </c>
      <c r="E490" s="2">
        <v>75636</v>
      </c>
      <c r="F490" s="2" t="s">
        <v>3</v>
      </c>
      <c r="G490" s="2" t="s">
        <v>3</v>
      </c>
      <c r="H490" s="2">
        <v>10327</v>
      </c>
      <c r="I490" s="2">
        <v>726</v>
      </c>
    </row>
    <row r="491" spans="1:9" hidden="1" x14ac:dyDescent="0.3">
      <c r="A491" t="s">
        <v>9</v>
      </c>
      <c r="B491" s="1">
        <v>43831</v>
      </c>
      <c r="C491" s="2">
        <v>83730</v>
      </c>
      <c r="D491" s="2" t="s">
        <v>3</v>
      </c>
      <c r="E491" s="2">
        <v>74128</v>
      </c>
      <c r="F491" s="2" t="s">
        <v>3</v>
      </c>
      <c r="G491" s="2" t="s">
        <v>3</v>
      </c>
      <c r="H491" s="2">
        <v>9602</v>
      </c>
      <c r="I491" s="2">
        <v>255</v>
      </c>
    </row>
    <row r="492" spans="1:9" x14ac:dyDescent="0.3">
      <c r="A492" t="s">
        <v>10</v>
      </c>
      <c r="B492" s="1">
        <v>45931</v>
      </c>
      <c r="C492" s="2" t="s">
        <v>3</v>
      </c>
      <c r="D492" s="2" t="s">
        <v>3</v>
      </c>
      <c r="E492" s="2">
        <v>2457</v>
      </c>
      <c r="F492" s="2">
        <v>6</v>
      </c>
      <c r="G492" s="2">
        <v>5</v>
      </c>
      <c r="H492" s="2" t="s">
        <v>3</v>
      </c>
      <c r="I492" s="2" t="s">
        <v>3</v>
      </c>
    </row>
    <row r="493" spans="1:9" x14ac:dyDescent="0.3">
      <c r="A493" t="s">
        <v>10</v>
      </c>
      <c r="B493" s="1">
        <v>45901</v>
      </c>
      <c r="C493" s="2" t="s">
        <v>3</v>
      </c>
      <c r="D493" s="2" t="s">
        <v>3</v>
      </c>
      <c r="E493" s="2">
        <v>2445</v>
      </c>
      <c r="F493" s="2">
        <v>182</v>
      </c>
      <c r="G493" s="2">
        <v>-4</v>
      </c>
      <c r="H493" s="2" t="s">
        <v>3</v>
      </c>
      <c r="I493" s="2" t="s">
        <v>3</v>
      </c>
    </row>
    <row r="494" spans="1:9" x14ac:dyDescent="0.3">
      <c r="A494" t="s">
        <v>10</v>
      </c>
      <c r="B494" s="1">
        <v>45870</v>
      </c>
      <c r="C494" s="2" t="s">
        <v>3</v>
      </c>
      <c r="D494" s="2" t="s">
        <v>3</v>
      </c>
      <c r="E494" s="2">
        <v>2278</v>
      </c>
      <c r="F494" s="2">
        <v>-32</v>
      </c>
      <c r="G494" s="2">
        <v>15</v>
      </c>
      <c r="H494" s="2" t="s">
        <v>3</v>
      </c>
      <c r="I494" s="2" t="s">
        <v>3</v>
      </c>
    </row>
    <row r="495" spans="1:9" x14ac:dyDescent="0.3">
      <c r="A495" t="s">
        <v>10</v>
      </c>
      <c r="B495" s="1">
        <v>45839</v>
      </c>
      <c r="C495" s="2" t="s">
        <v>3</v>
      </c>
      <c r="D495" s="2" t="s">
        <v>3</v>
      </c>
      <c r="E495" s="2">
        <v>2300</v>
      </c>
      <c r="F495" s="2">
        <v>59</v>
      </c>
      <c r="G495" s="2">
        <v>-9</v>
      </c>
      <c r="H495" s="2" t="s">
        <v>3</v>
      </c>
      <c r="I495" s="2" t="s">
        <v>3</v>
      </c>
    </row>
    <row r="496" spans="1:9" x14ac:dyDescent="0.3">
      <c r="A496" t="s">
        <v>10</v>
      </c>
      <c r="B496" s="1">
        <v>45809</v>
      </c>
      <c r="C496" s="2" t="s">
        <v>3</v>
      </c>
      <c r="D496" s="2" t="s">
        <v>3</v>
      </c>
      <c r="E496" s="2">
        <v>2247</v>
      </c>
      <c r="F496" s="2">
        <v>-172</v>
      </c>
      <c r="G496" s="2">
        <v>14</v>
      </c>
      <c r="H496" s="2" t="s">
        <v>3</v>
      </c>
      <c r="I496" s="2" t="s">
        <v>3</v>
      </c>
    </row>
    <row r="497" spans="1:9" x14ac:dyDescent="0.3">
      <c r="A497" t="s">
        <v>10</v>
      </c>
      <c r="B497" s="1">
        <v>45778</v>
      </c>
      <c r="C497" s="2" t="s">
        <v>3</v>
      </c>
      <c r="D497" s="2" t="s">
        <v>3</v>
      </c>
      <c r="E497" s="2">
        <v>2409</v>
      </c>
      <c r="F497" s="2">
        <v>153</v>
      </c>
      <c r="G497" s="2">
        <v>-14</v>
      </c>
      <c r="H497" s="2" t="s">
        <v>3</v>
      </c>
      <c r="I497" s="2" t="s">
        <v>3</v>
      </c>
    </row>
    <row r="498" spans="1:9" x14ac:dyDescent="0.3">
      <c r="A498" t="s">
        <v>10</v>
      </c>
      <c r="B498" s="1">
        <v>45748</v>
      </c>
      <c r="C498" s="2" t="s">
        <v>3</v>
      </c>
      <c r="D498" s="2" t="s">
        <v>3</v>
      </c>
      <c r="E498" s="2">
        <v>2272</v>
      </c>
      <c r="F498" s="2">
        <v>-4</v>
      </c>
      <c r="G498" s="2">
        <v>16</v>
      </c>
      <c r="H498" s="2" t="s">
        <v>3</v>
      </c>
      <c r="I498" s="2" t="s">
        <v>3</v>
      </c>
    </row>
    <row r="499" spans="1:9" x14ac:dyDescent="0.3">
      <c r="A499" t="s">
        <v>10</v>
      </c>
      <c r="B499" s="1">
        <v>45717</v>
      </c>
      <c r="C499" s="2" t="s">
        <v>3</v>
      </c>
      <c r="D499" s="2" t="s">
        <v>3</v>
      </c>
      <c r="E499" s="2">
        <v>2262</v>
      </c>
      <c r="F499" s="2">
        <v>-63</v>
      </c>
      <c r="G499" s="2">
        <v>5</v>
      </c>
      <c r="H499" s="2" t="s">
        <v>3</v>
      </c>
      <c r="I499" s="2" t="s">
        <v>3</v>
      </c>
    </row>
    <row r="500" spans="1:9" x14ac:dyDescent="0.3">
      <c r="A500" t="s">
        <v>10</v>
      </c>
      <c r="B500" s="1">
        <v>45689</v>
      </c>
      <c r="C500" s="2" t="s">
        <v>3</v>
      </c>
      <c r="D500" s="2" t="s">
        <v>3</v>
      </c>
      <c r="E500" s="2">
        <v>2321</v>
      </c>
      <c r="F500" s="2">
        <v>-11</v>
      </c>
      <c r="G500" s="2">
        <v>22</v>
      </c>
      <c r="H500" s="2" t="s">
        <v>3</v>
      </c>
      <c r="I500" s="2" t="s">
        <v>3</v>
      </c>
    </row>
    <row r="501" spans="1:9" x14ac:dyDescent="0.3">
      <c r="A501" t="s">
        <v>10</v>
      </c>
      <c r="B501" s="1">
        <v>45658</v>
      </c>
      <c r="C501" s="2" t="s">
        <v>3</v>
      </c>
      <c r="D501" s="2" t="s">
        <v>3</v>
      </c>
      <c r="E501" s="2">
        <v>2315</v>
      </c>
      <c r="F501" s="2">
        <v>-48</v>
      </c>
      <c r="G501" s="2">
        <v>5</v>
      </c>
      <c r="H501" s="2" t="s">
        <v>3</v>
      </c>
      <c r="I501" s="2" t="s">
        <v>3</v>
      </c>
    </row>
    <row r="502" spans="1:9" x14ac:dyDescent="0.3">
      <c r="A502" t="s">
        <v>10</v>
      </c>
      <c r="B502" s="1">
        <v>45627</v>
      </c>
      <c r="C502" s="2" t="s">
        <v>3</v>
      </c>
      <c r="D502" s="2" t="s">
        <v>3</v>
      </c>
      <c r="E502" s="2">
        <v>2357</v>
      </c>
      <c r="F502" s="2">
        <v>106</v>
      </c>
      <c r="G502" s="2">
        <v>-16</v>
      </c>
      <c r="H502" s="2" t="s">
        <v>3</v>
      </c>
      <c r="I502" s="2" t="s">
        <v>3</v>
      </c>
    </row>
    <row r="503" spans="1:9" x14ac:dyDescent="0.3">
      <c r="A503" t="s">
        <v>10</v>
      </c>
      <c r="B503" s="1">
        <v>45597</v>
      </c>
      <c r="C503" s="2" t="s">
        <v>3</v>
      </c>
      <c r="D503" s="2" t="s">
        <v>3</v>
      </c>
      <c r="E503" s="2">
        <v>2270</v>
      </c>
      <c r="F503" s="2">
        <v>-80</v>
      </c>
      <c r="G503" s="2">
        <v>7</v>
      </c>
      <c r="H503" s="2" t="s">
        <v>3</v>
      </c>
      <c r="I503" s="2" t="s">
        <v>3</v>
      </c>
    </row>
    <row r="504" spans="1:9" x14ac:dyDescent="0.3">
      <c r="A504" t="s">
        <v>10</v>
      </c>
      <c r="B504" s="1">
        <v>45566</v>
      </c>
      <c r="C504" s="2" t="s">
        <v>3</v>
      </c>
      <c r="D504" s="2" t="s">
        <v>3</v>
      </c>
      <c r="E504" s="2">
        <v>2356</v>
      </c>
      <c r="F504" s="2">
        <v>111</v>
      </c>
      <c r="G504" s="2">
        <v>-30</v>
      </c>
      <c r="H504" s="2" t="s">
        <v>3</v>
      </c>
      <c r="I504" s="2" t="s">
        <v>3</v>
      </c>
    </row>
    <row r="505" spans="1:9" x14ac:dyDescent="0.3">
      <c r="A505" t="s">
        <v>10</v>
      </c>
      <c r="B505" s="1">
        <v>45536</v>
      </c>
      <c r="C505" s="2" t="s">
        <v>3</v>
      </c>
      <c r="D505" s="2" t="s">
        <v>3</v>
      </c>
      <c r="E505" s="2">
        <v>2302</v>
      </c>
      <c r="F505" s="2">
        <v>-55</v>
      </c>
      <c r="G505" s="2">
        <v>13</v>
      </c>
      <c r="H505" s="2" t="s">
        <v>3</v>
      </c>
      <c r="I505" s="2" t="s">
        <v>3</v>
      </c>
    </row>
    <row r="506" spans="1:9" x14ac:dyDescent="0.3">
      <c r="A506" t="s">
        <v>10</v>
      </c>
      <c r="B506" s="1">
        <v>45505</v>
      </c>
      <c r="C506" s="2" t="s">
        <v>3</v>
      </c>
      <c r="D506" s="2" t="s">
        <v>3</v>
      </c>
      <c r="E506" s="2">
        <v>2343</v>
      </c>
      <c r="F506" s="2">
        <v>-39</v>
      </c>
      <c r="G506" s="2">
        <v>19</v>
      </c>
      <c r="H506" s="2" t="s">
        <v>3</v>
      </c>
      <c r="I506" s="2" t="s">
        <v>3</v>
      </c>
    </row>
    <row r="507" spans="1:9" x14ac:dyDescent="0.3">
      <c r="A507" t="s">
        <v>10</v>
      </c>
      <c r="B507" s="1">
        <v>45474</v>
      </c>
      <c r="C507" s="2" t="s">
        <v>3</v>
      </c>
      <c r="D507" s="2" t="s">
        <v>3</v>
      </c>
      <c r="E507" s="2">
        <v>2363</v>
      </c>
      <c r="F507" s="2">
        <v>-19</v>
      </c>
      <c r="G507" s="2">
        <v>29</v>
      </c>
      <c r="H507" s="2" t="s">
        <v>3</v>
      </c>
      <c r="I507" s="2" t="s">
        <v>3</v>
      </c>
    </row>
    <row r="508" spans="1:9" x14ac:dyDescent="0.3">
      <c r="A508" t="s">
        <v>10</v>
      </c>
      <c r="B508" s="1">
        <v>45444</v>
      </c>
      <c r="C508" s="2" t="s">
        <v>3</v>
      </c>
      <c r="D508" s="2" t="s">
        <v>3</v>
      </c>
      <c r="E508" s="2">
        <v>2356</v>
      </c>
      <c r="F508" s="2">
        <v>-20</v>
      </c>
      <c r="G508" s="2">
        <v>14</v>
      </c>
      <c r="H508" s="2" t="s">
        <v>3</v>
      </c>
      <c r="I508" s="2" t="s">
        <v>3</v>
      </c>
    </row>
    <row r="509" spans="1:9" x14ac:dyDescent="0.3">
      <c r="A509" t="s">
        <v>10</v>
      </c>
      <c r="B509" s="1">
        <v>45413</v>
      </c>
      <c r="C509" s="2" t="s">
        <v>3</v>
      </c>
      <c r="D509" s="2" t="s">
        <v>3</v>
      </c>
      <c r="E509" s="2">
        <v>2361</v>
      </c>
      <c r="F509" s="2">
        <v>-87</v>
      </c>
      <c r="G509" s="2">
        <v>16</v>
      </c>
      <c r="H509" s="2" t="s">
        <v>3</v>
      </c>
      <c r="I509" s="2" t="s">
        <v>3</v>
      </c>
    </row>
    <row r="510" spans="1:9" x14ac:dyDescent="0.3">
      <c r="A510" t="s">
        <v>10</v>
      </c>
      <c r="B510" s="1">
        <v>45383</v>
      </c>
      <c r="C510" s="2" t="s">
        <v>3</v>
      </c>
      <c r="D510" s="2" t="s">
        <v>3</v>
      </c>
      <c r="E510" s="2">
        <v>2430</v>
      </c>
      <c r="F510" s="2">
        <v>106</v>
      </c>
      <c r="G510" s="2">
        <v>-26</v>
      </c>
      <c r="H510" s="2" t="s">
        <v>3</v>
      </c>
      <c r="I510" s="2" t="s">
        <v>3</v>
      </c>
    </row>
    <row r="511" spans="1:9" x14ac:dyDescent="0.3">
      <c r="A511" t="s">
        <v>10</v>
      </c>
      <c r="B511" s="1">
        <v>45352</v>
      </c>
      <c r="C511" s="2" t="s">
        <v>3</v>
      </c>
      <c r="D511" s="2" t="s">
        <v>3</v>
      </c>
      <c r="E511" s="2">
        <v>2353</v>
      </c>
      <c r="F511" s="2">
        <v>-23</v>
      </c>
      <c r="G511" s="2">
        <v>6</v>
      </c>
      <c r="H511" s="2" t="s">
        <v>3</v>
      </c>
      <c r="I511" s="2" t="s">
        <v>3</v>
      </c>
    </row>
    <row r="512" spans="1:9" x14ac:dyDescent="0.3">
      <c r="A512" t="s">
        <v>10</v>
      </c>
      <c r="B512" s="1">
        <v>45323</v>
      </c>
      <c r="C512" s="2" t="s">
        <v>3</v>
      </c>
      <c r="D512" s="2" t="s">
        <v>3</v>
      </c>
      <c r="E512" s="2">
        <v>2370</v>
      </c>
      <c r="F512" s="2">
        <v>155</v>
      </c>
      <c r="G512" s="2">
        <v>-19</v>
      </c>
      <c r="H512" s="2" t="s">
        <v>3</v>
      </c>
      <c r="I512" s="2" t="s">
        <v>3</v>
      </c>
    </row>
    <row r="513" spans="1:9" x14ac:dyDescent="0.3">
      <c r="A513" t="s">
        <v>10</v>
      </c>
      <c r="B513" s="1">
        <v>45292</v>
      </c>
      <c r="C513" s="2" t="s">
        <v>3</v>
      </c>
      <c r="D513" s="2" t="s">
        <v>3</v>
      </c>
      <c r="E513" s="2">
        <v>2234</v>
      </c>
      <c r="F513" s="2">
        <v>66</v>
      </c>
      <c r="G513" s="2">
        <v>8</v>
      </c>
      <c r="H513" s="2" t="s">
        <v>3</v>
      </c>
      <c r="I513" s="2" t="s">
        <v>3</v>
      </c>
    </row>
    <row r="514" spans="1:9" x14ac:dyDescent="0.3">
      <c r="A514" t="s">
        <v>10</v>
      </c>
      <c r="B514" s="1">
        <v>45261</v>
      </c>
      <c r="C514" s="2" t="s">
        <v>3</v>
      </c>
      <c r="D514" s="2" t="s">
        <v>3</v>
      </c>
      <c r="E514" s="2">
        <v>1836</v>
      </c>
      <c r="F514" s="2">
        <v>-104</v>
      </c>
      <c r="G514" s="2">
        <v>28</v>
      </c>
      <c r="H514" s="2" t="s">
        <v>3</v>
      </c>
      <c r="I514" s="2" t="s">
        <v>3</v>
      </c>
    </row>
    <row r="515" spans="1:9" x14ac:dyDescent="0.3">
      <c r="A515" t="s">
        <v>10</v>
      </c>
      <c r="B515" s="1">
        <v>45231</v>
      </c>
      <c r="C515" s="2" t="s">
        <v>3</v>
      </c>
      <c r="D515" s="2" t="s">
        <v>3</v>
      </c>
      <c r="E515" s="2">
        <v>2814</v>
      </c>
      <c r="F515" s="2">
        <v>-2</v>
      </c>
      <c r="G515" s="2">
        <v>33</v>
      </c>
      <c r="H515" s="2" t="s">
        <v>3</v>
      </c>
      <c r="I515" s="2" t="s">
        <v>3</v>
      </c>
    </row>
    <row r="516" spans="1:9" x14ac:dyDescent="0.3">
      <c r="A516" t="s">
        <v>10</v>
      </c>
      <c r="B516" s="1">
        <v>45200</v>
      </c>
      <c r="C516" s="2" t="s">
        <v>3</v>
      </c>
      <c r="D516" s="2" t="s">
        <v>3</v>
      </c>
      <c r="E516" s="2">
        <v>2782</v>
      </c>
      <c r="F516" s="2">
        <v>-13</v>
      </c>
      <c r="G516" s="2">
        <v>-10</v>
      </c>
      <c r="H516" s="2" t="s">
        <v>3</v>
      </c>
      <c r="I516" s="2" t="s">
        <v>3</v>
      </c>
    </row>
    <row r="517" spans="1:9" x14ac:dyDescent="0.3">
      <c r="A517" t="s">
        <v>10</v>
      </c>
      <c r="B517" s="1">
        <v>45170</v>
      </c>
      <c r="C517" s="2" t="s">
        <v>3</v>
      </c>
      <c r="D517" s="2" t="s">
        <v>3</v>
      </c>
      <c r="E517" s="2">
        <v>2806</v>
      </c>
      <c r="F517" s="2">
        <v>96</v>
      </c>
      <c r="G517" s="2">
        <v>-27</v>
      </c>
      <c r="H517" s="2" t="s">
        <v>3</v>
      </c>
      <c r="I517" s="2" t="s">
        <v>3</v>
      </c>
    </row>
    <row r="518" spans="1:9" x14ac:dyDescent="0.3">
      <c r="A518" t="s">
        <v>10</v>
      </c>
      <c r="B518" s="1">
        <v>45139</v>
      </c>
      <c r="C518" s="2" t="s">
        <v>3</v>
      </c>
      <c r="D518" s="2" t="s">
        <v>3</v>
      </c>
      <c r="E518" s="2">
        <v>2742</v>
      </c>
      <c r="F518" s="2">
        <v>-136</v>
      </c>
      <c r="G518" s="2">
        <v>-4</v>
      </c>
      <c r="H518" s="2" t="s">
        <v>3</v>
      </c>
      <c r="I518" s="2" t="s">
        <v>3</v>
      </c>
    </row>
    <row r="519" spans="1:9" x14ac:dyDescent="0.3">
      <c r="A519" t="s">
        <v>10</v>
      </c>
      <c r="B519" s="1">
        <v>45108</v>
      </c>
      <c r="C519" s="2" t="s">
        <v>3</v>
      </c>
      <c r="D519" s="2" t="s">
        <v>3</v>
      </c>
      <c r="E519" s="2">
        <v>2939</v>
      </c>
      <c r="F519" s="2">
        <v>-170</v>
      </c>
      <c r="G519" s="2">
        <v>1</v>
      </c>
      <c r="H519" s="2" t="s">
        <v>3</v>
      </c>
      <c r="I519" s="2" t="s">
        <v>3</v>
      </c>
    </row>
    <row r="520" spans="1:9" x14ac:dyDescent="0.3">
      <c r="A520" t="s">
        <v>10</v>
      </c>
      <c r="B520" s="1">
        <v>45078</v>
      </c>
      <c r="C520" s="2" t="s">
        <v>3</v>
      </c>
      <c r="D520" s="2" t="s">
        <v>3</v>
      </c>
      <c r="E520" s="2">
        <v>3108</v>
      </c>
      <c r="F520" s="2">
        <v>521</v>
      </c>
      <c r="G520" s="2">
        <v>-13</v>
      </c>
      <c r="H520" s="2" t="s">
        <v>3</v>
      </c>
      <c r="I520" s="2" t="s">
        <v>3</v>
      </c>
    </row>
    <row r="521" spans="1:9" x14ac:dyDescent="0.3">
      <c r="A521" t="s">
        <v>10</v>
      </c>
      <c r="B521" s="1">
        <v>45047</v>
      </c>
      <c r="C521" s="2" t="s">
        <v>3</v>
      </c>
      <c r="D521" s="2" t="s">
        <v>3</v>
      </c>
      <c r="E521" s="2">
        <v>2599</v>
      </c>
      <c r="F521" s="2">
        <v>322</v>
      </c>
      <c r="G521" s="2">
        <v>-8</v>
      </c>
      <c r="H521" s="2" t="s">
        <v>3</v>
      </c>
      <c r="I521" s="2" t="s">
        <v>3</v>
      </c>
    </row>
    <row r="522" spans="1:9" x14ac:dyDescent="0.3">
      <c r="A522" t="s">
        <v>10</v>
      </c>
      <c r="B522" s="1">
        <v>45017</v>
      </c>
      <c r="C522" s="2" t="s">
        <v>3</v>
      </c>
      <c r="D522" s="2" t="s">
        <v>3</v>
      </c>
      <c r="E522" s="2">
        <v>2286</v>
      </c>
      <c r="F522" s="2">
        <v>-410</v>
      </c>
      <c r="G522" s="2">
        <v>7</v>
      </c>
      <c r="H522" s="2" t="s">
        <v>3</v>
      </c>
      <c r="I522" s="2" t="s">
        <v>3</v>
      </c>
    </row>
    <row r="523" spans="1:9" x14ac:dyDescent="0.3">
      <c r="A523" t="s">
        <v>10</v>
      </c>
      <c r="B523" s="1">
        <v>44986</v>
      </c>
      <c r="C523" s="2" t="s">
        <v>3</v>
      </c>
      <c r="D523" s="2" t="s">
        <v>3</v>
      </c>
      <c r="E523" s="2">
        <v>2688</v>
      </c>
      <c r="F523" s="2">
        <v>-117</v>
      </c>
      <c r="G523" s="2">
        <v>41</v>
      </c>
      <c r="H523" s="2" t="s">
        <v>3</v>
      </c>
      <c r="I523" s="2" t="s">
        <v>3</v>
      </c>
    </row>
    <row r="524" spans="1:9" x14ac:dyDescent="0.3">
      <c r="A524" t="s">
        <v>10</v>
      </c>
      <c r="B524" s="1">
        <v>44958</v>
      </c>
      <c r="C524" s="2" t="s">
        <v>3</v>
      </c>
      <c r="D524" s="2" t="s">
        <v>3</v>
      </c>
      <c r="E524" s="2">
        <v>2762</v>
      </c>
      <c r="F524" s="2">
        <v>323</v>
      </c>
      <c r="G524" s="2">
        <v>-20</v>
      </c>
      <c r="H524" s="2" t="s">
        <v>3</v>
      </c>
      <c r="I524" s="2" t="s">
        <v>3</v>
      </c>
    </row>
    <row r="525" spans="1:9" hidden="1" x14ac:dyDescent="0.3">
      <c r="A525" t="s">
        <v>10</v>
      </c>
      <c r="B525" s="1">
        <v>44927</v>
      </c>
      <c r="C525" s="2" t="s">
        <v>3</v>
      </c>
      <c r="D525" s="2" t="s">
        <v>3</v>
      </c>
      <c r="E525" s="2">
        <v>2460</v>
      </c>
      <c r="F525" s="2" t="s">
        <v>3</v>
      </c>
      <c r="G525" s="2" t="s">
        <v>3</v>
      </c>
      <c r="H525" s="2" t="s">
        <v>3</v>
      </c>
      <c r="I525" s="2" t="s">
        <v>3</v>
      </c>
    </row>
    <row r="526" spans="1:9" hidden="1" x14ac:dyDescent="0.3">
      <c r="A526" t="s">
        <v>10</v>
      </c>
      <c r="B526" s="1">
        <v>44896</v>
      </c>
      <c r="C526" s="2" t="s">
        <v>3</v>
      </c>
      <c r="D526" s="2" t="s">
        <v>3</v>
      </c>
      <c r="E526" s="2">
        <v>2548</v>
      </c>
      <c r="F526" s="2" t="s">
        <v>3</v>
      </c>
      <c r="G526" s="2" t="s">
        <v>3</v>
      </c>
      <c r="H526" s="2" t="s">
        <v>3</v>
      </c>
      <c r="I526" s="2" t="s">
        <v>3</v>
      </c>
    </row>
    <row r="527" spans="1:9" hidden="1" x14ac:dyDescent="0.3">
      <c r="A527" t="s">
        <v>10</v>
      </c>
      <c r="B527" s="1">
        <v>44866</v>
      </c>
      <c r="C527" s="2" t="s">
        <v>3</v>
      </c>
      <c r="D527" s="2" t="s">
        <v>3</v>
      </c>
      <c r="E527" s="2">
        <v>2576</v>
      </c>
      <c r="F527" s="2" t="s">
        <v>3</v>
      </c>
      <c r="G527" s="2" t="s">
        <v>3</v>
      </c>
      <c r="H527" s="2" t="s">
        <v>3</v>
      </c>
      <c r="I527" s="2" t="s">
        <v>3</v>
      </c>
    </row>
    <row r="528" spans="1:9" hidden="1" x14ac:dyDescent="0.3">
      <c r="A528" t="s">
        <v>10</v>
      </c>
      <c r="B528" s="1">
        <v>44835</v>
      </c>
      <c r="C528" s="2" t="s">
        <v>3</v>
      </c>
      <c r="D528" s="2" t="s">
        <v>3</v>
      </c>
      <c r="E528" s="2">
        <v>2600</v>
      </c>
      <c r="F528" s="2" t="s">
        <v>3</v>
      </c>
      <c r="G528" s="2" t="s">
        <v>3</v>
      </c>
      <c r="H528" s="2" t="s">
        <v>3</v>
      </c>
      <c r="I528" s="2" t="s">
        <v>3</v>
      </c>
    </row>
    <row r="529" spans="1:9" hidden="1" x14ac:dyDescent="0.3">
      <c r="A529" t="s">
        <v>10</v>
      </c>
      <c r="B529" s="1">
        <v>44805</v>
      </c>
      <c r="C529" s="2" t="s">
        <v>3</v>
      </c>
      <c r="D529" s="2" t="s">
        <v>3</v>
      </c>
      <c r="E529" s="2">
        <v>2419</v>
      </c>
      <c r="F529" s="2" t="s">
        <v>3</v>
      </c>
      <c r="G529" s="2" t="s">
        <v>3</v>
      </c>
      <c r="H529" s="2" t="s">
        <v>3</v>
      </c>
      <c r="I529" s="2" t="s">
        <v>3</v>
      </c>
    </row>
    <row r="530" spans="1:9" hidden="1" x14ac:dyDescent="0.3">
      <c r="A530" t="s">
        <v>10</v>
      </c>
      <c r="B530" s="1">
        <v>44774</v>
      </c>
      <c r="C530" s="2" t="s">
        <v>3</v>
      </c>
      <c r="D530" s="2" t="s">
        <v>3</v>
      </c>
      <c r="E530" s="2">
        <v>2222</v>
      </c>
      <c r="F530" s="2" t="s">
        <v>3</v>
      </c>
      <c r="G530" s="2" t="s">
        <v>3</v>
      </c>
      <c r="H530" s="2" t="s">
        <v>3</v>
      </c>
      <c r="I530" s="2" t="s">
        <v>3</v>
      </c>
    </row>
    <row r="531" spans="1:9" hidden="1" x14ac:dyDescent="0.3">
      <c r="A531" t="s">
        <v>10</v>
      </c>
      <c r="B531" s="1">
        <v>44743</v>
      </c>
      <c r="C531" s="2" t="s">
        <v>3</v>
      </c>
      <c r="D531" s="2" t="s">
        <v>3</v>
      </c>
      <c r="E531" s="2">
        <v>2045</v>
      </c>
      <c r="F531" s="2" t="s">
        <v>3</v>
      </c>
      <c r="G531" s="2" t="s">
        <v>3</v>
      </c>
      <c r="H531" s="2" t="s">
        <v>3</v>
      </c>
      <c r="I531" s="2" t="s">
        <v>3</v>
      </c>
    </row>
    <row r="532" spans="1:9" hidden="1" x14ac:dyDescent="0.3">
      <c r="A532" t="s">
        <v>10</v>
      </c>
      <c r="B532" s="1">
        <v>44713</v>
      </c>
      <c r="C532" s="2" t="s">
        <v>3</v>
      </c>
      <c r="D532" s="2" t="s">
        <v>3</v>
      </c>
      <c r="E532" s="2">
        <v>2012</v>
      </c>
      <c r="F532" s="2" t="s">
        <v>3</v>
      </c>
      <c r="G532" s="2" t="s">
        <v>3</v>
      </c>
      <c r="H532" s="2" t="s">
        <v>3</v>
      </c>
      <c r="I532" s="2" t="s">
        <v>3</v>
      </c>
    </row>
    <row r="533" spans="1:9" hidden="1" x14ac:dyDescent="0.3">
      <c r="A533" t="s">
        <v>10</v>
      </c>
      <c r="B533" s="1">
        <v>44682</v>
      </c>
      <c r="C533" s="2" t="s">
        <v>3</v>
      </c>
      <c r="D533" s="2" t="s">
        <v>3</v>
      </c>
      <c r="E533" s="2">
        <v>1891</v>
      </c>
      <c r="F533" s="2" t="s">
        <v>3</v>
      </c>
      <c r="G533" s="2" t="s">
        <v>3</v>
      </c>
      <c r="H533" s="2" t="s">
        <v>3</v>
      </c>
      <c r="I533" s="2" t="s">
        <v>3</v>
      </c>
    </row>
    <row r="534" spans="1:9" hidden="1" x14ac:dyDescent="0.3">
      <c r="A534" t="s">
        <v>10</v>
      </c>
      <c r="B534" s="1">
        <v>44652</v>
      </c>
      <c r="C534" s="2" t="s">
        <v>3</v>
      </c>
      <c r="D534" s="2" t="s">
        <v>3</v>
      </c>
      <c r="E534" s="2">
        <v>1904</v>
      </c>
      <c r="F534" s="2" t="s">
        <v>3</v>
      </c>
      <c r="G534" s="2" t="s">
        <v>3</v>
      </c>
      <c r="H534" s="2" t="s">
        <v>3</v>
      </c>
      <c r="I534" s="2" t="s">
        <v>3</v>
      </c>
    </row>
    <row r="535" spans="1:9" hidden="1" x14ac:dyDescent="0.3">
      <c r="A535" t="s">
        <v>10</v>
      </c>
      <c r="B535" s="1">
        <v>44621</v>
      </c>
      <c r="C535" s="2" t="s">
        <v>3</v>
      </c>
      <c r="D535" s="2" t="s">
        <v>3</v>
      </c>
      <c r="E535" s="2">
        <v>2057</v>
      </c>
      <c r="F535" s="2" t="s">
        <v>3</v>
      </c>
      <c r="G535" s="2" t="s">
        <v>3</v>
      </c>
      <c r="H535" s="2" t="s">
        <v>3</v>
      </c>
      <c r="I535" s="2" t="s">
        <v>3</v>
      </c>
    </row>
    <row r="536" spans="1:9" hidden="1" x14ac:dyDescent="0.3">
      <c r="A536" t="s">
        <v>10</v>
      </c>
      <c r="B536" s="1">
        <v>44593</v>
      </c>
      <c r="C536" s="2" t="s">
        <v>3</v>
      </c>
      <c r="D536" s="2" t="s">
        <v>3</v>
      </c>
      <c r="E536" s="2">
        <v>1701</v>
      </c>
      <c r="F536" s="2" t="s">
        <v>3</v>
      </c>
      <c r="G536" s="2" t="s">
        <v>3</v>
      </c>
      <c r="H536" s="2" t="s">
        <v>3</v>
      </c>
      <c r="I536" s="2" t="s">
        <v>3</v>
      </c>
    </row>
    <row r="537" spans="1:9" hidden="1" x14ac:dyDescent="0.3">
      <c r="A537" t="s">
        <v>10</v>
      </c>
      <c r="B537" s="1">
        <v>44562</v>
      </c>
      <c r="C537" s="2" t="s">
        <v>3</v>
      </c>
      <c r="D537" s="2" t="s">
        <v>3</v>
      </c>
      <c r="E537" s="2">
        <v>1441</v>
      </c>
      <c r="F537" s="2" t="s">
        <v>3</v>
      </c>
      <c r="G537" s="2" t="s">
        <v>3</v>
      </c>
      <c r="H537" s="2" t="s">
        <v>3</v>
      </c>
      <c r="I537" s="2" t="s">
        <v>3</v>
      </c>
    </row>
    <row r="538" spans="1:9" hidden="1" x14ac:dyDescent="0.3">
      <c r="A538" t="s">
        <v>10</v>
      </c>
      <c r="B538" s="1">
        <v>44531</v>
      </c>
      <c r="C538" s="2" t="s">
        <v>3</v>
      </c>
      <c r="D538" s="2" t="s">
        <v>3</v>
      </c>
      <c r="E538" s="2">
        <v>1221</v>
      </c>
      <c r="F538" s="2" t="s">
        <v>3</v>
      </c>
      <c r="G538" s="2" t="s">
        <v>3</v>
      </c>
      <c r="H538" s="2" t="s">
        <v>3</v>
      </c>
      <c r="I538" s="2" t="s">
        <v>3</v>
      </c>
    </row>
    <row r="539" spans="1:9" hidden="1" x14ac:dyDescent="0.3">
      <c r="A539" t="s">
        <v>10</v>
      </c>
      <c r="B539" s="1">
        <v>44501</v>
      </c>
      <c r="C539" s="2" t="s">
        <v>3</v>
      </c>
      <c r="D539" s="2" t="s">
        <v>3</v>
      </c>
      <c r="E539" s="2">
        <v>1352</v>
      </c>
      <c r="F539" s="2" t="s">
        <v>3</v>
      </c>
      <c r="G539" s="2" t="s">
        <v>3</v>
      </c>
      <c r="H539" s="2" t="s">
        <v>3</v>
      </c>
      <c r="I539" s="2" t="s">
        <v>3</v>
      </c>
    </row>
    <row r="540" spans="1:9" hidden="1" x14ac:dyDescent="0.3">
      <c r="A540" t="s">
        <v>10</v>
      </c>
      <c r="B540" s="1">
        <v>44470</v>
      </c>
      <c r="C540" s="2" t="s">
        <v>3</v>
      </c>
      <c r="D540" s="2" t="s">
        <v>3</v>
      </c>
      <c r="E540" s="2">
        <v>1373</v>
      </c>
      <c r="F540" s="2" t="s">
        <v>3</v>
      </c>
      <c r="G540" s="2" t="s">
        <v>3</v>
      </c>
      <c r="H540" s="2" t="s">
        <v>3</v>
      </c>
      <c r="I540" s="2" t="s">
        <v>3</v>
      </c>
    </row>
    <row r="541" spans="1:9" hidden="1" x14ac:dyDescent="0.3">
      <c r="A541" t="s">
        <v>10</v>
      </c>
      <c r="B541" s="1">
        <v>44440</v>
      </c>
      <c r="C541" s="2" t="s">
        <v>3</v>
      </c>
      <c r="D541" s="2" t="s">
        <v>3</v>
      </c>
      <c r="E541" s="2">
        <v>1425</v>
      </c>
      <c r="F541" s="2" t="s">
        <v>3</v>
      </c>
      <c r="G541" s="2" t="s">
        <v>3</v>
      </c>
      <c r="H541" s="2" t="s">
        <v>3</v>
      </c>
      <c r="I541" s="2" t="s">
        <v>3</v>
      </c>
    </row>
    <row r="542" spans="1:9" hidden="1" x14ac:dyDescent="0.3">
      <c r="A542" t="s">
        <v>10</v>
      </c>
      <c r="B542" s="1">
        <v>44409</v>
      </c>
      <c r="C542" s="2" t="s">
        <v>3</v>
      </c>
      <c r="D542" s="2" t="s">
        <v>3</v>
      </c>
      <c r="E542" s="2">
        <v>1382</v>
      </c>
      <c r="F542" s="2" t="s">
        <v>3</v>
      </c>
      <c r="G542" s="2" t="s">
        <v>3</v>
      </c>
      <c r="H542" s="2" t="s">
        <v>3</v>
      </c>
      <c r="I542" s="2" t="s">
        <v>3</v>
      </c>
    </row>
    <row r="543" spans="1:9" hidden="1" x14ac:dyDescent="0.3">
      <c r="A543" t="s">
        <v>10</v>
      </c>
      <c r="B543" s="1">
        <v>44378</v>
      </c>
      <c r="C543" s="2" t="s">
        <v>3</v>
      </c>
      <c r="D543" s="2" t="s">
        <v>3</v>
      </c>
      <c r="E543" s="2">
        <v>1288</v>
      </c>
      <c r="F543" s="2" t="s">
        <v>3</v>
      </c>
      <c r="G543" s="2" t="s">
        <v>3</v>
      </c>
      <c r="H543" s="2" t="s">
        <v>3</v>
      </c>
      <c r="I543" s="2" t="s">
        <v>3</v>
      </c>
    </row>
    <row r="544" spans="1:9" hidden="1" x14ac:dyDescent="0.3">
      <c r="A544" t="s">
        <v>10</v>
      </c>
      <c r="B544" s="1">
        <v>44348</v>
      </c>
      <c r="C544" s="2" t="s">
        <v>3</v>
      </c>
      <c r="D544" s="2" t="s">
        <v>3</v>
      </c>
      <c r="E544" s="2">
        <v>1298</v>
      </c>
      <c r="F544" s="2" t="s">
        <v>3</v>
      </c>
      <c r="G544" s="2" t="s">
        <v>3</v>
      </c>
      <c r="H544" s="2" t="s">
        <v>3</v>
      </c>
      <c r="I544" s="2" t="s">
        <v>3</v>
      </c>
    </row>
    <row r="545" spans="1:9" hidden="1" x14ac:dyDescent="0.3">
      <c r="A545" t="s">
        <v>10</v>
      </c>
      <c r="B545" s="1">
        <v>44317</v>
      </c>
      <c r="C545" s="2" t="s">
        <v>3</v>
      </c>
      <c r="D545" s="2" t="s">
        <v>3</v>
      </c>
      <c r="E545" s="2">
        <v>1084</v>
      </c>
      <c r="F545" s="2" t="s">
        <v>3</v>
      </c>
      <c r="G545" s="2" t="s">
        <v>3</v>
      </c>
      <c r="H545" s="2" t="s">
        <v>3</v>
      </c>
      <c r="I545" s="2" t="s">
        <v>3</v>
      </c>
    </row>
    <row r="546" spans="1:9" hidden="1" x14ac:dyDescent="0.3">
      <c r="A546" t="s">
        <v>10</v>
      </c>
      <c r="B546" s="1">
        <v>44287</v>
      </c>
      <c r="C546" s="2" t="s">
        <v>3</v>
      </c>
      <c r="D546" s="2" t="s">
        <v>3</v>
      </c>
      <c r="E546" s="2">
        <v>1188</v>
      </c>
      <c r="F546" s="2" t="s">
        <v>3</v>
      </c>
      <c r="G546" s="2" t="s">
        <v>3</v>
      </c>
      <c r="H546" s="2" t="s">
        <v>3</v>
      </c>
      <c r="I546" s="2" t="s">
        <v>3</v>
      </c>
    </row>
    <row r="547" spans="1:9" hidden="1" x14ac:dyDescent="0.3">
      <c r="A547" t="s">
        <v>10</v>
      </c>
      <c r="B547" s="1">
        <v>44256</v>
      </c>
      <c r="C547" s="2" t="s">
        <v>3</v>
      </c>
      <c r="D547" s="2" t="s">
        <v>3</v>
      </c>
      <c r="E547" s="2">
        <v>1370</v>
      </c>
      <c r="F547" s="2" t="s">
        <v>3</v>
      </c>
      <c r="G547" s="2" t="s">
        <v>3</v>
      </c>
      <c r="H547" s="2" t="s">
        <v>3</v>
      </c>
      <c r="I547" s="2" t="s">
        <v>3</v>
      </c>
    </row>
    <row r="548" spans="1:9" hidden="1" x14ac:dyDescent="0.3">
      <c r="A548" t="s">
        <v>10</v>
      </c>
      <c r="B548" s="1">
        <v>44228</v>
      </c>
      <c r="C548" s="2" t="s">
        <v>3</v>
      </c>
      <c r="D548" s="2" t="s">
        <v>3</v>
      </c>
      <c r="E548" s="2">
        <v>1358</v>
      </c>
      <c r="F548" s="2" t="s">
        <v>3</v>
      </c>
      <c r="G548" s="2" t="s">
        <v>3</v>
      </c>
      <c r="H548" s="2" t="s">
        <v>3</v>
      </c>
      <c r="I548" s="2" t="s">
        <v>3</v>
      </c>
    </row>
    <row r="549" spans="1:9" hidden="1" x14ac:dyDescent="0.3">
      <c r="A549" t="s">
        <v>10</v>
      </c>
      <c r="B549" s="1">
        <v>44197</v>
      </c>
      <c r="C549" s="2" t="s">
        <v>3</v>
      </c>
      <c r="D549" s="2" t="s">
        <v>3</v>
      </c>
      <c r="E549" s="2">
        <v>1431</v>
      </c>
      <c r="F549" s="2" t="s">
        <v>3</v>
      </c>
      <c r="G549" s="2" t="s">
        <v>3</v>
      </c>
      <c r="H549" s="2" t="s">
        <v>3</v>
      </c>
      <c r="I549" s="2" t="s">
        <v>3</v>
      </c>
    </row>
    <row r="550" spans="1:9" hidden="1" x14ac:dyDescent="0.3">
      <c r="A550" t="s">
        <v>10</v>
      </c>
      <c r="B550" s="1">
        <v>44166</v>
      </c>
      <c r="C550" s="2" t="s">
        <v>3</v>
      </c>
      <c r="D550" s="2" t="s">
        <v>3</v>
      </c>
      <c r="E550" s="2">
        <v>1558</v>
      </c>
      <c r="F550" s="2" t="s">
        <v>3</v>
      </c>
      <c r="G550" s="2" t="s">
        <v>3</v>
      </c>
      <c r="H550" s="2" t="s">
        <v>3</v>
      </c>
      <c r="I550" s="2" t="s">
        <v>3</v>
      </c>
    </row>
    <row r="551" spans="1:9" hidden="1" x14ac:dyDescent="0.3">
      <c r="A551" t="s">
        <v>10</v>
      </c>
      <c r="B551" s="1">
        <v>44136</v>
      </c>
      <c r="C551" s="2" t="s">
        <v>3</v>
      </c>
      <c r="D551" s="2" t="s">
        <v>3</v>
      </c>
      <c r="E551" s="2">
        <v>1659</v>
      </c>
      <c r="F551" s="2" t="s">
        <v>3</v>
      </c>
      <c r="G551" s="2" t="s">
        <v>3</v>
      </c>
      <c r="H551" s="2" t="s">
        <v>3</v>
      </c>
      <c r="I551" s="2" t="s">
        <v>3</v>
      </c>
    </row>
    <row r="552" spans="1:9" hidden="1" x14ac:dyDescent="0.3">
      <c r="A552" t="s">
        <v>10</v>
      </c>
      <c r="B552" s="1">
        <v>44105</v>
      </c>
      <c r="C552" s="2" t="s">
        <v>3</v>
      </c>
      <c r="D552" s="2" t="s">
        <v>3</v>
      </c>
      <c r="E552" s="2">
        <v>1614</v>
      </c>
      <c r="F552" s="2" t="s">
        <v>3</v>
      </c>
      <c r="G552" s="2" t="s">
        <v>3</v>
      </c>
      <c r="H552" s="2" t="s">
        <v>3</v>
      </c>
      <c r="I552" s="2" t="s">
        <v>3</v>
      </c>
    </row>
    <row r="553" spans="1:9" hidden="1" x14ac:dyDescent="0.3">
      <c r="A553" t="s">
        <v>10</v>
      </c>
      <c r="B553" s="1">
        <v>44075</v>
      </c>
      <c r="C553" s="2" t="s">
        <v>3</v>
      </c>
      <c r="D553" s="2" t="s">
        <v>3</v>
      </c>
      <c r="E553" s="2">
        <v>1388</v>
      </c>
      <c r="F553" s="2" t="s">
        <v>3</v>
      </c>
      <c r="G553" s="2" t="s">
        <v>3</v>
      </c>
      <c r="H553" s="2" t="s">
        <v>3</v>
      </c>
      <c r="I553" s="2" t="s">
        <v>3</v>
      </c>
    </row>
    <row r="554" spans="1:9" hidden="1" x14ac:dyDescent="0.3">
      <c r="A554" t="s">
        <v>10</v>
      </c>
      <c r="B554" s="1">
        <v>44044</v>
      </c>
      <c r="C554" s="2" t="s">
        <v>3</v>
      </c>
      <c r="D554" s="2" t="s">
        <v>3</v>
      </c>
      <c r="E554" s="2">
        <v>1691</v>
      </c>
      <c r="F554" s="2" t="s">
        <v>3</v>
      </c>
      <c r="G554" s="2" t="s">
        <v>3</v>
      </c>
      <c r="H554" s="2" t="s">
        <v>3</v>
      </c>
      <c r="I554" s="2" t="s">
        <v>3</v>
      </c>
    </row>
    <row r="555" spans="1:9" hidden="1" x14ac:dyDescent="0.3">
      <c r="A555" t="s">
        <v>10</v>
      </c>
      <c r="B555" s="1">
        <v>44013</v>
      </c>
      <c r="C555" s="2" t="s">
        <v>3</v>
      </c>
      <c r="D555" s="2" t="s">
        <v>3</v>
      </c>
      <c r="E555" s="2">
        <v>1784</v>
      </c>
      <c r="F555" s="2" t="s">
        <v>3</v>
      </c>
      <c r="G555" s="2" t="s">
        <v>3</v>
      </c>
      <c r="H555" s="2" t="s">
        <v>3</v>
      </c>
      <c r="I555" s="2" t="s">
        <v>3</v>
      </c>
    </row>
    <row r="556" spans="1:9" hidden="1" x14ac:dyDescent="0.3">
      <c r="A556" t="s">
        <v>10</v>
      </c>
      <c r="B556" s="1">
        <v>43983</v>
      </c>
      <c r="C556" s="2" t="s">
        <v>3</v>
      </c>
      <c r="D556" s="2" t="s">
        <v>3</v>
      </c>
      <c r="E556" s="2">
        <v>1768</v>
      </c>
      <c r="F556" s="2" t="s">
        <v>3</v>
      </c>
      <c r="G556" s="2" t="s">
        <v>3</v>
      </c>
      <c r="H556" s="2" t="s">
        <v>3</v>
      </c>
      <c r="I556" s="2" t="s">
        <v>3</v>
      </c>
    </row>
    <row r="557" spans="1:9" hidden="1" x14ac:dyDescent="0.3">
      <c r="A557" t="s">
        <v>10</v>
      </c>
      <c r="B557" s="1">
        <v>43952</v>
      </c>
      <c r="C557" s="2" t="s">
        <v>3</v>
      </c>
      <c r="D557" s="2" t="s">
        <v>3</v>
      </c>
      <c r="E557" s="2">
        <v>1993</v>
      </c>
      <c r="F557" s="2" t="s">
        <v>3</v>
      </c>
      <c r="G557" s="2" t="s">
        <v>3</v>
      </c>
      <c r="H557" s="2" t="s">
        <v>3</v>
      </c>
      <c r="I557" s="2" t="s">
        <v>3</v>
      </c>
    </row>
    <row r="558" spans="1:9" hidden="1" x14ac:dyDescent="0.3">
      <c r="A558" t="s">
        <v>10</v>
      </c>
      <c r="B558" s="1">
        <v>43922</v>
      </c>
      <c r="C558" s="2" t="s">
        <v>3</v>
      </c>
      <c r="D558" s="2" t="s">
        <v>3</v>
      </c>
      <c r="E558" s="2">
        <v>2013</v>
      </c>
      <c r="F558" s="2" t="s">
        <v>3</v>
      </c>
      <c r="G558" s="2" t="s">
        <v>3</v>
      </c>
      <c r="H558" s="2" t="s">
        <v>3</v>
      </c>
      <c r="I558" s="2" t="s">
        <v>3</v>
      </c>
    </row>
    <row r="559" spans="1:9" hidden="1" x14ac:dyDescent="0.3">
      <c r="A559" t="s">
        <v>10</v>
      </c>
      <c r="B559" s="1">
        <v>43891</v>
      </c>
      <c r="C559" s="2" t="s">
        <v>3</v>
      </c>
      <c r="D559" s="2" t="s">
        <v>3</v>
      </c>
      <c r="E559" s="2">
        <v>2171</v>
      </c>
      <c r="F559" s="2" t="s">
        <v>3</v>
      </c>
      <c r="G559" s="2" t="s">
        <v>3</v>
      </c>
      <c r="H559" s="2" t="s">
        <v>3</v>
      </c>
      <c r="I559" s="2" t="s">
        <v>3</v>
      </c>
    </row>
    <row r="560" spans="1:9" hidden="1" x14ac:dyDescent="0.3">
      <c r="A560" t="s">
        <v>10</v>
      </c>
      <c r="B560" s="1">
        <v>43862</v>
      </c>
      <c r="C560" s="2" t="s">
        <v>3</v>
      </c>
      <c r="D560" s="2" t="s">
        <v>3</v>
      </c>
      <c r="E560" s="2">
        <v>2209</v>
      </c>
      <c r="F560" s="2" t="s">
        <v>3</v>
      </c>
      <c r="G560" s="2" t="s">
        <v>3</v>
      </c>
      <c r="H560" s="2" t="s">
        <v>3</v>
      </c>
      <c r="I560" s="2" t="s">
        <v>3</v>
      </c>
    </row>
    <row r="561" spans="1:9" hidden="1" x14ac:dyDescent="0.3">
      <c r="A561" t="s">
        <v>10</v>
      </c>
      <c r="B561" s="1">
        <v>43831</v>
      </c>
      <c r="C561" s="2" t="s">
        <v>3</v>
      </c>
      <c r="D561" s="2" t="s">
        <v>3</v>
      </c>
      <c r="E561" s="2">
        <v>2149</v>
      </c>
      <c r="F561" s="2" t="s">
        <v>3</v>
      </c>
      <c r="G561" s="2" t="s">
        <v>3</v>
      </c>
      <c r="H561" s="2" t="s">
        <v>3</v>
      </c>
      <c r="I561" s="2" t="s">
        <v>3</v>
      </c>
    </row>
    <row r="562" spans="1:9" x14ac:dyDescent="0.3">
      <c r="A562" t="s">
        <v>11</v>
      </c>
      <c r="B562" s="1">
        <v>45931</v>
      </c>
      <c r="C562" s="2">
        <v>340388</v>
      </c>
      <c r="D562" s="2">
        <v>-1734</v>
      </c>
      <c r="E562" s="2">
        <v>237250</v>
      </c>
      <c r="F562" s="2">
        <v>451</v>
      </c>
      <c r="G562" s="2">
        <v>4575</v>
      </c>
      <c r="H562" s="2">
        <v>103138</v>
      </c>
      <c r="I562" s="2">
        <v>-2185</v>
      </c>
    </row>
    <row r="563" spans="1:9" x14ac:dyDescent="0.3">
      <c r="A563" t="s">
        <v>11</v>
      </c>
      <c r="B563" s="1">
        <v>45901</v>
      </c>
      <c r="C563" s="2">
        <v>340625</v>
      </c>
      <c r="D563" s="2">
        <v>-4054</v>
      </c>
      <c r="E563" s="2">
        <v>235303</v>
      </c>
      <c r="F563" s="2">
        <v>4696</v>
      </c>
      <c r="G563" s="2">
        <v>3085</v>
      </c>
      <c r="H563" s="2">
        <v>105322</v>
      </c>
      <c r="I563" s="2">
        <v>-8750</v>
      </c>
    </row>
    <row r="564" spans="1:9" x14ac:dyDescent="0.3">
      <c r="A564" t="s">
        <v>11</v>
      </c>
      <c r="B564" s="1">
        <v>45870</v>
      </c>
      <c r="C564" s="2">
        <v>343751</v>
      </c>
      <c r="D564" s="2">
        <v>15269</v>
      </c>
      <c r="E564" s="2">
        <v>229679</v>
      </c>
      <c r="F564" s="2">
        <v>533</v>
      </c>
      <c r="G564" s="2">
        <v>1818</v>
      </c>
      <c r="H564" s="2">
        <v>114072</v>
      </c>
      <c r="I564" s="2">
        <v>14736</v>
      </c>
    </row>
    <row r="565" spans="1:9" x14ac:dyDescent="0.3">
      <c r="A565" t="s">
        <v>11</v>
      </c>
      <c r="B565" s="1">
        <v>45839</v>
      </c>
      <c r="C565" s="2">
        <v>324122</v>
      </c>
      <c r="D565" s="2">
        <v>7157</v>
      </c>
      <c r="E565" s="2">
        <v>224787</v>
      </c>
      <c r="F565" s="2">
        <v>4908</v>
      </c>
      <c r="G565" s="2">
        <v>-7512</v>
      </c>
      <c r="H565" s="2">
        <v>99336</v>
      </c>
      <c r="I565" s="2">
        <v>2249</v>
      </c>
    </row>
    <row r="566" spans="1:9" x14ac:dyDescent="0.3">
      <c r="A566" t="s">
        <v>11</v>
      </c>
      <c r="B566" s="1">
        <v>45809</v>
      </c>
      <c r="C566" s="2">
        <v>317477</v>
      </c>
      <c r="D566" s="2">
        <v>-7949</v>
      </c>
      <c r="E566" s="2">
        <v>220390</v>
      </c>
      <c r="F566" s="2">
        <v>-721</v>
      </c>
      <c r="G566" s="2">
        <v>2629</v>
      </c>
      <c r="H566" s="2">
        <v>97087</v>
      </c>
      <c r="I566" s="2">
        <v>-7228</v>
      </c>
    </row>
    <row r="567" spans="1:9" x14ac:dyDescent="0.3">
      <c r="A567" t="s">
        <v>11</v>
      </c>
      <c r="B567" s="1">
        <v>45778</v>
      </c>
      <c r="C567" s="2">
        <v>327331</v>
      </c>
      <c r="D567" s="2">
        <v>230</v>
      </c>
      <c r="E567" s="2">
        <v>223016</v>
      </c>
      <c r="F567" s="2">
        <v>1826</v>
      </c>
      <c r="G567" s="2">
        <v>-5070</v>
      </c>
      <c r="H567" s="2">
        <v>104315</v>
      </c>
      <c r="I567" s="2">
        <v>-1596</v>
      </c>
    </row>
    <row r="568" spans="1:9" x14ac:dyDescent="0.3">
      <c r="A568" t="s">
        <v>11</v>
      </c>
      <c r="B568" s="1">
        <v>45748</v>
      </c>
      <c r="C568" s="2">
        <v>339883</v>
      </c>
      <c r="D568" s="2">
        <v>-823</v>
      </c>
      <c r="E568" s="2">
        <v>233972</v>
      </c>
      <c r="F568" s="2">
        <v>1659</v>
      </c>
      <c r="G568" s="2">
        <v>-610</v>
      </c>
      <c r="H568" s="2">
        <v>105911</v>
      </c>
      <c r="I568" s="2">
        <v>-2482</v>
      </c>
    </row>
    <row r="569" spans="1:9" x14ac:dyDescent="0.3">
      <c r="A569" t="s">
        <v>11</v>
      </c>
      <c r="B569" s="1">
        <v>45717</v>
      </c>
      <c r="C569" s="2">
        <v>329281</v>
      </c>
      <c r="D569" s="2">
        <v>-10515</v>
      </c>
      <c r="E569" s="2">
        <v>220888</v>
      </c>
      <c r="F569" s="2">
        <v>-398</v>
      </c>
      <c r="G569" s="2">
        <v>-1297</v>
      </c>
      <c r="H569" s="2">
        <v>108393</v>
      </c>
      <c r="I569" s="2">
        <v>-10117</v>
      </c>
    </row>
    <row r="570" spans="1:9" x14ac:dyDescent="0.3">
      <c r="A570" t="s">
        <v>11</v>
      </c>
      <c r="B570" s="1">
        <v>45689</v>
      </c>
      <c r="C570" s="2">
        <v>339034</v>
      </c>
      <c r="D570" s="2">
        <v>3176</v>
      </c>
      <c r="E570" s="2">
        <v>220524</v>
      </c>
      <c r="F570" s="2">
        <v>-3333</v>
      </c>
      <c r="G570" s="2">
        <v>3723</v>
      </c>
      <c r="H570" s="2">
        <v>118510</v>
      </c>
      <c r="I570" s="2">
        <v>6509</v>
      </c>
    </row>
    <row r="571" spans="1:9" x14ac:dyDescent="0.3">
      <c r="A571" t="s">
        <v>11</v>
      </c>
      <c r="B571" s="1">
        <v>45658</v>
      </c>
      <c r="C571" s="2">
        <v>329697</v>
      </c>
      <c r="D571" s="2">
        <v>-5079</v>
      </c>
      <c r="E571" s="2">
        <v>217696</v>
      </c>
      <c r="F571" s="2">
        <v>-1643</v>
      </c>
      <c r="G571" s="2">
        <v>960</v>
      </c>
      <c r="H571" s="2">
        <v>112001</v>
      </c>
      <c r="I571" s="2">
        <v>-3435</v>
      </c>
    </row>
    <row r="572" spans="1:9" x14ac:dyDescent="0.3">
      <c r="A572" t="s">
        <v>11</v>
      </c>
      <c r="B572" s="1">
        <v>45627</v>
      </c>
      <c r="C572" s="2">
        <v>339410</v>
      </c>
      <c r="D572" s="2">
        <v>-4202</v>
      </c>
      <c r="E572" s="2">
        <v>223973</v>
      </c>
      <c r="F572" s="2">
        <v>-983</v>
      </c>
      <c r="G572" s="2">
        <v>406</v>
      </c>
      <c r="H572" s="2">
        <v>115437</v>
      </c>
      <c r="I572" s="2">
        <v>-3219</v>
      </c>
    </row>
    <row r="573" spans="1:9" x14ac:dyDescent="0.3">
      <c r="A573" t="s">
        <v>11</v>
      </c>
      <c r="B573" s="1">
        <v>45597</v>
      </c>
      <c r="C573" s="2">
        <v>343139</v>
      </c>
      <c r="D573" s="2">
        <v>3488</v>
      </c>
      <c r="E573" s="2">
        <v>224484</v>
      </c>
      <c r="F573" s="2">
        <v>2244</v>
      </c>
      <c r="G573" s="2">
        <v>4612</v>
      </c>
      <c r="H573" s="2">
        <v>118655</v>
      </c>
      <c r="I573" s="2">
        <v>1243</v>
      </c>
    </row>
    <row r="574" spans="1:9" x14ac:dyDescent="0.3">
      <c r="A574" t="s">
        <v>11</v>
      </c>
      <c r="B574" s="1">
        <v>45566</v>
      </c>
      <c r="C574" s="2">
        <v>336739</v>
      </c>
      <c r="D574" s="2">
        <v>-13524</v>
      </c>
      <c r="E574" s="2">
        <v>219327</v>
      </c>
      <c r="F574" s="2">
        <v>-25680</v>
      </c>
      <c r="G574" s="2">
        <v>-3204</v>
      </c>
      <c r="H574" s="2">
        <v>117412</v>
      </c>
      <c r="I574" s="2">
        <v>12156</v>
      </c>
    </row>
    <row r="575" spans="1:9" x14ac:dyDescent="0.3">
      <c r="A575" t="s">
        <v>11</v>
      </c>
      <c r="B575" s="1">
        <v>45536</v>
      </c>
      <c r="C575" s="2">
        <v>356240</v>
      </c>
      <c r="D575" s="2">
        <v>1942</v>
      </c>
      <c r="E575" s="2">
        <v>250984</v>
      </c>
      <c r="F575" s="2">
        <v>-417</v>
      </c>
      <c r="G575" s="2">
        <v>1739</v>
      </c>
      <c r="H575" s="2">
        <v>105256</v>
      </c>
      <c r="I575" s="2">
        <v>2359</v>
      </c>
    </row>
    <row r="576" spans="1:9" x14ac:dyDescent="0.3">
      <c r="A576" t="s">
        <v>11</v>
      </c>
      <c r="B576" s="1">
        <v>45505</v>
      </c>
      <c r="C576" s="2">
        <v>350904</v>
      </c>
      <c r="D576" s="2">
        <v>8993</v>
      </c>
      <c r="E576" s="2">
        <v>248007</v>
      </c>
      <c r="F576" s="2">
        <v>3976</v>
      </c>
      <c r="G576" s="2">
        <v>1201</v>
      </c>
      <c r="H576" s="2">
        <v>102897</v>
      </c>
      <c r="I576" s="2">
        <v>5018</v>
      </c>
    </row>
    <row r="577" spans="1:9" x14ac:dyDescent="0.3">
      <c r="A577" t="s">
        <v>11</v>
      </c>
      <c r="B577" s="1">
        <v>45474</v>
      </c>
      <c r="C577" s="2">
        <v>341180</v>
      </c>
      <c r="D577" s="2">
        <v>2076</v>
      </c>
      <c r="E577" s="2">
        <v>243301</v>
      </c>
      <c r="F577" s="2">
        <v>-2527</v>
      </c>
      <c r="G577" s="2">
        <v>1866</v>
      </c>
      <c r="H577" s="2">
        <v>97879</v>
      </c>
      <c r="I577" s="2">
        <v>4603</v>
      </c>
    </row>
    <row r="578" spans="1:9" x14ac:dyDescent="0.3">
      <c r="A578" t="s">
        <v>11</v>
      </c>
      <c r="B578" s="1">
        <v>45444</v>
      </c>
      <c r="C578" s="2">
        <v>336127</v>
      </c>
      <c r="D578" s="2">
        <v>-2090</v>
      </c>
      <c r="E578" s="2">
        <v>242851</v>
      </c>
      <c r="F578" s="2">
        <v>523</v>
      </c>
      <c r="G578" s="2">
        <v>17726</v>
      </c>
      <c r="H578" s="2">
        <v>93276</v>
      </c>
      <c r="I578" s="2">
        <v>-2613</v>
      </c>
    </row>
    <row r="579" spans="1:9" x14ac:dyDescent="0.3">
      <c r="A579" t="s">
        <v>11</v>
      </c>
      <c r="B579" s="1">
        <v>45413</v>
      </c>
      <c r="C579" s="2">
        <v>336823</v>
      </c>
      <c r="D579" s="2">
        <v>6409</v>
      </c>
      <c r="E579" s="2">
        <v>240934</v>
      </c>
      <c r="F579" s="2">
        <v>5500</v>
      </c>
      <c r="G579" s="2">
        <v>4488</v>
      </c>
      <c r="H579" s="2">
        <v>95889</v>
      </c>
      <c r="I579" s="2">
        <v>909</v>
      </c>
    </row>
    <row r="580" spans="1:9" x14ac:dyDescent="0.3">
      <c r="A580" t="s">
        <v>11</v>
      </c>
      <c r="B580" s="1">
        <v>45383</v>
      </c>
      <c r="C580" s="2">
        <v>330024</v>
      </c>
      <c r="D580" s="2">
        <v>-8067</v>
      </c>
      <c r="E580" s="2">
        <v>235043</v>
      </c>
      <c r="F580" s="2">
        <v>636</v>
      </c>
      <c r="G580" s="2">
        <v>8036</v>
      </c>
      <c r="H580" s="2">
        <v>94980</v>
      </c>
      <c r="I580" s="2">
        <v>-8703</v>
      </c>
    </row>
    <row r="581" spans="1:9" x14ac:dyDescent="0.3">
      <c r="A581" t="s">
        <v>11</v>
      </c>
      <c r="B581" s="1">
        <v>45352</v>
      </c>
      <c r="C581" s="2">
        <v>340647</v>
      </c>
      <c r="D581" s="2">
        <v>-2627</v>
      </c>
      <c r="E581" s="2">
        <v>236964</v>
      </c>
      <c r="F581" s="2">
        <v>3106</v>
      </c>
      <c r="G581" s="2">
        <v>2633</v>
      </c>
      <c r="H581" s="2">
        <v>103683</v>
      </c>
      <c r="I581" s="2">
        <v>-5734</v>
      </c>
    </row>
    <row r="582" spans="1:9" x14ac:dyDescent="0.3">
      <c r="A582" t="s">
        <v>11</v>
      </c>
      <c r="B582" s="1">
        <v>45323</v>
      </c>
      <c r="C582" s="2">
        <v>341174</v>
      </c>
      <c r="D582" s="2">
        <v>11348</v>
      </c>
      <c r="E582" s="2">
        <v>231758</v>
      </c>
      <c r="F582" s="2">
        <v>6204</v>
      </c>
      <c r="G582" s="2">
        <v>5034</v>
      </c>
      <c r="H582" s="2">
        <v>109417</v>
      </c>
      <c r="I582" s="2">
        <v>5144</v>
      </c>
    </row>
    <row r="583" spans="1:9" x14ac:dyDescent="0.3">
      <c r="A583" t="s">
        <v>11</v>
      </c>
      <c r="B583" s="1">
        <v>45292</v>
      </c>
      <c r="C583" s="2">
        <v>334600</v>
      </c>
      <c r="D583" s="2">
        <v>-11933</v>
      </c>
      <c r="E583" s="2">
        <v>230328</v>
      </c>
      <c r="F583" s="2">
        <v>-1171</v>
      </c>
      <c r="G583" s="2">
        <v>-868</v>
      </c>
      <c r="H583" s="2">
        <v>104273</v>
      </c>
      <c r="I583" s="2">
        <v>-10762</v>
      </c>
    </row>
    <row r="584" spans="1:9" x14ac:dyDescent="0.3">
      <c r="A584" t="s">
        <v>11</v>
      </c>
      <c r="B584" s="1">
        <v>45261</v>
      </c>
      <c r="C584" s="2">
        <v>349641</v>
      </c>
      <c r="D584" s="2">
        <v>9942</v>
      </c>
      <c r="E584" s="2">
        <v>234606</v>
      </c>
      <c r="F584" s="2">
        <v>117</v>
      </c>
      <c r="G584" s="2">
        <v>5157</v>
      </c>
      <c r="H584" s="2">
        <v>115035</v>
      </c>
      <c r="I584" s="2">
        <v>9825</v>
      </c>
    </row>
    <row r="585" spans="1:9" x14ac:dyDescent="0.3">
      <c r="A585" t="s">
        <v>11</v>
      </c>
      <c r="B585" s="1">
        <v>45231</v>
      </c>
      <c r="C585" s="2">
        <v>304687</v>
      </c>
      <c r="D585" s="2">
        <v>12960</v>
      </c>
      <c r="E585" s="2">
        <v>199477</v>
      </c>
      <c r="F585" s="2">
        <v>4335</v>
      </c>
      <c r="G585" s="2">
        <v>6826</v>
      </c>
      <c r="H585" s="2">
        <v>105210</v>
      </c>
      <c r="I585" s="2">
        <v>8625</v>
      </c>
    </row>
    <row r="586" spans="1:9" x14ac:dyDescent="0.3">
      <c r="A586" t="s">
        <v>11</v>
      </c>
      <c r="B586" s="1">
        <v>45200</v>
      </c>
      <c r="C586" s="2">
        <v>287896</v>
      </c>
      <c r="D586" s="2">
        <v>8837</v>
      </c>
      <c r="E586" s="2">
        <v>191311</v>
      </c>
      <c r="F586" s="2">
        <v>2643</v>
      </c>
      <c r="G586" s="2">
        <v>-2476</v>
      </c>
      <c r="H586" s="2">
        <v>96585</v>
      </c>
      <c r="I586" s="2">
        <v>6194</v>
      </c>
    </row>
    <row r="587" spans="1:9" x14ac:dyDescent="0.3">
      <c r="A587" t="s">
        <v>11</v>
      </c>
      <c r="B587" s="1">
        <v>45170</v>
      </c>
      <c r="C587" s="2">
        <v>279352</v>
      </c>
      <c r="D587" s="2">
        <v>1804</v>
      </c>
      <c r="E587" s="2">
        <v>188962</v>
      </c>
      <c r="F587" s="2">
        <v>1056</v>
      </c>
      <c r="G587" s="2">
        <v>-4695</v>
      </c>
      <c r="H587" s="2">
        <v>90391</v>
      </c>
      <c r="I587" s="2">
        <v>748</v>
      </c>
    </row>
    <row r="588" spans="1:9" x14ac:dyDescent="0.3">
      <c r="A588" t="s">
        <v>11</v>
      </c>
      <c r="B588" s="1">
        <v>45139</v>
      </c>
      <c r="C588" s="2">
        <v>281430</v>
      </c>
      <c r="D588" s="2">
        <v>25457</v>
      </c>
      <c r="E588" s="2">
        <v>191788</v>
      </c>
      <c r="F588" s="2">
        <v>2703</v>
      </c>
      <c r="G588" s="2">
        <v>-1634</v>
      </c>
      <c r="H588" s="2">
        <v>89642</v>
      </c>
      <c r="I588" s="2">
        <v>22754</v>
      </c>
    </row>
    <row r="589" spans="1:9" x14ac:dyDescent="0.3">
      <c r="A589" t="s">
        <v>11</v>
      </c>
      <c r="B589" s="1">
        <v>45108</v>
      </c>
      <c r="C589" s="2">
        <v>257115</v>
      </c>
      <c r="D589" s="2">
        <v>-13057</v>
      </c>
      <c r="E589" s="2">
        <v>190227</v>
      </c>
      <c r="F589" s="2">
        <v>-4448</v>
      </c>
      <c r="G589" s="2">
        <v>-1721</v>
      </c>
      <c r="H589" s="2">
        <v>66888</v>
      </c>
      <c r="I589" s="2">
        <v>-8609</v>
      </c>
    </row>
    <row r="590" spans="1:9" x14ac:dyDescent="0.3">
      <c r="A590" t="s">
        <v>11</v>
      </c>
      <c r="B590" s="1">
        <v>45078</v>
      </c>
      <c r="C590" s="2">
        <v>271291</v>
      </c>
      <c r="D590" s="2">
        <v>34184</v>
      </c>
      <c r="E590" s="2">
        <v>195794</v>
      </c>
      <c r="F590" s="2">
        <v>4172</v>
      </c>
      <c r="G590" s="2">
        <v>-2093</v>
      </c>
      <c r="H590" s="2">
        <v>75497</v>
      </c>
      <c r="I590" s="2">
        <v>30012</v>
      </c>
    </row>
    <row r="591" spans="1:9" x14ac:dyDescent="0.3">
      <c r="A591" t="s">
        <v>11</v>
      </c>
      <c r="B591" s="1">
        <v>45047</v>
      </c>
      <c r="C591" s="2">
        <v>234667</v>
      </c>
      <c r="D591" s="2">
        <v>3535</v>
      </c>
      <c r="E591" s="2">
        <v>189181</v>
      </c>
      <c r="F591" s="2">
        <v>-2150</v>
      </c>
      <c r="G591" s="2">
        <v>-2558</v>
      </c>
      <c r="H591" s="2">
        <v>45485</v>
      </c>
      <c r="I591" s="2">
        <v>5684</v>
      </c>
    </row>
    <row r="592" spans="1:9" x14ac:dyDescent="0.3">
      <c r="A592" t="s">
        <v>11</v>
      </c>
      <c r="B592" s="1">
        <v>45017</v>
      </c>
      <c r="C592" s="2">
        <v>234411</v>
      </c>
      <c r="D592" s="2">
        <v>-5484</v>
      </c>
      <c r="E592" s="2">
        <v>194610</v>
      </c>
      <c r="F592" s="2">
        <v>1907</v>
      </c>
      <c r="G592" s="2">
        <v>991</v>
      </c>
      <c r="H592" s="2">
        <v>39801</v>
      </c>
      <c r="I592" s="2">
        <v>-7390</v>
      </c>
    </row>
    <row r="593" spans="1:9" x14ac:dyDescent="0.3">
      <c r="A593" t="s">
        <v>11</v>
      </c>
      <c r="B593" s="1">
        <v>44986</v>
      </c>
      <c r="C593" s="2">
        <v>240315</v>
      </c>
      <c r="D593" s="2">
        <v>-7721</v>
      </c>
      <c r="E593" s="2">
        <v>193124</v>
      </c>
      <c r="F593" s="2">
        <v>918</v>
      </c>
      <c r="G593" s="2">
        <v>7074</v>
      </c>
      <c r="H593" s="2">
        <v>47191</v>
      </c>
      <c r="I593" s="2">
        <v>-8639</v>
      </c>
    </row>
    <row r="594" spans="1:9" x14ac:dyDescent="0.3">
      <c r="A594" t="s">
        <v>11</v>
      </c>
      <c r="B594" s="1">
        <v>44958</v>
      </c>
      <c r="C594" s="2">
        <v>240869</v>
      </c>
      <c r="D594" s="2">
        <v>1683</v>
      </c>
      <c r="E594" s="2">
        <v>185039</v>
      </c>
      <c r="F594" s="2">
        <v>3307</v>
      </c>
      <c r="G594" s="2">
        <v>-4523</v>
      </c>
      <c r="H594" s="2">
        <v>55830</v>
      </c>
      <c r="I594" s="2">
        <v>-1624</v>
      </c>
    </row>
    <row r="595" spans="1:9" hidden="1" x14ac:dyDescent="0.3">
      <c r="A595" t="s">
        <v>11</v>
      </c>
      <c r="B595" s="1">
        <v>44927</v>
      </c>
      <c r="C595" s="2">
        <v>243046</v>
      </c>
      <c r="D595" s="2" t="s">
        <v>3</v>
      </c>
      <c r="E595" s="2">
        <v>185591</v>
      </c>
      <c r="F595" s="2" t="s">
        <v>3</v>
      </c>
      <c r="G595" s="2" t="s">
        <v>3</v>
      </c>
      <c r="H595" s="2">
        <v>57455</v>
      </c>
      <c r="I595" s="2">
        <v>2024</v>
      </c>
    </row>
    <row r="596" spans="1:9" hidden="1" x14ac:dyDescent="0.3">
      <c r="A596" t="s">
        <v>11</v>
      </c>
      <c r="B596" s="1">
        <v>44896</v>
      </c>
      <c r="C596" s="2">
        <v>241728</v>
      </c>
      <c r="D596" s="2" t="s">
        <v>3</v>
      </c>
      <c r="E596" s="2">
        <v>186297</v>
      </c>
      <c r="F596" s="2" t="s">
        <v>3</v>
      </c>
      <c r="G596" s="2" t="s">
        <v>3</v>
      </c>
      <c r="H596" s="2">
        <v>55431</v>
      </c>
      <c r="I596" s="2">
        <v>-5666</v>
      </c>
    </row>
    <row r="597" spans="1:9" hidden="1" x14ac:dyDescent="0.3">
      <c r="A597" t="s">
        <v>11</v>
      </c>
      <c r="B597" s="1">
        <v>44866</v>
      </c>
      <c r="C597" s="2">
        <v>241488</v>
      </c>
      <c r="D597" s="2" t="s">
        <v>3</v>
      </c>
      <c r="E597" s="2">
        <v>180391</v>
      </c>
      <c r="F597" s="2" t="s">
        <v>3</v>
      </c>
      <c r="G597" s="2" t="s">
        <v>3</v>
      </c>
      <c r="H597" s="2">
        <v>61097</v>
      </c>
      <c r="I597" s="2">
        <v>-1896</v>
      </c>
    </row>
    <row r="598" spans="1:9" hidden="1" x14ac:dyDescent="0.3">
      <c r="A598" t="s">
        <v>11</v>
      </c>
      <c r="B598" s="1">
        <v>44835</v>
      </c>
      <c r="C598" s="2">
        <v>245122</v>
      </c>
      <c r="D598" s="2" t="s">
        <v>3</v>
      </c>
      <c r="E598" s="2">
        <v>182129</v>
      </c>
      <c r="F598" s="2" t="s">
        <v>3</v>
      </c>
      <c r="G598" s="2" t="s">
        <v>3</v>
      </c>
      <c r="H598" s="2">
        <v>62993</v>
      </c>
      <c r="I598" s="2">
        <v>-23415</v>
      </c>
    </row>
    <row r="599" spans="1:9" hidden="1" x14ac:dyDescent="0.3">
      <c r="A599" t="s">
        <v>11</v>
      </c>
      <c r="B599" s="1">
        <v>44805</v>
      </c>
      <c r="C599" s="2">
        <v>265429</v>
      </c>
      <c r="D599" s="2" t="s">
        <v>3</v>
      </c>
      <c r="E599" s="2">
        <v>179021</v>
      </c>
      <c r="F599" s="2" t="s">
        <v>3</v>
      </c>
      <c r="G599" s="2" t="s">
        <v>3</v>
      </c>
      <c r="H599" s="2">
        <v>86408</v>
      </c>
      <c r="I599" s="2">
        <v>3964</v>
      </c>
    </row>
    <row r="600" spans="1:9" hidden="1" x14ac:dyDescent="0.3">
      <c r="A600" t="s">
        <v>11</v>
      </c>
      <c r="B600" s="1">
        <v>44774</v>
      </c>
      <c r="C600" s="2">
        <v>275571</v>
      </c>
      <c r="D600" s="2" t="s">
        <v>3</v>
      </c>
      <c r="E600" s="2">
        <v>193128</v>
      </c>
      <c r="F600" s="2" t="s">
        <v>3</v>
      </c>
      <c r="G600" s="2" t="s">
        <v>3</v>
      </c>
      <c r="H600" s="2">
        <v>82444</v>
      </c>
      <c r="I600" s="2">
        <v>1478</v>
      </c>
    </row>
    <row r="601" spans="1:9" hidden="1" x14ac:dyDescent="0.3">
      <c r="A601" t="s">
        <v>11</v>
      </c>
      <c r="B601" s="1">
        <v>44743</v>
      </c>
      <c r="C601" s="2">
        <v>277547</v>
      </c>
      <c r="D601" s="2" t="s">
        <v>3</v>
      </c>
      <c r="E601" s="2">
        <v>196581</v>
      </c>
      <c r="F601" s="2" t="s">
        <v>3</v>
      </c>
      <c r="G601" s="2" t="s">
        <v>3</v>
      </c>
      <c r="H601" s="2">
        <v>80965</v>
      </c>
      <c r="I601" s="2">
        <v>-13787</v>
      </c>
    </row>
    <row r="602" spans="1:9" hidden="1" x14ac:dyDescent="0.3">
      <c r="A602" t="s">
        <v>11</v>
      </c>
      <c r="B602" s="1">
        <v>44713</v>
      </c>
      <c r="C602" s="2">
        <v>285445</v>
      </c>
      <c r="D602" s="2" t="s">
        <v>3</v>
      </c>
      <c r="E602" s="2">
        <v>190692</v>
      </c>
      <c r="F602" s="2" t="s">
        <v>3</v>
      </c>
      <c r="G602" s="2" t="s">
        <v>3</v>
      </c>
      <c r="H602" s="2">
        <v>94753</v>
      </c>
      <c r="I602" s="2">
        <v>822</v>
      </c>
    </row>
    <row r="603" spans="1:9" hidden="1" x14ac:dyDescent="0.3">
      <c r="A603" t="s">
        <v>11</v>
      </c>
      <c r="B603" s="1">
        <v>44682</v>
      </c>
      <c r="C603" s="2">
        <v>288591</v>
      </c>
      <c r="D603" s="2" t="s">
        <v>3</v>
      </c>
      <c r="E603" s="2">
        <v>194660</v>
      </c>
      <c r="F603" s="2" t="s">
        <v>3</v>
      </c>
      <c r="G603" s="2" t="s">
        <v>3</v>
      </c>
      <c r="H603" s="2">
        <v>93930</v>
      </c>
      <c r="I603" s="2">
        <v>-19183</v>
      </c>
    </row>
    <row r="604" spans="1:9" hidden="1" x14ac:dyDescent="0.3">
      <c r="A604" t="s">
        <v>11</v>
      </c>
      <c r="B604" s="1">
        <v>44652</v>
      </c>
      <c r="C604" s="2">
        <v>309446</v>
      </c>
      <c r="D604" s="2" t="s">
        <v>3</v>
      </c>
      <c r="E604" s="2">
        <v>196333</v>
      </c>
      <c r="F604" s="2" t="s">
        <v>3</v>
      </c>
      <c r="G604" s="2" t="s">
        <v>3</v>
      </c>
      <c r="H604" s="2">
        <v>113113</v>
      </c>
      <c r="I604" s="2">
        <v>-6126</v>
      </c>
    </row>
    <row r="605" spans="1:9" hidden="1" x14ac:dyDescent="0.3">
      <c r="A605" t="s">
        <v>11</v>
      </c>
      <c r="B605" s="1">
        <v>44621</v>
      </c>
      <c r="C605" s="2">
        <v>315723</v>
      </c>
      <c r="D605" s="2" t="s">
        <v>3</v>
      </c>
      <c r="E605" s="2">
        <v>196484</v>
      </c>
      <c r="F605" s="2" t="s">
        <v>3</v>
      </c>
      <c r="G605" s="2" t="s">
        <v>3</v>
      </c>
      <c r="H605" s="2">
        <v>119239</v>
      </c>
      <c r="I605" s="2">
        <v>317</v>
      </c>
    </row>
    <row r="606" spans="1:9" hidden="1" x14ac:dyDescent="0.3">
      <c r="A606" t="s">
        <v>11</v>
      </c>
      <c r="B606" s="1">
        <v>44593</v>
      </c>
      <c r="C606" s="2">
        <v>314675</v>
      </c>
      <c r="D606" s="2" t="s">
        <v>3</v>
      </c>
      <c r="E606" s="2">
        <v>195752</v>
      </c>
      <c r="F606" s="2" t="s">
        <v>3</v>
      </c>
      <c r="G606" s="2" t="s">
        <v>3</v>
      </c>
      <c r="H606" s="2">
        <v>118922</v>
      </c>
      <c r="I606" s="2">
        <v>1566</v>
      </c>
    </row>
    <row r="607" spans="1:9" hidden="1" x14ac:dyDescent="0.3">
      <c r="A607" t="s">
        <v>11</v>
      </c>
      <c r="B607" s="1">
        <v>44562</v>
      </c>
      <c r="C607" s="2">
        <v>308464</v>
      </c>
      <c r="D607" s="2" t="s">
        <v>3</v>
      </c>
      <c r="E607" s="2">
        <v>191108</v>
      </c>
      <c r="F607" s="2" t="s">
        <v>3</v>
      </c>
      <c r="G607" s="2" t="s">
        <v>3</v>
      </c>
      <c r="H607" s="2">
        <v>117356</v>
      </c>
      <c r="I607" s="2">
        <v>-11445</v>
      </c>
    </row>
    <row r="608" spans="1:9" hidden="1" x14ac:dyDescent="0.3">
      <c r="A608" t="s">
        <v>11</v>
      </c>
      <c r="B608" s="1">
        <v>44531</v>
      </c>
      <c r="C608" s="2">
        <v>334495</v>
      </c>
      <c r="D608" s="2" t="s">
        <v>3</v>
      </c>
      <c r="E608" s="2">
        <v>205695</v>
      </c>
      <c r="F608" s="2" t="s">
        <v>3</v>
      </c>
      <c r="G608" s="2" t="s">
        <v>3</v>
      </c>
      <c r="H608" s="2">
        <v>128801</v>
      </c>
      <c r="I608" s="2">
        <v>-5268</v>
      </c>
    </row>
    <row r="609" spans="1:9" hidden="1" x14ac:dyDescent="0.3">
      <c r="A609" t="s">
        <v>11</v>
      </c>
      <c r="B609" s="1">
        <v>44501</v>
      </c>
      <c r="C609" s="2">
        <v>330024</v>
      </c>
      <c r="D609" s="2" t="s">
        <v>3</v>
      </c>
      <c r="E609" s="2">
        <v>195955</v>
      </c>
      <c r="F609" s="2" t="s">
        <v>3</v>
      </c>
      <c r="G609" s="2" t="s">
        <v>3</v>
      </c>
      <c r="H609" s="2">
        <v>134069</v>
      </c>
      <c r="I609" s="2">
        <v>5910</v>
      </c>
    </row>
    <row r="610" spans="1:9" hidden="1" x14ac:dyDescent="0.3">
      <c r="A610" t="s">
        <v>11</v>
      </c>
      <c r="B610" s="1">
        <v>44470</v>
      </c>
      <c r="C610" s="2">
        <v>324100</v>
      </c>
      <c r="D610" s="2" t="s">
        <v>3</v>
      </c>
      <c r="E610" s="2">
        <v>195941</v>
      </c>
      <c r="F610" s="2" t="s">
        <v>3</v>
      </c>
      <c r="G610" s="2" t="s">
        <v>3</v>
      </c>
      <c r="H610" s="2">
        <v>128159</v>
      </c>
      <c r="I610" s="2">
        <v>9689</v>
      </c>
    </row>
    <row r="611" spans="1:9" hidden="1" x14ac:dyDescent="0.3">
      <c r="A611" t="s">
        <v>11</v>
      </c>
      <c r="B611" s="1">
        <v>44440</v>
      </c>
      <c r="C611" s="2">
        <v>309568</v>
      </c>
      <c r="D611" s="2" t="s">
        <v>3</v>
      </c>
      <c r="E611" s="2">
        <v>191099</v>
      </c>
      <c r="F611" s="2" t="s">
        <v>3</v>
      </c>
      <c r="G611" s="2" t="s">
        <v>3</v>
      </c>
      <c r="H611" s="2">
        <v>118470</v>
      </c>
      <c r="I611" s="2">
        <v>-6868</v>
      </c>
    </row>
    <row r="612" spans="1:9" hidden="1" x14ac:dyDescent="0.3">
      <c r="A612" t="s">
        <v>11</v>
      </c>
      <c r="B612" s="1">
        <v>44409</v>
      </c>
      <c r="C612" s="2">
        <v>326375</v>
      </c>
      <c r="D612" s="2" t="s">
        <v>3</v>
      </c>
      <c r="E612" s="2">
        <v>201038</v>
      </c>
      <c r="F612" s="2" t="s">
        <v>3</v>
      </c>
      <c r="G612" s="2" t="s">
        <v>3</v>
      </c>
      <c r="H612" s="2">
        <v>125338</v>
      </c>
      <c r="I612" s="2">
        <v>1712</v>
      </c>
    </row>
    <row r="613" spans="1:9" hidden="1" x14ac:dyDescent="0.3">
      <c r="A613" t="s">
        <v>11</v>
      </c>
      <c r="B613" s="1">
        <v>44378</v>
      </c>
      <c r="C613" s="2">
        <v>319845</v>
      </c>
      <c r="D613" s="2" t="s">
        <v>3</v>
      </c>
      <c r="E613" s="2">
        <v>196220</v>
      </c>
      <c r="F613" s="2" t="s">
        <v>3</v>
      </c>
      <c r="G613" s="2" t="s">
        <v>3</v>
      </c>
      <c r="H613" s="2">
        <v>123625</v>
      </c>
      <c r="I613" s="2">
        <v>-6416</v>
      </c>
    </row>
    <row r="614" spans="1:9" hidden="1" x14ac:dyDescent="0.3">
      <c r="A614" t="s">
        <v>11</v>
      </c>
      <c r="B614" s="1">
        <v>44348</v>
      </c>
      <c r="C614" s="2">
        <v>322724</v>
      </c>
      <c r="D614" s="2" t="s">
        <v>3</v>
      </c>
      <c r="E614" s="2">
        <v>192683</v>
      </c>
      <c r="F614" s="2" t="s">
        <v>3</v>
      </c>
      <c r="G614" s="2" t="s">
        <v>3</v>
      </c>
      <c r="H614" s="2">
        <v>130042</v>
      </c>
      <c r="I614" s="2">
        <v>16227</v>
      </c>
    </row>
    <row r="615" spans="1:9" hidden="1" x14ac:dyDescent="0.3">
      <c r="A615" t="s">
        <v>11</v>
      </c>
      <c r="B615" s="1">
        <v>44317</v>
      </c>
      <c r="C615" s="2">
        <v>304891</v>
      </c>
      <c r="D615" s="2" t="s">
        <v>3</v>
      </c>
      <c r="E615" s="2">
        <v>191077</v>
      </c>
      <c r="F615" s="2" t="s">
        <v>3</v>
      </c>
      <c r="G615" s="2" t="s">
        <v>3</v>
      </c>
      <c r="H615" s="2">
        <v>113814</v>
      </c>
      <c r="I615" s="2">
        <v>-3362</v>
      </c>
    </row>
    <row r="616" spans="1:9" hidden="1" x14ac:dyDescent="0.3">
      <c r="A616" t="s">
        <v>11</v>
      </c>
      <c r="B616" s="1">
        <v>44287</v>
      </c>
      <c r="C616" s="2">
        <v>307046</v>
      </c>
      <c r="D616" s="2" t="s">
        <v>3</v>
      </c>
      <c r="E616" s="2">
        <v>189870</v>
      </c>
      <c r="F616" s="2" t="s">
        <v>3</v>
      </c>
      <c r="G616" s="2" t="s">
        <v>3</v>
      </c>
      <c r="H616" s="2">
        <v>117176</v>
      </c>
      <c r="I616" s="2">
        <v>-9171</v>
      </c>
    </row>
    <row r="617" spans="1:9" hidden="1" x14ac:dyDescent="0.3">
      <c r="A617" t="s">
        <v>11</v>
      </c>
      <c r="B617" s="1">
        <v>44256</v>
      </c>
      <c r="C617" s="2">
        <v>309786</v>
      </c>
      <c r="D617" s="2" t="s">
        <v>3</v>
      </c>
      <c r="E617" s="2">
        <v>183439</v>
      </c>
      <c r="F617" s="2" t="s">
        <v>3</v>
      </c>
      <c r="G617" s="2" t="s">
        <v>3</v>
      </c>
      <c r="H617" s="2">
        <v>126348</v>
      </c>
      <c r="I617" s="2">
        <v>-6525</v>
      </c>
    </row>
    <row r="618" spans="1:9" hidden="1" x14ac:dyDescent="0.3">
      <c r="A618" t="s">
        <v>11</v>
      </c>
      <c r="B618" s="1">
        <v>44228</v>
      </c>
      <c r="C618" s="2">
        <v>315996</v>
      </c>
      <c r="D618" s="2" t="s">
        <v>3</v>
      </c>
      <c r="E618" s="2">
        <v>183123</v>
      </c>
      <c r="F618" s="2" t="s">
        <v>3</v>
      </c>
      <c r="G618" s="2" t="s">
        <v>3</v>
      </c>
      <c r="H618" s="2">
        <v>132873</v>
      </c>
      <c r="I618" s="2">
        <v>2146</v>
      </c>
    </row>
    <row r="619" spans="1:9" hidden="1" x14ac:dyDescent="0.3">
      <c r="A619" t="s">
        <v>11</v>
      </c>
      <c r="B619" s="1">
        <v>44197</v>
      </c>
      <c r="C619" s="2">
        <v>313621</v>
      </c>
      <c r="D619" s="2" t="s">
        <v>3</v>
      </c>
      <c r="E619" s="2">
        <v>182894</v>
      </c>
      <c r="F619" s="2" t="s">
        <v>3</v>
      </c>
      <c r="G619" s="2" t="s">
        <v>3</v>
      </c>
      <c r="H619" s="2">
        <v>130727</v>
      </c>
      <c r="I619" s="2">
        <v>-3198</v>
      </c>
    </row>
    <row r="620" spans="1:9" hidden="1" x14ac:dyDescent="0.3">
      <c r="A620" t="s">
        <v>11</v>
      </c>
      <c r="B620" s="1">
        <v>44166</v>
      </c>
      <c r="C620" s="2">
        <v>318148</v>
      </c>
      <c r="D620" s="2" t="s">
        <v>3</v>
      </c>
      <c r="E620" s="2">
        <v>184223</v>
      </c>
      <c r="F620" s="2" t="s">
        <v>3</v>
      </c>
      <c r="G620" s="2" t="s">
        <v>3</v>
      </c>
      <c r="H620" s="2">
        <v>133925</v>
      </c>
      <c r="I620" s="2">
        <v>2824</v>
      </c>
    </row>
    <row r="621" spans="1:9" hidden="1" x14ac:dyDescent="0.3">
      <c r="A621" t="s">
        <v>11</v>
      </c>
      <c r="B621" s="1">
        <v>44136</v>
      </c>
      <c r="C621" s="2">
        <v>314159</v>
      </c>
      <c r="D621" s="2" t="s">
        <v>3</v>
      </c>
      <c r="E621" s="2">
        <v>183059</v>
      </c>
      <c r="F621" s="2" t="s">
        <v>3</v>
      </c>
      <c r="G621" s="2" t="s">
        <v>3</v>
      </c>
      <c r="H621" s="2">
        <v>131100</v>
      </c>
      <c r="I621" s="2">
        <v>6121</v>
      </c>
    </row>
    <row r="622" spans="1:9" hidden="1" x14ac:dyDescent="0.3">
      <c r="A622" t="s">
        <v>11</v>
      </c>
      <c r="B622" s="1">
        <v>44105</v>
      </c>
      <c r="C622" s="2">
        <v>316268</v>
      </c>
      <c r="D622" s="2" t="s">
        <v>3</v>
      </c>
      <c r="E622" s="2">
        <v>191289</v>
      </c>
      <c r="F622" s="2" t="s">
        <v>3</v>
      </c>
      <c r="G622" s="2" t="s">
        <v>3</v>
      </c>
      <c r="H622" s="2">
        <v>124979</v>
      </c>
      <c r="I622" s="2">
        <v>3861</v>
      </c>
    </row>
    <row r="623" spans="1:9" hidden="1" x14ac:dyDescent="0.3">
      <c r="A623" t="s">
        <v>11</v>
      </c>
      <c r="B623" s="1">
        <v>44075</v>
      </c>
      <c r="C623" s="2">
        <v>315705</v>
      </c>
      <c r="D623" s="2" t="s">
        <v>3</v>
      </c>
      <c r="E623" s="2">
        <v>194587</v>
      </c>
      <c r="F623" s="2" t="s">
        <v>3</v>
      </c>
      <c r="G623" s="2" t="s">
        <v>3</v>
      </c>
      <c r="H623" s="2">
        <v>121119</v>
      </c>
      <c r="I623" s="2">
        <v>-15903</v>
      </c>
    </row>
    <row r="624" spans="1:9" hidden="1" x14ac:dyDescent="0.3">
      <c r="A624" t="s">
        <v>11</v>
      </c>
      <c r="B624" s="1">
        <v>44044</v>
      </c>
      <c r="C624" s="2">
        <v>335171</v>
      </c>
      <c r="D624" s="2" t="s">
        <v>3</v>
      </c>
      <c r="E624" s="2">
        <v>198150</v>
      </c>
      <c r="F624" s="2" t="s">
        <v>3</v>
      </c>
      <c r="G624" s="2" t="s">
        <v>3</v>
      </c>
      <c r="H624" s="2">
        <v>137022</v>
      </c>
      <c r="I624" s="2">
        <v>4485</v>
      </c>
    </row>
    <row r="625" spans="1:9" hidden="1" x14ac:dyDescent="0.3">
      <c r="A625" t="s">
        <v>11</v>
      </c>
      <c r="B625" s="1">
        <v>44013</v>
      </c>
      <c r="C625" s="2">
        <v>330716</v>
      </c>
      <c r="D625" s="2" t="s">
        <v>3</v>
      </c>
      <c r="E625" s="2">
        <v>198180</v>
      </c>
      <c r="F625" s="2" t="s">
        <v>3</v>
      </c>
      <c r="G625" s="2" t="s">
        <v>3</v>
      </c>
      <c r="H625" s="2">
        <v>132536</v>
      </c>
      <c r="I625" s="2">
        <v>3499</v>
      </c>
    </row>
    <row r="626" spans="1:9" hidden="1" x14ac:dyDescent="0.3">
      <c r="A626" t="s">
        <v>11</v>
      </c>
      <c r="B626" s="1">
        <v>43983</v>
      </c>
      <c r="C626" s="2">
        <v>330180</v>
      </c>
      <c r="D626" s="2" t="s">
        <v>3</v>
      </c>
      <c r="E626" s="2">
        <v>201143</v>
      </c>
      <c r="F626" s="2" t="s">
        <v>3</v>
      </c>
      <c r="G626" s="2" t="s">
        <v>3</v>
      </c>
      <c r="H626" s="2">
        <v>129037</v>
      </c>
      <c r="I626" s="2">
        <v>13363</v>
      </c>
    </row>
    <row r="627" spans="1:9" hidden="1" x14ac:dyDescent="0.3">
      <c r="A627" t="s">
        <v>11</v>
      </c>
      <c r="B627" s="1">
        <v>43952</v>
      </c>
      <c r="C627" s="2">
        <v>324207</v>
      </c>
      <c r="D627" s="2" t="s">
        <v>3</v>
      </c>
      <c r="E627" s="2">
        <v>208532</v>
      </c>
      <c r="F627" s="2" t="s">
        <v>3</v>
      </c>
      <c r="G627" s="2" t="s">
        <v>3</v>
      </c>
      <c r="H627" s="2">
        <v>115675</v>
      </c>
      <c r="I627" s="2">
        <v>18849</v>
      </c>
    </row>
    <row r="628" spans="1:9" hidden="1" x14ac:dyDescent="0.3">
      <c r="A628" t="s">
        <v>11</v>
      </c>
      <c r="B628" s="1">
        <v>43922</v>
      </c>
      <c r="C628" s="2">
        <v>301311</v>
      </c>
      <c r="D628" s="2" t="s">
        <v>3</v>
      </c>
      <c r="E628" s="2">
        <v>204485</v>
      </c>
      <c r="F628" s="2" t="s">
        <v>3</v>
      </c>
      <c r="G628" s="2" t="s">
        <v>3</v>
      </c>
      <c r="H628" s="2">
        <v>96826</v>
      </c>
      <c r="I628" s="2">
        <v>41719</v>
      </c>
    </row>
    <row r="629" spans="1:9" hidden="1" x14ac:dyDescent="0.3">
      <c r="A629" t="s">
        <v>11</v>
      </c>
      <c r="B629" s="1">
        <v>43891</v>
      </c>
      <c r="C629" s="2">
        <v>271602</v>
      </c>
      <c r="D629" s="2" t="s">
        <v>3</v>
      </c>
      <c r="E629" s="2">
        <v>216495</v>
      </c>
      <c r="F629" s="2" t="s">
        <v>3</v>
      </c>
      <c r="G629" s="2" t="s">
        <v>3</v>
      </c>
      <c r="H629" s="2">
        <v>55107</v>
      </c>
      <c r="I629" s="2">
        <v>13201</v>
      </c>
    </row>
    <row r="630" spans="1:9" hidden="1" x14ac:dyDescent="0.3">
      <c r="A630" t="s">
        <v>11</v>
      </c>
      <c r="B630" s="1">
        <v>43862</v>
      </c>
      <c r="C630" s="2">
        <v>282768</v>
      </c>
      <c r="D630" s="2" t="s">
        <v>3</v>
      </c>
      <c r="E630" s="2">
        <v>240862</v>
      </c>
      <c r="F630" s="2" t="s">
        <v>3</v>
      </c>
      <c r="G630" s="2" t="s">
        <v>3</v>
      </c>
      <c r="H630" s="2">
        <v>41906</v>
      </c>
      <c r="I630" s="2">
        <v>2130</v>
      </c>
    </row>
    <row r="631" spans="1:9" hidden="1" x14ac:dyDescent="0.3">
      <c r="A631" t="s">
        <v>11</v>
      </c>
      <c r="B631" s="1">
        <v>43831</v>
      </c>
      <c r="C631" s="2">
        <v>271717</v>
      </c>
      <c r="D631" s="2" t="s">
        <v>3</v>
      </c>
      <c r="E631" s="2">
        <v>231941</v>
      </c>
      <c r="F631" s="2" t="s">
        <v>3</v>
      </c>
      <c r="G631" s="2" t="s">
        <v>3</v>
      </c>
      <c r="H631" s="2">
        <v>39776</v>
      </c>
      <c r="I631" s="2">
        <v>-14064</v>
      </c>
    </row>
    <row r="632" spans="1:9" x14ac:dyDescent="0.3">
      <c r="A632" t="s">
        <v>12</v>
      </c>
      <c r="B632" s="1">
        <v>45931</v>
      </c>
      <c r="C632" s="2">
        <v>65485</v>
      </c>
      <c r="D632" s="2">
        <v>1768</v>
      </c>
      <c r="E632" s="2">
        <v>62076</v>
      </c>
      <c r="F632" s="2">
        <v>946</v>
      </c>
      <c r="G632" s="2">
        <v>254</v>
      </c>
      <c r="H632" s="2">
        <v>3409</v>
      </c>
      <c r="I632" s="2">
        <v>822</v>
      </c>
    </row>
    <row r="633" spans="1:9" x14ac:dyDescent="0.3">
      <c r="A633" t="s">
        <v>12</v>
      </c>
      <c r="B633" s="1">
        <v>45901</v>
      </c>
      <c r="C633" s="2">
        <v>62953</v>
      </c>
      <c r="D633" s="2">
        <v>571</v>
      </c>
      <c r="E633" s="2">
        <v>60367</v>
      </c>
      <c r="F633" s="2">
        <v>1603</v>
      </c>
      <c r="G633" s="2">
        <v>49</v>
      </c>
      <c r="H633" s="2">
        <v>2586</v>
      </c>
      <c r="I633" s="2">
        <v>-1032</v>
      </c>
    </row>
    <row r="634" spans="1:9" x14ac:dyDescent="0.3">
      <c r="A634" t="s">
        <v>12</v>
      </c>
      <c r="B634" s="1">
        <v>45870</v>
      </c>
      <c r="C634" s="2">
        <v>63104</v>
      </c>
      <c r="D634" s="2">
        <v>253</v>
      </c>
      <c r="E634" s="2">
        <v>59486</v>
      </c>
      <c r="F634" s="2">
        <v>2391</v>
      </c>
      <c r="G634" s="2">
        <v>-78</v>
      </c>
      <c r="H634" s="2">
        <v>3618</v>
      </c>
      <c r="I634" s="2">
        <v>-2138</v>
      </c>
    </row>
    <row r="635" spans="1:9" x14ac:dyDescent="0.3">
      <c r="A635" t="s">
        <v>12</v>
      </c>
      <c r="B635" s="1">
        <v>45839</v>
      </c>
      <c r="C635" s="2">
        <v>62757</v>
      </c>
      <c r="D635" s="2">
        <v>2396</v>
      </c>
      <c r="E635" s="2">
        <v>57001</v>
      </c>
      <c r="F635" s="2">
        <v>1419</v>
      </c>
      <c r="G635" s="2">
        <v>-100</v>
      </c>
      <c r="H635" s="2">
        <v>5756</v>
      </c>
      <c r="I635" s="2">
        <v>977</v>
      </c>
    </row>
    <row r="636" spans="1:9" x14ac:dyDescent="0.3">
      <c r="A636" t="s">
        <v>12</v>
      </c>
      <c r="B636" s="1">
        <v>45809</v>
      </c>
      <c r="C636" s="2">
        <v>60907</v>
      </c>
      <c r="D636" s="2">
        <v>-261</v>
      </c>
      <c r="E636" s="2">
        <v>56127</v>
      </c>
      <c r="F636" s="2">
        <v>-1496</v>
      </c>
      <c r="G636" s="2">
        <v>252</v>
      </c>
      <c r="H636" s="2">
        <v>4780</v>
      </c>
      <c r="I636" s="2">
        <v>1235</v>
      </c>
    </row>
    <row r="637" spans="1:9" x14ac:dyDescent="0.3">
      <c r="A637" t="s">
        <v>12</v>
      </c>
      <c r="B637" s="1">
        <v>45778</v>
      </c>
      <c r="C637" s="2">
        <v>60978</v>
      </c>
      <c r="D637" s="2">
        <v>702</v>
      </c>
      <c r="E637" s="2">
        <v>57434</v>
      </c>
      <c r="F637" s="2">
        <v>985</v>
      </c>
      <c r="G637" s="2">
        <v>-602</v>
      </c>
      <c r="H637" s="2">
        <v>3544</v>
      </c>
      <c r="I637" s="2">
        <v>-284</v>
      </c>
    </row>
    <row r="638" spans="1:9" x14ac:dyDescent="0.3">
      <c r="A638" t="s">
        <v>12</v>
      </c>
      <c r="B638" s="1">
        <v>45748</v>
      </c>
      <c r="C638" s="2">
        <v>60974</v>
      </c>
      <c r="D638" s="2">
        <v>863</v>
      </c>
      <c r="E638" s="2">
        <v>57146</v>
      </c>
      <c r="F638" s="2">
        <v>2152</v>
      </c>
      <c r="G638" s="2">
        <v>98</v>
      </c>
      <c r="H638" s="2">
        <v>3828</v>
      </c>
      <c r="I638" s="2">
        <v>-1289</v>
      </c>
    </row>
    <row r="639" spans="1:9" x14ac:dyDescent="0.3">
      <c r="A639" t="s">
        <v>12</v>
      </c>
      <c r="B639" s="1">
        <v>45717</v>
      </c>
      <c r="C639" s="2">
        <v>59841</v>
      </c>
      <c r="D639" s="2">
        <v>569</v>
      </c>
      <c r="E639" s="2">
        <v>54724</v>
      </c>
      <c r="F639" s="2">
        <v>11</v>
      </c>
      <c r="G639" s="2">
        <v>416</v>
      </c>
      <c r="H639" s="2">
        <v>5117</v>
      </c>
      <c r="I639" s="2">
        <v>558</v>
      </c>
    </row>
    <row r="640" spans="1:9" x14ac:dyDescent="0.3">
      <c r="A640" t="s">
        <v>12</v>
      </c>
      <c r="B640" s="1">
        <v>45689</v>
      </c>
      <c r="C640" s="2">
        <v>58896</v>
      </c>
      <c r="D640" s="2">
        <v>-209</v>
      </c>
      <c r="E640" s="2">
        <v>54336</v>
      </c>
      <c r="F640" s="2">
        <v>960</v>
      </c>
      <c r="G640" s="2">
        <v>516</v>
      </c>
      <c r="H640" s="2">
        <v>4560</v>
      </c>
      <c r="I640" s="2">
        <v>-1170</v>
      </c>
    </row>
    <row r="641" spans="1:9" x14ac:dyDescent="0.3">
      <c r="A641" t="s">
        <v>12</v>
      </c>
      <c r="B641" s="1">
        <v>45658</v>
      </c>
      <c r="C641" s="2">
        <v>58860</v>
      </c>
      <c r="D641" s="2">
        <v>-1651</v>
      </c>
      <c r="E641" s="2">
        <v>53131</v>
      </c>
      <c r="F641" s="2">
        <v>-1337</v>
      </c>
      <c r="G641" s="2">
        <v>-30</v>
      </c>
      <c r="H641" s="2">
        <v>5729</v>
      </c>
      <c r="I641" s="2">
        <v>-314</v>
      </c>
    </row>
    <row r="642" spans="1:9" x14ac:dyDescent="0.3">
      <c r="A642" t="s">
        <v>12</v>
      </c>
      <c r="B642" s="1">
        <v>45627</v>
      </c>
      <c r="C642" s="2">
        <v>60022</v>
      </c>
      <c r="D642" s="2">
        <v>1516</v>
      </c>
      <c r="E642" s="2">
        <v>53978</v>
      </c>
      <c r="F642" s="2">
        <v>3332</v>
      </c>
      <c r="G642" s="2">
        <v>-475</v>
      </c>
      <c r="H642" s="2">
        <v>6044</v>
      </c>
      <c r="I642" s="2">
        <v>-1815</v>
      </c>
    </row>
    <row r="643" spans="1:9" x14ac:dyDescent="0.3">
      <c r="A643" t="s">
        <v>12</v>
      </c>
      <c r="B643" s="1">
        <v>45597</v>
      </c>
      <c r="C643" s="2">
        <v>59538</v>
      </c>
      <c r="D643" s="2">
        <v>1405</v>
      </c>
      <c r="E643" s="2">
        <v>51679</v>
      </c>
      <c r="F643" s="2">
        <v>1910</v>
      </c>
      <c r="G643" s="2">
        <v>155</v>
      </c>
      <c r="H643" s="2">
        <v>7859</v>
      </c>
      <c r="I643" s="2">
        <v>-505</v>
      </c>
    </row>
    <row r="644" spans="1:9" x14ac:dyDescent="0.3">
      <c r="A644" t="s">
        <v>12</v>
      </c>
      <c r="B644" s="1">
        <v>45566</v>
      </c>
      <c r="C644" s="2">
        <v>58327</v>
      </c>
      <c r="D644" s="2">
        <v>413</v>
      </c>
      <c r="E644" s="2">
        <v>49963</v>
      </c>
      <c r="F644" s="2">
        <v>1143</v>
      </c>
      <c r="G644" s="2">
        <v>-830</v>
      </c>
      <c r="H644" s="2">
        <v>8364</v>
      </c>
      <c r="I644" s="2">
        <v>-731</v>
      </c>
    </row>
    <row r="645" spans="1:9" x14ac:dyDescent="0.3">
      <c r="A645" t="s">
        <v>12</v>
      </c>
      <c r="B645" s="1">
        <v>45536</v>
      </c>
      <c r="C645" s="2">
        <v>58897</v>
      </c>
      <c r="D645" s="2">
        <v>249</v>
      </c>
      <c r="E645" s="2">
        <v>49802</v>
      </c>
      <c r="F645" s="2">
        <v>83</v>
      </c>
      <c r="G645" s="2">
        <v>-116</v>
      </c>
      <c r="H645" s="2">
        <v>9095</v>
      </c>
      <c r="I645" s="2">
        <v>166</v>
      </c>
    </row>
    <row r="646" spans="1:9" x14ac:dyDescent="0.3">
      <c r="A646" t="s">
        <v>12</v>
      </c>
      <c r="B646" s="1">
        <v>45505</v>
      </c>
      <c r="C646" s="2">
        <v>56618</v>
      </c>
      <c r="D646" s="2">
        <v>1455</v>
      </c>
      <c r="E646" s="2">
        <v>47689</v>
      </c>
      <c r="F646" s="2">
        <v>713</v>
      </c>
      <c r="G646" s="2">
        <v>782</v>
      </c>
      <c r="H646" s="2">
        <v>8929</v>
      </c>
      <c r="I646" s="2">
        <v>742</v>
      </c>
    </row>
    <row r="647" spans="1:9" x14ac:dyDescent="0.3">
      <c r="A647" t="s">
        <v>12</v>
      </c>
      <c r="B647" s="1">
        <v>45474</v>
      </c>
      <c r="C647" s="2">
        <v>54962</v>
      </c>
      <c r="D647" s="2">
        <v>102</v>
      </c>
      <c r="E647" s="2">
        <v>46775</v>
      </c>
      <c r="F647" s="2">
        <v>573</v>
      </c>
      <c r="G647" s="2">
        <v>833</v>
      </c>
      <c r="H647" s="2">
        <v>8187</v>
      </c>
      <c r="I647" s="2">
        <v>-471</v>
      </c>
    </row>
    <row r="648" spans="1:9" x14ac:dyDescent="0.3">
      <c r="A648" t="s">
        <v>12</v>
      </c>
      <c r="B648" s="1">
        <v>45444</v>
      </c>
      <c r="C648" s="2">
        <v>55033</v>
      </c>
      <c r="D648" s="2">
        <v>988</v>
      </c>
      <c r="E648" s="2">
        <v>46375</v>
      </c>
      <c r="F648" s="2">
        <v>1336</v>
      </c>
      <c r="G648" s="2">
        <v>273</v>
      </c>
      <c r="H648" s="2">
        <v>8658</v>
      </c>
      <c r="I648" s="2">
        <v>-349</v>
      </c>
    </row>
    <row r="649" spans="1:9" x14ac:dyDescent="0.3">
      <c r="A649" t="s">
        <v>12</v>
      </c>
      <c r="B649" s="1">
        <v>45413</v>
      </c>
      <c r="C649" s="2">
        <v>53858</v>
      </c>
      <c r="D649" s="2">
        <v>3952</v>
      </c>
      <c r="E649" s="2">
        <v>44852</v>
      </c>
      <c r="F649" s="2">
        <v>510</v>
      </c>
      <c r="G649" s="2">
        <v>-174</v>
      </c>
      <c r="H649" s="2">
        <v>9006</v>
      </c>
      <c r="I649" s="2">
        <v>3442</v>
      </c>
    </row>
    <row r="650" spans="1:9" x14ac:dyDescent="0.3">
      <c r="A650" t="s">
        <v>12</v>
      </c>
      <c r="B650" s="1">
        <v>45383</v>
      </c>
      <c r="C650" s="2">
        <v>49523</v>
      </c>
      <c r="D650" s="2">
        <v>6399</v>
      </c>
      <c r="E650" s="2">
        <v>43959</v>
      </c>
      <c r="F650" s="2">
        <v>3812</v>
      </c>
      <c r="G650" s="2">
        <v>-324</v>
      </c>
      <c r="H650" s="2">
        <v>5564</v>
      </c>
      <c r="I650" s="2">
        <v>2586</v>
      </c>
    </row>
    <row r="651" spans="1:9" x14ac:dyDescent="0.3">
      <c r="A651" t="s">
        <v>12</v>
      </c>
      <c r="B651" s="1">
        <v>45352</v>
      </c>
      <c r="C651" s="2">
        <v>43874</v>
      </c>
      <c r="D651" s="2">
        <v>-1536</v>
      </c>
      <c r="E651" s="2">
        <v>40896</v>
      </c>
      <c r="F651" s="2">
        <v>-1109</v>
      </c>
      <c r="G651" s="2">
        <v>279</v>
      </c>
      <c r="H651" s="2">
        <v>2978</v>
      </c>
      <c r="I651" s="2">
        <v>-427</v>
      </c>
    </row>
    <row r="652" spans="1:9" x14ac:dyDescent="0.3">
      <c r="A652" t="s">
        <v>12</v>
      </c>
      <c r="B652" s="1">
        <v>45323</v>
      </c>
      <c r="C652" s="2">
        <v>45123</v>
      </c>
      <c r="D652" s="2">
        <v>63</v>
      </c>
      <c r="E652" s="2">
        <v>41718</v>
      </c>
      <c r="F652" s="2">
        <v>19</v>
      </c>
      <c r="G652" s="2">
        <v>-694</v>
      </c>
      <c r="H652" s="2">
        <v>3405</v>
      </c>
      <c r="I652" s="2">
        <v>44</v>
      </c>
    </row>
    <row r="653" spans="1:9" x14ac:dyDescent="0.3">
      <c r="A653" t="s">
        <v>12</v>
      </c>
      <c r="B653" s="1">
        <v>45292</v>
      </c>
      <c r="C653" s="2">
        <v>45542</v>
      </c>
      <c r="D653" s="2">
        <v>668</v>
      </c>
      <c r="E653" s="2">
        <v>42181</v>
      </c>
      <c r="F653" s="2">
        <v>530</v>
      </c>
      <c r="G653" s="2">
        <v>267</v>
      </c>
      <c r="H653" s="2">
        <v>3361</v>
      </c>
      <c r="I653" s="2">
        <v>138</v>
      </c>
    </row>
    <row r="654" spans="1:9" x14ac:dyDescent="0.3">
      <c r="A654" t="s">
        <v>12</v>
      </c>
      <c r="B654" s="1">
        <v>45261</v>
      </c>
      <c r="C654" s="2">
        <v>44870</v>
      </c>
      <c r="D654" s="2">
        <v>432</v>
      </c>
      <c r="E654" s="2">
        <v>41647</v>
      </c>
      <c r="F654" s="2">
        <v>254</v>
      </c>
      <c r="G654" s="2">
        <v>749</v>
      </c>
      <c r="H654" s="2">
        <v>3223</v>
      </c>
      <c r="I654" s="2">
        <v>178</v>
      </c>
    </row>
    <row r="655" spans="1:9" x14ac:dyDescent="0.3">
      <c r="A655" t="s">
        <v>12</v>
      </c>
      <c r="B655" s="1">
        <v>45231</v>
      </c>
      <c r="C655" s="2">
        <v>44627</v>
      </c>
      <c r="D655" s="2">
        <v>-520</v>
      </c>
      <c r="E655" s="2">
        <v>41582</v>
      </c>
      <c r="F655" s="2">
        <v>-589</v>
      </c>
      <c r="G655" s="2">
        <v>846</v>
      </c>
      <c r="H655" s="2">
        <v>3045</v>
      </c>
      <c r="I655" s="2">
        <v>69</v>
      </c>
    </row>
    <row r="656" spans="1:9" x14ac:dyDescent="0.3">
      <c r="A656" t="s">
        <v>12</v>
      </c>
      <c r="B656" s="1">
        <v>45200</v>
      </c>
      <c r="C656" s="2">
        <v>44257</v>
      </c>
      <c r="D656" s="2">
        <v>-323</v>
      </c>
      <c r="E656" s="2">
        <v>41281</v>
      </c>
      <c r="F656" s="2">
        <v>-611</v>
      </c>
      <c r="G656" s="2">
        <v>-200</v>
      </c>
      <c r="H656" s="2">
        <v>2976</v>
      </c>
      <c r="I656" s="2">
        <v>288</v>
      </c>
    </row>
    <row r="657" spans="1:9" x14ac:dyDescent="0.3">
      <c r="A657" t="s">
        <v>12</v>
      </c>
      <c r="B657" s="1">
        <v>45170</v>
      </c>
      <c r="C657" s="2">
        <v>45255</v>
      </c>
      <c r="D657" s="2">
        <v>236</v>
      </c>
      <c r="E657" s="2">
        <v>42566</v>
      </c>
      <c r="F657" s="2">
        <v>264</v>
      </c>
      <c r="G657" s="2">
        <v>-292</v>
      </c>
      <c r="H657" s="2">
        <v>2688</v>
      </c>
      <c r="I657" s="2">
        <v>-28</v>
      </c>
    </row>
    <row r="658" spans="1:9" x14ac:dyDescent="0.3">
      <c r="A658" t="s">
        <v>12</v>
      </c>
      <c r="B658" s="1">
        <v>45139</v>
      </c>
      <c r="C658" s="2">
        <v>45506</v>
      </c>
      <c r="D658" s="2">
        <v>-302</v>
      </c>
      <c r="E658" s="2">
        <v>42790</v>
      </c>
      <c r="F658" s="2">
        <v>177</v>
      </c>
      <c r="G658" s="2">
        <v>-406</v>
      </c>
      <c r="H658" s="2">
        <v>2717</v>
      </c>
      <c r="I658" s="2">
        <v>-479</v>
      </c>
    </row>
    <row r="659" spans="1:9" x14ac:dyDescent="0.3">
      <c r="A659" t="s">
        <v>12</v>
      </c>
      <c r="B659" s="1">
        <v>45108</v>
      </c>
      <c r="C659" s="2">
        <v>46199</v>
      </c>
      <c r="D659" s="2">
        <v>-1744</v>
      </c>
      <c r="E659" s="2">
        <v>43003</v>
      </c>
      <c r="F659" s="2">
        <v>-2440</v>
      </c>
      <c r="G659" s="2">
        <v>5</v>
      </c>
      <c r="H659" s="2">
        <v>3196</v>
      </c>
      <c r="I659" s="2">
        <v>696</v>
      </c>
    </row>
    <row r="660" spans="1:9" x14ac:dyDescent="0.3">
      <c r="A660" t="s">
        <v>12</v>
      </c>
      <c r="B660" s="1">
        <v>45078</v>
      </c>
      <c r="C660" s="2">
        <v>46838</v>
      </c>
      <c r="D660" s="2">
        <v>-1887</v>
      </c>
      <c r="E660" s="2">
        <v>44339</v>
      </c>
      <c r="F660" s="2">
        <v>1959</v>
      </c>
      <c r="G660" s="2">
        <v>-537</v>
      </c>
      <c r="H660" s="2">
        <v>2500</v>
      </c>
      <c r="I660" s="2">
        <v>-3846</v>
      </c>
    </row>
    <row r="661" spans="1:9" x14ac:dyDescent="0.3">
      <c r="A661" t="s">
        <v>12</v>
      </c>
      <c r="B661" s="1">
        <v>45047</v>
      </c>
      <c r="C661" s="2">
        <v>49223</v>
      </c>
      <c r="D661" s="2">
        <v>5745</v>
      </c>
      <c r="E661" s="2">
        <v>42877</v>
      </c>
      <c r="F661" s="2">
        <v>880</v>
      </c>
      <c r="G661" s="2">
        <v>-486</v>
      </c>
      <c r="H661" s="2">
        <v>6346</v>
      </c>
      <c r="I661" s="2">
        <v>4864</v>
      </c>
    </row>
    <row r="662" spans="1:9" x14ac:dyDescent="0.3">
      <c r="A662" t="s">
        <v>12</v>
      </c>
      <c r="B662" s="1">
        <v>45017</v>
      </c>
      <c r="C662" s="2">
        <v>43198</v>
      </c>
      <c r="D662" s="2">
        <v>2989</v>
      </c>
      <c r="E662" s="2">
        <v>41717</v>
      </c>
      <c r="F662" s="2">
        <v>2778</v>
      </c>
      <c r="G662" s="2">
        <v>-41</v>
      </c>
      <c r="H662" s="2">
        <v>1481</v>
      </c>
      <c r="I662" s="2">
        <v>210</v>
      </c>
    </row>
    <row r="663" spans="1:9" x14ac:dyDescent="0.3">
      <c r="A663" t="s">
        <v>12</v>
      </c>
      <c r="B663" s="1">
        <v>44986</v>
      </c>
      <c r="C663" s="2">
        <v>39538</v>
      </c>
      <c r="D663" s="2">
        <v>-1399</v>
      </c>
      <c r="E663" s="2">
        <v>38267</v>
      </c>
      <c r="F663" s="2">
        <v>-1026</v>
      </c>
      <c r="G663" s="2">
        <v>477</v>
      </c>
      <c r="H663" s="2">
        <v>1271</v>
      </c>
      <c r="I663" s="2">
        <v>-373</v>
      </c>
    </row>
    <row r="664" spans="1:9" x14ac:dyDescent="0.3">
      <c r="A664" t="s">
        <v>12</v>
      </c>
      <c r="B664" s="1">
        <v>44958</v>
      </c>
      <c r="C664" s="2">
        <v>40107</v>
      </c>
      <c r="D664" s="2">
        <v>-635</v>
      </c>
      <c r="E664" s="2">
        <v>38463</v>
      </c>
      <c r="F664" s="2">
        <v>-630</v>
      </c>
      <c r="G664" s="2">
        <v>151</v>
      </c>
      <c r="H664" s="2">
        <v>1644</v>
      </c>
      <c r="I664" s="2">
        <v>-4</v>
      </c>
    </row>
    <row r="665" spans="1:9" hidden="1" x14ac:dyDescent="0.3">
      <c r="A665" t="s">
        <v>12</v>
      </c>
      <c r="B665" s="1">
        <v>44927</v>
      </c>
      <c r="C665" s="2">
        <v>40230</v>
      </c>
      <c r="D665" s="2" t="s">
        <v>3</v>
      </c>
      <c r="E665" s="2">
        <v>38582</v>
      </c>
      <c r="F665" s="2" t="s">
        <v>3</v>
      </c>
      <c r="G665" s="2" t="s">
        <v>3</v>
      </c>
      <c r="H665" s="2">
        <v>1649</v>
      </c>
      <c r="I665" s="2">
        <v>623</v>
      </c>
    </row>
    <row r="666" spans="1:9" hidden="1" x14ac:dyDescent="0.3">
      <c r="A666" t="s">
        <v>12</v>
      </c>
      <c r="B666" s="1">
        <v>44896</v>
      </c>
      <c r="C666" s="2">
        <v>39198</v>
      </c>
      <c r="D666" s="2" t="s">
        <v>3</v>
      </c>
      <c r="E666" s="2">
        <v>38172</v>
      </c>
      <c r="F666" s="2" t="s">
        <v>3</v>
      </c>
      <c r="G666" s="2" t="s">
        <v>3</v>
      </c>
      <c r="H666" s="2">
        <v>1026</v>
      </c>
      <c r="I666" s="2">
        <v>-90</v>
      </c>
    </row>
    <row r="667" spans="1:9" hidden="1" x14ac:dyDescent="0.3">
      <c r="A667" t="s">
        <v>12</v>
      </c>
      <c r="B667" s="1">
        <v>44866</v>
      </c>
      <c r="C667" s="2">
        <v>38098</v>
      </c>
      <c r="D667" s="2" t="s">
        <v>3</v>
      </c>
      <c r="E667" s="2">
        <v>36982</v>
      </c>
      <c r="F667" s="2" t="s">
        <v>3</v>
      </c>
      <c r="G667" s="2" t="s">
        <v>3</v>
      </c>
      <c r="H667" s="2">
        <v>1116</v>
      </c>
      <c r="I667" s="2">
        <v>359</v>
      </c>
    </row>
    <row r="668" spans="1:9" hidden="1" x14ac:dyDescent="0.3">
      <c r="A668" t="s">
        <v>12</v>
      </c>
      <c r="B668" s="1">
        <v>44835</v>
      </c>
      <c r="C668" s="2">
        <v>36791</v>
      </c>
      <c r="D668" s="2" t="s">
        <v>3</v>
      </c>
      <c r="E668" s="2">
        <v>36033</v>
      </c>
      <c r="F668" s="2" t="s">
        <v>3</v>
      </c>
      <c r="G668" s="2" t="s">
        <v>3</v>
      </c>
      <c r="H668" s="2">
        <v>757</v>
      </c>
      <c r="I668" s="2">
        <v>-272</v>
      </c>
    </row>
    <row r="669" spans="1:9" hidden="1" x14ac:dyDescent="0.3">
      <c r="A669" t="s">
        <v>12</v>
      </c>
      <c r="B669" s="1">
        <v>44805</v>
      </c>
      <c r="C669" s="2">
        <v>36830</v>
      </c>
      <c r="D669" s="2" t="s">
        <v>3</v>
      </c>
      <c r="E669" s="2">
        <v>35801</v>
      </c>
      <c r="F669" s="2" t="s">
        <v>3</v>
      </c>
      <c r="G669" s="2" t="s">
        <v>3</v>
      </c>
      <c r="H669" s="2">
        <v>1029</v>
      </c>
      <c r="I669" s="2">
        <v>-409</v>
      </c>
    </row>
    <row r="670" spans="1:9" hidden="1" x14ac:dyDescent="0.3">
      <c r="A670" t="s">
        <v>12</v>
      </c>
      <c r="B670" s="1">
        <v>44774</v>
      </c>
      <c r="C670" s="2">
        <v>37908</v>
      </c>
      <c r="D670" s="2" t="s">
        <v>3</v>
      </c>
      <c r="E670" s="2">
        <v>36470</v>
      </c>
      <c r="F670" s="2" t="s">
        <v>3</v>
      </c>
      <c r="G670" s="2" t="s">
        <v>3</v>
      </c>
      <c r="H670" s="2">
        <v>1438</v>
      </c>
      <c r="I670" s="2">
        <v>-55</v>
      </c>
    </row>
    <row r="671" spans="1:9" hidden="1" x14ac:dyDescent="0.3">
      <c r="A671" t="s">
        <v>12</v>
      </c>
      <c r="B671" s="1">
        <v>44743</v>
      </c>
      <c r="C671" s="2">
        <v>40249</v>
      </c>
      <c r="D671" s="2" t="s">
        <v>3</v>
      </c>
      <c r="E671" s="2">
        <v>38756</v>
      </c>
      <c r="F671" s="2" t="s">
        <v>3</v>
      </c>
      <c r="G671" s="2" t="s">
        <v>3</v>
      </c>
      <c r="H671" s="2">
        <v>1493</v>
      </c>
      <c r="I671" s="2">
        <v>-100</v>
      </c>
    </row>
    <row r="672" spans="1:9" hidden="1" x14ac:dyDescent="0.3">
      <c r="A672" t="s">
        <v>12</v>
      </c>
      <c r="B672" s="1">
        <v>44713</v>
      </c>
      <c r="C672" s="2">
        <v>40393</v>
      </c>
      <c r="D672" s="2" t="s">
        <v>3</v>
      </c>
      <c r="E672" s="2">
        <v>38799</v>
      </c>
      <c r="F672" s="2" t="s">
        <v>3</v>
      </c>
      <c r="G672" s="2" t="s">
        <v>3</v>
      </c>
      <c r="H672" s="2">
        <v>1594</v>
      </c>
      <c r="I672" s="2">
        <v>269</v>
      </c>
    </row>
    <row r="673" spans="1:9" hidden="1" x14ac:dyDescent="0.3">
      <c r="A673" t="s">
        <v>12</v>
      </c>
      <c r="B673" s="1">
        <v>44682</v>
      </c>
      <c r="C673" s="2">
        <v>41920</v>
      </c>
      <c r="D673" s="2" t="s">
        <v>3</v>
      </c>
      <c r="E673" s="2">
        <v>40595</v>
      </c>
      <c r="F673" s="2" t="s">
        <v>3</v>
      </c>
      <c r="G673" s="2" t="s">
        <v>3</v>
      </c>
      <c r="H673" s="2">
        <v>1325</v>
      </c>
      <c r="I673" s="2">
        <v>-195</v>
      </c>
    </row>
    <row r="674" spans="1:9" hidden="1" x14ac:dyDescent="0.3">
      <c r="A674" t="s">
        <v>12</v>
      </c>
      <c r="B674" s="1">
        <v>44652</v>
      </c>
      <c r="C674" s="2">
        <v>42599</v>
      </c>
      <c r="D674" s="2" t="s">
        <v>3</v>
      </c>
      <c r="E674" s="2">
        <v>41079</v>
      </c>
      <c r="F674" s="2" t="s">
        <v>3</v>
      </c>
      <c r="G674" s="2" t="s">
        <v>3</v>
      </c>
      <c r="H674" s="2">
        <v>1520</v>
      </c>
      <c r="I674" s="2">
        <v>-305</v>
      </c>
    </row>
    <row r="675" spans="1:9" hidden="1" x14ac:dyDescent="0.3">
      <c r="A675" t="s">
        <v>12</v>
      </c>
      <c r="B675" s="1">
        <v>44621</v>
      </c>
      <c r="C675" s="2">
        <v>44243</v>
      </c>
      <c r="D675" s="2" t="s">
        <v>3</v>
      </c>
      <c r="E675" s="2">
        <v>42418</v>
      </c>
      <c r="F675" s="2" t="s">
        <v>3</v>
      </c>
      <c r="G675" s="2" t="s">
        <v>3</v>
      </c>
      <c r="H675" s="2">
        <v>1825</v>
      </c>
      <c r="I675" s="2">
        <v>-256</v>
      </c>
    </row>
    <row r="676" spans="1:9" hidden="1" x14ac:dyDescent="0.3">
      <c r="A676" t="s">
        <v>12</v>
      </c>
      <c r="B676" s="1">
        <v>44593</v>
      </c>
      <c r="C676" s="2">
        <v>45400</v>
      </c>
      <c r="D676" s="2" t="s">
        <v>3</v>
      </c>
      <c r="E676" s="2">
        <v>43319</v>
      </c>
      <c r="F676" s="2" t="s">
        <v>3</v>
      </c>
      <c r="G676" s="2" t="s">
        <v>3</v>
      </c>
      <c r="H676" s="2">
        <v>2080</v>
      </c>
      <c r="I676" s="2">
        <v>396</v>
      </c>
    </row>
    <row r="677" spans="1:9" hidden="1" x14ac:dyDescent="0.3">
      <c r="A677" t="s">
        <v>12</v>
      </c>
      <c r="B677" s="1">
        <v>44562</v>
      </c>
      <c r="C677" s="2">
        <v>42141</v>
      </c>
      <c r="D677" s="2" t="s">
        <v>3</v>
      </c>
      <c r="E677" s="2">
        <v>40456</v>
      </c>
      <c r="F677" s="2" t="s">
        <v>3</v>
      </c>
      <c r="G677" s="2" t="s">
        <v>3</v>
      </c>
      <c r="H677" s="2">
        <v>1684</v>
      </c>
      <c r="I677" s="2">
        <v>183</v>
      </c>
    </row>
    <row r="678" spans="1:9" hidden="1" x14ac:dyDescent="0.3">
      <c r="A678" t="s">
        <v>12</v>
      </c>
      <c r="B678" s="1">
        <v>44531</v>
      </c>
      <c r="C678" s="2">
        <v>42340</v>
      </c>
      <c r="D678" s="2" t="s">
        <v>3</v>
      </c>
      <c r="E678" s="2">
        <v>40839</v>
      </c>
      <c r="F678" s="2" t="s">
        <v>3</v>
      </c>
      <c r="G678" s="2" t="s">
        <v>3</v>
      </c>
      <c r="H678" s="2">
        <v>1501</v>
      </c>
      <c r="I678" s="2">
        <v>-51</v>
      </c>
    </row>
    <row r="679" spans="1:9" hidden="1" x14ac:dyDescent="0.3">
      <c r="A679" t="s">
        <v>12</v>
      </c>
      <c r="B679" s="1">
        <v>44501</v>
      </c>
      <c r="C679" s="2">
        <v>44022</v>
      </c>
      <c r="D679" s="2" t="s">
        <v>3</v>
      </c>
      <c r="E679" s="2">
        <v>42470</v>
      </c>
      <c r="F679" s="2" t="s">
        <v>3</v>
      </c>
      <c r="G679" s="2" t="s">
        <v>3</v>
      </c>
      <c r="H679" s="2">
        <v>1553</v>
      </c>
      <c r="I679" s="2">
        <v>-130</v>
      </c>
    </row>
    <row r="680" spans="1:9" hidden="1" x14ac:dyDescent="0.3">
      <c r="A680" t="s">
        <v>12</v>
      </c>
      <c r="B680" s="1">
        <v>44470</v>
      </c>
      <c r="C680" s="2">
        <v>43559</v>
      </c>
      <c r="D680" s="2" t="s">
        <v>3</v>
      </c>
      <c r="E680" s="2">
        <v>41876</v>
      </c>
      <c r="F680" s="2" t="s">
        <v>3</v>
      </c>
      <c r="G680" s="2" t="s">
        <v>3</v>
      </c>
      <c r="H680" s="2">
        <v>1683</v>
      </c>
      <c r="I680" s="2">
        <v>-19</v>
      </c>
    </row>
    <row r="681" spans="1:9" hidden="1" x14ac:dyDescent="0.3">
      <c r="A681" t="s">
        <v>12</v>
      </c>
      <c r="B681" s="1">
        <v>44440</v>
      </c>
      <c r="C681" s="2">
        <v>41814</v>
      </c>
      <c r="D681" s="2" t="s">
        <v>3</v>
      </c>
      <c r="E681" s="2">
        <v>40112</v>
      </c>
      <c r="F681" s="2" t="s">
        <v>3</v>
      </c>
      <c r="G681" s="2" t="s">
        <v>3</v>
      </c>
      <c r="H681" s="2">
        <v>1702</v>
      </c>
      <c r="I681" s="2">
        <v>50</v>
      </c>
    </row>
    <row r="682" spans="1:9" hidden="1" x14ac:dyDescent="0.3">
      <c r="A682" t="s">
        <v>12</v>
      </c>
      <c r="B682" s="1">
        <v>44409</v>
      </c>
      <c r="C682" s="2">
        <v>41023</v>
      </c>
      <c r="D682" s="2" t="s">
        <v>3</v>
      </c>
      <c r="E682" s="2">
        <v>39372</v>
      </c>
      <c r="F682" s="2" t="s">
        <v>3</v>
      </c>
      <c r="G682" s="2" t="s">
        <v>3</v>
      </c>
      <c r="H682" s="2">
        <v>1652</v>
      </c>
      <c r="I682" s="2">
        <v>99</v>
      </c>
    </row>
    <row r="683" spans="1:9" hidden="1" x14ac:dyDescent="0.3">
      <c r="A683" t="s">
        <v>12</v>
      </c>
      <c r="B683" s="1">
        <v>44378</v>
      </c>
      <c r="C683" s="2">
        <v>41839</v>
      </c>
      <c r="D683" s="2" t="s">
        <v>3</v>
      </c>
      <c r="E683" s="2">
        <v>40286</v>
      </c>
      <c r="F683" s="2" t="s">
        <v>3</v>
      </c>
      <c r="G683" s="2" t="s">
        <v>3</v>
      </c>
      <c r="H683" s="2">
        <v>1553</v>
      </c>
      <c r="I683" s="2">
        <v>-13</v>
      </c>
    </row>
    <row r="684" spans="1:9" hidden="1" x14ac:dyDescent="0.3">
      <c r="A684" t="s">
        <v>12</v>
      </c>
      <c r="B684" s="1">
        <v>44348</v>
      </c>
      <c r="C684" s="2">
        <v>39946</v>
      </c>
      <c r="D684" s="2" t="s">
        <v>3</v>
      </c>
      <c r="E684" s="2">
        <v>38381</v>
      </c>
      <c r="F684" s="2" t="s">
        <v>3</v>
      </c>
      <c r="G684" s="2" t="s">
        <v>3</v>
      </c>
      <c r="H684" s="2">
        <v>1566</v>
      </c>
      <c r="I684" s="2">
        <v>113</v>
      </c>
    </row>
    <row r="685" spans="1:9" hidden="1" x14ac:dyDescent="0.3">
      <c r="A685" t="s">
        <v>12</v>
      </c>
      <c r="B685" s="1">
        <v>44317</v>
      </c>
      <c r="C685" s="2">
        <v>38229</v>
      </c>
      <c r="D685" s="2" t="s">
        <v>3</v>
      </c>
      <c r="E685" s="2">
        <v>36776</v>
      </c>
      <c r="F685" s="2" t="s">
        <v>3</v>
      </c>
      <c r="G685" s="2" t="s">
        <v>3</v>
      </c>
      <c r="H685" s="2">
        <v>1453</v>
      </c>
      <c r="I685" s="2">
        <v>-348</v>
      </c>
    </row>
    <row r="686" spans="1:9" hidden="1" x14ac:dyDescent="0.3">
      <c r="A686" t="s">
        <v>12</v>
      </c>
      <c r="B686" s="1">
        <v>44287</v>
      </c>
      <c r="C686" s="2">
        <v>37668</v>
      </c>
      <c r="D686" s="2" t="s">
        <v>3</v>
      </c>
      <c r="E686" s="2">
        <v>35867</v>
      </c>
      <c r="F686" s="2" t="s">
        <v>3</v>
      </c>
      <c r="G686" s="2" t="s">
        <v>3</v>
      </c>
      <c r="H686" s="2">
        <v>1801</v>
      </c>
      <c r="I686" s="2">
        <v>-127</v>
      </c>
    </row>
    <row r="687" spans="1:9" hidden="1" x14ac:dyDescent="0.3">
      <c r="A687" t="s">
        <v>12</v>
      </c>
      <c r="B687" s="1">
        <v>44256</v>
      </c>
      <c r="C687" s="2">
        <v>36536</v>
      </c>
      <c r="D687" s="2" t="s">
        <v>3</v>
      </c>
      <c r="E687" s="2">
        <v>34608</v>
      </c>
      <c r="F687" s="2" t="s">
        <v>3</v>
      </c>
      <c r="G687" s="2" t="s">
        <v>3</v>
      </c>
      <c r="H687" s="2">
        <v>1928</v>
      </c>
      <c r="I687" s="2">
        <v>-265</v>
      </c>
    </row>
    <row r="688" spans="1:9" hidden="1" x14ac:dyDescent="0.3">
      <c r="A688" t="s">
        <v>12</v>
      </c>
      <c r="B688" s="1">
        <v>44228</v>
      </c>
      <c r="C688" s="2">
        <v>36806</v>
      </c>
      <c r="D688" s="2" t="s">
        <v>3</v>
      </c>
      <c r="E688" s="2">
        <v>34613</v>
      </c>
      <c r="F688" s="2" t="s">
        <v>3</v>
      </c>
      <c r="G688" s="2" t="s">
        <v>3</v>
      </c>
      <c r="H688" s="2">
        <v>2193</v>
      </c>
      <c r="I688" s="2">
        <v>-42</v>
      </c>
    </row>
    <row r="689" spans="1:9" hidden="1" x14ac:dyDescent="0.3">
      <c r="A689" t="s">
        <v>12</v>
      </c>
      <c r="B689" s="1">
        <v>44197</v>
      </c>
      <c r="C689" s="2">
        <v>38326</v>
      </c>
      <c r="D689" s="2" t="s">
        <v>3</v>
      </c>
      <c r="E689" s="2">
        <v>36091</v>
      </c>
      <c r="F689" s="2" t="s">
        <v>3</v>
      </c>
      <c r="G689" s="2" t="s">
        <v>3</v>
      </c>
      <c r="H689" s="2">
        <v>2235</v>
      </c>
      <c r="I689" s="2">
        <v>-60</v>
      </c>
    </row>
    <row r="690" spans="1:9" hidden="1" x14ac:dyDescent="0.3">
      <c r="A690" t="s">
        <v>12</v>
      </c>
      <c r="B690" s="1">
        <v>44166</v>
      </c>
      <c r="C690" s="2">
        <v>39099</v>
      </c>
      <c r="D690" s="2" t="s">
        <v>3</v>
      </c>
      <c r="E690" s="2">
        <v>36803</v>
      </c>
      <c r="F690" s="2" t="s">
        <v>3</v>
      </c>
      <c r="G690" s="2" t="s">
        <v>3</v>
      </c>
      <c r="H690" s="2">
        <v>2296</v>
      </c>
      <c r="I690" s="2">
        <v>128</v>
      </c>
    </row>
    <row r="691" spans="1:9" hidden="1" x14ac:dyDescent="0.3">
      <c r="A691" t="s">
        <v>12</v>
      </c>
      <c r="B691" s="1">
        <v>44136</v>
      </c>
      <c r="C691" s="2">
        <v>41350</v>
      </c>
      <c r="D691" s="2" t="s">
        <v>3</v>
      </c>
      <c r="E691" s="2">
        <v>39182</v>
      </c>
      <c r="F691" s="2" t="s">
        <v>3</v>
      </c>
      <c r="G691" s="2" t="s">
        <v>3</v>
      </c>
      <c r="H691" s="2">
        <v>2168</v>
      </c>
      <c r="I691" s="2">
        <v>-186</v>
      </c>
    </row>
    <row r="692" spans="1:9" hidden="1" x14ac:dyDescent="0.3">
      <c r="A692" t="s">
        <v>12</v>
      </c>
      <c r="B692" s="1">
        <v>44105</v>
      </c>
      <c r="C692" s="2">
        <v>44173</v>
      </c>
      <c r="D692" s="2" t="s">
        <v>3</v>
      </c>
      <c r="E692" s="2">
        <v>41820</v>
      </c>
      <c r="F692" s="2" t="s">
        <v>3</v>
      </c>
      <c r="G692" s="2" t="s">
        <v>3</v>
      </c>
      <c r="H692" s="2">
        <v>2353</v>
      </c>
      <c r="I692" s="2">
        <v>54</v>
      </c>
    </row>
    <row r="693" spans="1:9" hidden="1" x14ac:dyDescent="0.3">
      <c r="A693" t="s">
        <v>12</v>
      </c>
      <c r="B693" s="1">
        <v>44075</v>
      </c>
      <c r="C693" s="2">
        <v>43977</v>
      </c>
      <c r="D693" s="2" t="s">
        <v>3</v>
      </c>
      <c r="E693" s="2">
        <v>41677</v>
      </c>
      <c r="F693" s="2" t="s">
        <v>3</v>
      </c>
      <c r="G693" s="2" t="s">
        <v>3</v>
      </c>
      <c r="H693" s="2">
        <v>2300</v>
      </c>
      <c r="I693" s="2">
        <v>-10</v>
      </c>
    </row>
    <row r="694" spans="1:9" hidden="1" x14ac:dyDescent="0.3">
      <c r="A694" t="s">
        <v>12</v>
      </c>
      <c r="B694" s="1">
        <v>44044</v>
      </c>
      <c r="C694" s="2">
        <v>43465</v>
      </c>
      <c r="D694" s="2" t="s">
        <v>3</v>
      </c>
      <c r="E694" s="2">
        <v>41155</v>
      </c>
      <c r="F694" s="2" t="s">
        <v>3</v>
      </c>
      <c r="G694" s="2" t="s">
        <v>3</v>
      </c>
      <c r="H694" s="2">
        <v>2310</v>
      </c>
      <c r="I694" s="2">
        <v>-292</v>
      </c>
    </row>
    <row r="695" spans="1:9" hidden="1" x14ac:dyDescent="0.3">
      <c r="A695" t="s">
        <v>12</v>
      </c>
      <c r="B695" s="1">
        <v>44013</v>
      </c>
      <c r="C695" s="2">
        <v>42640</v>
      </c>
      <c r="D695" s="2" t="s">
        <v>3</v>
      </c>
      <c r="E695" s="2">
        <v>40038</v>
      </c>
      <c r="F695" s="2" t="s">
        <v>3</v>
      </c>
      <c r="G695" s="2" t="s">
        <v>3</v>
      </c>
      <c r="H695" s="2">
        <v>2602</v>
      </c>
      <c r="I695" s="2">
        <v>-402</v>
      </c>
    </row>
    <row r="696" spans="1:9" hidden="1" x14ac:dyDescent="0.3">
      <c r="A696" t="s">
        <v>12</v>
      </c>
      <c r="B696" s="1">
        <v>43983</v>
      </c>
      <c r="C696" s="2">
        <v>42438</v>
      </c>
      <c r="D696" s="2" t="s">
        <v>3</v>
      </c>
      <c r="E696" s="2">
        <v>39434</v>
      </c>
      <c r="F696" s="2" t="s">
        <v>3</v>
      </c>
      <c r="G696" s="2" t="s">
        <v>3</v>
      </c>
      <c r="H696" s="2">
        <v>3004</v>
      </c>
      <c r="I696" s="2">
        <v>169</v>
      </c>
    </row>
    <row r="697" spans="1:9" hidden="1" x14ac:dyDescent="0.3">
      <c r="A697" t="s">
        <v>12</v>
      </c>
      <c r="B697" s="1">
        <v>43952</v>
      </c>
      <c r="C697" s="2">
        <v>41363</v>
      </c>
      <c r="D697" s="2" t="s">
        <v>3</v>
      </c>
      <c r="E697" s="2">
        <v>38529</v>
      </c>
      <c r="F697" s="2" t="s">
        <v>3</v>
      </c>
      <c r="G697" s="2" t="s">
        <v>3</v>
      </c>
      <c r="H697" s="2">
        <v>2835</v>
      </c>
      <c r="I697" s="2">
        <v>606</v>
      </c>
    </row>
    <row r="698" spans="1:9" hidden="1" x14ac:dyDescent="0.3">
      <c r="A698" t="s">
        <v>12</v>
      </c>
      <c r="B698" s="1">
        <v>43922</v>
      </c>
      <c r="C698" s="2">
        <v>41463</v>
      </c>
      <c r="D698" s="2" t="s">
        <v>3</v>
      </c>
      <c r="E698" s="2">
        <v>39234</v>
      </c>
      <c r="F698" s="2" t="s">
        <v>3</v>
      </c>
      <c r="G698" s="2" t="s">
        <v>3</v>
      </c>
      <c r="H698" s="2">
        <v>2229</v>
      </c>
      <c r="I698" s="2">
        <v>167</v>
      </c>
    </row>
    <row r="699" spans="1:9" hidden="1" x14ac:dyDescent="0.3">
      <c r="A699" t="s">
        <v>12</v>
      </c>
      <c r="B699" s="1">
        <v>43891</v>
      </c>
      <c r="C699" s="2">
        <v>44841</v>
      </c>
      <c r="D699" s="2" t="s">
        <v>3</v>
      </c>
      <c r="E699" s="2">
        <v>42779</v>
      </c>
      <c r="F699" s="2" t="s">
        <v>3</v>
      </c>
      <c r="G699" s="2" t="s">
        <v>3</v>
      </c>
      <c r="H699" s="2">
        <v>2062</v>
      </c>
      <c r="I699" s="2">
        <v>-943</v>
      </c>
    </row>
    <row r="700" spans="1:9" hidden="1" x14ac:dyDescent="0.3">
      <c r="A700" t="s">
        <v>12</v>
      </c>
      <c r="B700" s="1">
        <v>43862</v>
      </c>
      <c r="C700" s="2">
        <v>46823</v>
      </c>
      <c r="D700" s="2" t="s">
        <v>3</v>
      </c>
      <c r="E700" s="2">
        <v>43819</v>
      </c>
      <c r="F700" s="2" t="s">
        <v>3</v>
      </c>
      <c r="G700" s="2" t="s">
        <v>3</v>
      </c>
      <c r="H700" s="2">
        <v>3004</v>
      </c>
      <c r="I700" s="2">
        <v>-764</v>
      </c>
    </row>
    <row r="701" spans="1:9" hidden="1" x14ac:dyDescent="0.3">
      <c r="A701" t="s">
        <v>12</v>
      </c>
      <c r="B701" s="1">
        <v>43831</v>
      </c>
      <c r="C701" s="2">
        <v>44635</v>
      </c>
      <c r="D701" s="2" t="s">
        <v>3</v>
      </c>
      <c r="E701" s="2">
        <v>40866</v>
      </c>
      <c r="F701" s="2" t="s">
        <v>3</v>
      </c>
      <c r="G701" s="2" t="s">
        <v>3</v>
      </c>
      <c r="H701" s="2">
        <v>3769</v>
      </c>
      <c r="I701" s="2">
        <v>-1323</v>
      </c>
    </row>
    <row r="702" spans="1:9" x14ac:dyDescent="0.3">
      <c r="A702" t="s">
        <v>13</v>
      </c>
      <c r="B702" s="1">
        <v>45931</v>
      </c>
      <c r="C702" s="2">
        <v>418953</v>
      </c>
      <c r="D702" s="2">
        <v>-4149</v>
      </c>
      <c r="E702" s="2">
        <v>323823</v>
      </c>
      <c r="F702" s="2">
        <v>828</v>
      </c>
      <c r="G702" s="2">
        <v>949</v>
      </c>
      <c r="H702" s="2">
        <v>95130</v>
      </c>
      <c r="I702" s="2">
        <v>-4977</v>
      </c>
    </row>
    <row r="703" spans="1:9" x14ac:dyDescent="0.3">
      <c r="A703" t="s">
        <v>13</v>
      </c>
      <c r="B703" s="1">
        <v>45901</v>
      </c>
      <c r="C703" s="2">
        <v>421048</v>
      </c>
      <c r="D703" s="2">
        <v>10821</v>
      </c>
      <c r="E703" s="2">
        <v>320941</v>
      </c>
      <c r="F703" s="2">
        <v>10666</v>
      </c>
      <c r="G703" s="2">
        <v>1240</v>
      </c>
      <c r="H703" s="2">
        <v>100107</v>
      </c>
      <c r="I703" s="2">
        <v>155</v>
      </c>
    </row>
    <row r="704" spans="1:9" x14ac:dyDescent="0.3">
      <c r="A704" t="s">
        <v>13</v>
      </c>
      <c r="B704" s="1">
        <v>45870</v>
      </c>
      <c r="C704" s="2">
        <v>410986</v>
      </c>
      <c r="D704" s="2">
        <v>19800</v>
      </c>
      <c r="E704" s="2">
        <v>311034</v>
      </c>
      <c r="F704" s="2">
        <v>14500</v>
      </c>
      <c r="G704" s="2">
        <v>633</v>
      </c>
      <c r="H704" s="2">
        <v>99952</v>
      </c>
      <c r="I704" s="2">
        <v>5300</v>
      </c>
    </row>
    <row r="705" spans="1:9" x14ac:dyDescent="0.3">
      <c r="A705" t="s">
        <v>13</v>
      </c>
      <c r="B705" s="1">
        <v>45839</v>
      </c>
      <c r="C705" s="2">
        <v>405006</v>
      </c>
      <c r="D705" s="2">
        <v>1715</v>
      </c>
      <c r="E705" s="2">
        <v>310355</v>
      </c>
      <c r="F705" s="2">
        <v>884</v>
      </c>
      <c r="G705" s="2">
        <v>-936</v>
      </c>
      <c r="H705" s="2">
        <v>94652</v>
      </c>
      <c r="I705" s="2">
        <v>831</v>
      </c>
    </row>
    <row r="706" spans="1:9" x14ac:dyDescent="0.3">
      <c r="A706" t="s">
        <v>13</v>
      </c>
      <c r="B706" s="1">
        <v>45809</v>
      </c>
      <c r="C706" s="2">
        <v>404581</v>
      </c>
      <c r="D706" s="2">
        <v>-9584</v>
      </c>
      <c r="E706" s="2">
        <v>310760</v>
      </c>
      <c r="F706" s="2">
        <v>-3357</v>
      </c>
      <c r="G706" s="2">
        <v>2276</v>
      </c>
      <c r="H706" s="2">
        <v>93821</v>
      </c>
      <c r="I706" s="2">
        <v>-6227</v>
      </c>
    </row>
    <row r="707" spans="1:9" x14ac:dyDescent="0.3">
      <c r="A707" t="s">
        <v>13</v>
      </c>
      <c r="B707" s="1">
        <v>45778</v>
      </c>
      <c r="C707" s="2">
        <v>412617</v>
      </c>
      <c r="D707" s="2">
        <v>5138</v>
      </c>
      <c r="E707" s="2">
        <v>312569</v>
      </c>
      <c r="F707" s="2">
        <v>3695</v>
      </c>
      <c r="G707" s="2">
        <v>-1157</v>
      </c>
      <c r="H707" s="2">
        <v>100048</v>
      </c>
      <c r="I707" s="2">
        <v>1443</v>
      </c>
    </row>
    <row r="708" spans="1:9" x14ac:dyDescent="0.3">
      <c r="A708" t="s">
        <v>13</v>
      </c>
      <c r="B708" s="1">
        <v>45748</v>
      </c>
      <c r="C708" s="2">
        <v>410889</v>
      </c>
      <c r="D708" s="2">
        <v>-4379</v>
      </c>
      <c r="E708" s="2">
        <v>312285</v>
      </c>
      <c r="F708" s="2">
        <v>-7442</v>
      </c>
      <c r="G708" s="2">
        <v>874</v>
      </c>
      <c r="H708" s="2">
        <v>98604</v>
      </c>
      <c r="I708" s="2">
        <v>3063</v>
      </c>
    </row>
    <row r="709" spans="1:9" x14ac:dyDescent="0.3">
      <c r="A709" t="s">
        <v>13</v>
      </c>
      <c r="B709" s="1">
        <v>45717</v>
      </c>
      <c r="C709" s="2">
        <v>412415</v>
      </c>
      <c r="D709" s="2">
        <v>-2401</v>
      </c>
      <c r="E709" s="2">
        <v>316873</v>
      </c>
      <c r="F709" s="2">
        <v>-3795</v>
      </c>
      <c r="G709" s="2">
        <v>676</v>
      </c>
      <c r="H709" s="2">
        <v>95542</v>
      </c>
      <c r="I709" s="2">
        <v>1394</v>
      </c>
    </row>
    <row r="710" spans="1:9" x14ac:dyDescent="0.3">
      <c r="A710" t="s">
        <v>13</v>
      </c>
      <c r="B710" s="1">
        <v>45689</v>
      </c>
      <c r="C710" s="2">
        <v>412403</v>
      </c>
      <c r="D710" s="2">
        <v>-1176</v>
      </c>
      <c r="E710" s="2">
        <v>318255</v>
      </c>
      <c r="F710" s="2">
        <v>4202</v>
      </c>
      <c r="G710" s="2">
        <v>2816</v>
      </c>
      <c r="H710" s="2">
        <v>94148</v>
      </c>
      <c r="I710" s="2">
        <v>-5378</v>
      </c>
    </row>
    <row r="711" spans="1:9" x14ac:dyDescent="0.3">
      <c r="A711" t="s">
        <v>13</v>
      </c>
      <c r="B711" s="1">
        <v>45658</v>
      </c>
      <c r="C711" s="2">
        <v>409899</v>
      </c>
      <c r="D711" s="2">
        <v>-13824</v>
      </c>
      <c r="E711" s="2">
        <v>310373</v>
      </c>
      <c r="F711" s="2">
        <v>-2234</v>
      </c>
      <c r="G711" s="2">
        <v>662</v>
      </c>
      <c r="H711" s="2">
        <v>99526</v>
      </c>
      <c r="I711" s="2">
        <v>-11590</v>
      </c>
    </row>
    <row r="712" spans="1:9" x14ac:dyDescent="0.3">
      <c r="A712" t="s">
        <v>13</v>
      </c>
      <c r="B712" s="1">
        <v>45627</v>
      </c>
      <c r="C712" s="2">
        <v>423890</v>
      </c>
      <c r="D712" s="2">
        <v>4780</v>
      </c>
      <c r="E712" s="2">
        <v>312774</v>
      </c>
      <c r="F712" s="2">
        <v>-56</v>
      </c>
      <c r="G712" s="2">
        <v>-348</v>
      </c>
      <c r="H712" s="2">
        <v>111116</v>
      </c>
      <c r="I712" s="2">
        <v>4836</v>
      </c>
    </row>
    <row r="713" spans="1:9" x14ac:dyDescent="0.3">
      <c r="A713" t="s">
        <v>13</v>
      </c>
      <c r="B713" s="1">
        <v>45597</v>
      </c>
      <c r="C713" s="2">
        <v>417799</v>
      </c>
      <c r="D713" s="2">
        <v>2383</v>
      </c>
      <c r="E713" s="2">
        <v>311519</v>
      </c>
      <c r="F713" s="2">
        <v>-4018</v>
      </c>
      <c r="G713" s="2">
        <v>2779</v>
      </c>
      <c r="H713" s="2">
        <v>106280</v>
      </c>
      <c r="I713" s="2">
        <v>6401</v>
      </c>
    </row>
    <row r="714" spans="1:9" x14ac:dyDescent="0.3">
      <c r="A714" t="s">
        <v>13</v>
      </c>
      <c r="B714" s="1">
        <v>45566</v>
      </c>
      <c r="C714" s="2">
        <v>413519</v>
      </c>
      <c r="D714" s="2">
        <v>6233</v>
      </c>
      <c r="E714" s="2">
        <v>313641</v>
      </c>
      <c r="F714" s="2">
        <v>5104</v>
      </c>
      <c r="G714" s="2">
        <v>1830</v>
      </c>
      <c r="H714" s="2">
        <v>99878</v>
      </c>
      <c r="I714" s="2">
        <v>1129</v>
      </c>
    </row>
    <row r="715" spans="1:9" x14ac:dyDescent="0.3">
      <c r="A715" t="s">
        <v>13</v>
      </c>
      <c r="B715" s="1">
        <v>45536</v>
      </c>
      <c r="C715" s="2">
        <v>407141</v>
      </c>
      <c r="D715" s="2">
        <v>58</v>
      </c>
      <c r="E715" s="2">
        <v>308392</v>
      </c>
      <c r="F715" s="2">
        <v>1136</v>
      </c>
      <c r="G715" s="2">
        <v>13709</v>
      </c>
      <c r="H715" s="2">
        <v>98749</v>
      </c>
      <c r="I715" s="2">
        <v>-1078</v>
      </c>
    </row>
    <row r="716" spans="1:9" x14ac:dyDescent="0.3">
      <c r="A716" t="s">
        <v>13</v>
      </c>
      <c r="B716" s="1">
        <v>45505</v>
      </c>
      <c r="C716" s="2">
        <v>395730</v>
      </c>
      <c r="D716" s="2">
        <v>-191</v>
      </c>
      <c r="E716" s="2">
        <v>295903</v>
      </c>
      <c r="F716" s="2">
        <v>1900</v>
      </c>
      <c r="G716" s="2">
        <v>6553</v>
      </c>
      <c r="H716" s="2">
        <v>99827</v>
      </c>
      <c r="I716" s="2">
        <v>-2091</v>
      </c>
    </row>
    <row r="717" spans="1:9" x14ac:dyDescent="0.3">
      <c r="A717" t="s">
        <v>13</v>
      </c>
      <c r="B717" s="1">
        <v>45474</v>
      </c>
      <c r="C717" s="2">
        <v>389324</v>
      </c>
      <c r="D717" s="2">
        <v>1953</v>
      </c>
      <c r="E717" s="2">
        <v>287406</v>
      </c>
      <c r="F717" s="2">
        <v>-2936</v>
      </c>
      <c r="G717" s="2">
        <v>13398</v>
      </c>
      <c r="H717" s="2">
        <v>101918</v>
      </c>
      <c r="I717" s="2">
        <v>4890</v>
      </c>
    </row>
    <row r="718" spans="1:9" x14ac:dyDescent="0.3">
      <c r="A718" t="s">
        <v>13</v>
      </c>
      <c r="B718" s="1">
        <v>45444</v>
      </c>
      <c r="C718" s="2">
        <v>374176</v>
      </c>
      <c r="D718" s="2">
        <v>1117</v>
      </c>
      <c r="E718" s="2">
        <v>277147</v>
      </c>
      <c r="F718" s="2">
        <v>2190</v>
      </c>
      <c r="G718" s="2">
        <v>5934</v>
      </c>
      <c r="H718" s="2">
        <v>97028</v>
      </c>
      <c r="I718" s="2">
        <v>-1072</v>
      </c>
    </row>
    <row r="719" spans="1:9" x14ac:dyDescent="0.3">
      <c r="A719" t="s">
        <v>13</v>
      </c>
      <c r="B719" s="1">
        <v>45413</v>
      </c>
      <c r="C719" s="2">
        <v>367276</v>
      </c>
      <c r="D719" s="2">
        <v>2333</v>
      </c>
      <c r="E719" s="2">
        <v>269175</v>
      </c>
      <c r="F719" s="2">
        <v>2754</v>
      </c>
      <c r="G719" s="2">
        <v>4608</v>
      </c>
      <c r="H719" s="2">
        <v>98101</v>
      </c>
      <c r="I719" s="2">
        <v>-421</v>
      </c>
    </row>
    <row r="720" spans="1:9" x14ac:dyDescent="0.3">
      <c r="A720" t="s">
        <v>13</v>
      </c>
      <c r="B720" s="1">
        <v>45383</v>
      </c>
      <c r="C720" s="2">
        <v>359222</v>
      </c>
      <c r="D720" s="2">
        <v>-5693</v>
      </c>
      <c r="E720" s="2">
        <v>260700</v>
      </c>
      <c r="F720" s="2">
        <v>2489</v>
      </c>
      <c r="G720" s="2">
        <v>-1923</v>
      </c>
      <c r="H720" s="2">
        <v>98522</v>
      </c>
      <c r="I720" s="2">
        <v>-8182</v>
      </c>
    </row>
    <row r="721" spans="1:9" x14ac:dyDescent="0.3">
      <c r="A721" t="s">
        <v>13</v>
      </c>
      <c r="B721" s="1">
        <v>45352</v>
      </c>
      <c r="C721" s="2">
        <v>366215</v>
      </c>
      <c r="D721" s="2">
        <v>7166</v>
      </c>
      <c r="E721" s="2">
        <v>259511</v>
      </c>
      <c r="F721" s="2">
        <v>3541</v>
      </c>
      <c r="G721" s="2">
        <v>4091</v>
      </c>
      <c r="H721" s="2">
        <v>106704</v>
      </c>
      <c r="I721" s="2">
        <v>3625</v>
      </c>
    </row>
    <row r="722" spans="1:9" x14ac:dyDescent="0.3">
      <c r="A722" t="s">
        <v>13</v>
      </c>
      <c r="B722" s="1">
        <v>45323</v>
      </c>
      <c r="C722" s="2">
        <v>355773</v>
      </c>
      <c r="D722" s="2">
        <v>6772</v>
      </c>
      <c r="E722" s="2">
        <v>252694</v>
      </c>
      <c r="F722" s="2">
        <v>6475</v>
      </c>
      <c r="G722" s="2">
        <v>1754</v>
      </c>
      <c r="H722" s="2">
        <v>103079</v>
      </c>
      <c r="I722" s="2">
        <v>297</v>
      </c>
    </row>
    <row r="723" spans="1:9" x14ac:dyDescent="0.3">
      <c r="A723" t="s">
        <v>13</v>
      </c>
      <c r="B723" s="1">
        <v>45292</v>
      </c>
      <c r="C723" s="2">
        <v>348041</v>
      </c>
      <c r="D723" s="2">
        <v>8962</v>
      </c>
      <c r="E723" s="2">
        <v>245259</v>
      </c>
      <c r="F723" s="2">
        <v>9652</v>
      </c>
      <c r="G723" s="2">
        <v>1269</v>
      </c>
      <c r="H723" s="2">
        <v>102782</v>
      </c>
      <c r="I723" s="2">
        <v>-690</v>
      </c>
    </row>
    <row r="724" spans="1:9" x14ac:dyDescent="0.3">
      <c r="A724" t="s">
        <v>13</v>
      </c>
      <c r="B724" s="1">
        <v>45261</v>
      </c>
      <c r="C724" s="2">
        <v>339922</v>
      </c>
      <c r="D724" s="2">
        <v>943</v>
      </c>
      <c r="E724" s="2">
        <v>236450</v>
      </c>
      <c r="F724" s="2">
        <v>2343</v>
      </c>
      <c r="G724" s="2">
        <v>1031</v>
      </c>
      <c r="H724" s="2">
        <v>103472</v>
      </c>
      <c r="I724" s="2">
        <v>-1400</v>
      </c>
    </row>
    <row r="725" spans="1:9" x14ac:dyDescent="0.3">
      <c r="A725" t="s">
        <v>13</v>
      </c>
      <c r="B725" s="1">
        <v>45231</v>
      </c>
      <c r="C725" s="2">
        <v>371248</v>
      </c>
      <c r="D725" s="2">
        <v>22954</v>
      </c>
      <c r="E725" s="2">
        <v>266376</v>
      </c>
      <c r="F725" s="2">
        <v>7806</v>
      </c>
      <c r="G725" s="2">
        <v>2678</v>
      </c>
      <c r="H725" s="2">
        <v>104872</v>
      </c>
      <c r="I725" s="2">
        <v>15148</v>
      </c>
    </row>
    <row r="726" spans="1:9" x14ac:dyDescent="0.3">
      <c r="A726" t="s">
        <v>13</v>
      </c>
      <c r="B726" s="1">
        <v>45200</v>
      </c>
      <c r="C726" s="2">
        <v>345366</v>
      </c>
      <c r="D726" s="2">
        <v>-24740</v>
      </c>
      <c r="E726" s="2">
        <v>255643</v>
      </c>
      <c r="F726" s="2">
        <v>-16921</v>
      </c>
      <c r="G726" s="2">
        <v>-1851</v>
      </c>
      <c r="H726" s="2">
        <v>89724</v>
      </c>
      <c r="I726" s="2">
        <v>-7819</v>
      </c>
    </row>
    <row r="727" spans="1:9" x14ac:dyDescent="0.3">
      <c r="A727" t="s">
        <v>13</v>
      </c>
      <c r="B727" s="1">
        <v>45170</v>
      </c>
      <c r="C727" s="2">
        <v>373649</v>
      </c>
      <c r="D727" s="2">
        <v>13766</v>
      </c>
      <c r="E727" s="2">
        <v>276107</v>
      </c>
      <c r="F727" s="2">
        <v>7842</v>
      </c>
      <c r="G727" s="2">
        <v>-3211</v>
      </c>
      <c r="H727" s="2">
        <v>97543</v>
      </c>
      <c r="I727" s="2">
        <v>5924</v>
      </c>
    </row>
    <row r="728" spans="1:9" x14ac:dyDescent="0.3">
      <c r="A728" t="s">
        <v>13</v>
      </c>
      <c r="B728" s="1">
        <v>45139</v>
      </c>
      <c r="C728" s="2">
        <v>365785</v>
      </c>
      <c r="D728" s="2">
        <v>18525</v>
      </c>
      <c r="E728" s="2">
        <v>274166</v>
      </c>
      <c r="F728" s="2">
        <v>7535</v>
      </c>
      <c r="G728" s="2">
        <v>-2343</v>
      </c>
      <c r="H728" s="2">
        <v>91619</v>
      </c>
      <c r="I728" s="2">
        <v>10990</v>
      </c>
    </row>
    <row r="729" spans="1:9" x14ac:dyDescent="0.3">
      <c r="A729" t="s">
        <v>13</v>
      </c>
      <c r="B729" s="1">
        <v>45108</v>
      </c>
      <c r="C729" s="2">
        <v>352001</v>
      </c>
      <c r="D729" s="2">
        <v>18846</v>
      </c>
      <c r="E729" s="2">
        <v>271372</v>
      </c>
      <c r="F729" s="2">
        <v>12453</v>
      </c>
      <c r="G729" s="2">
        <v>-77</v>
      </c>
      <c r="H729" s="2">
        <v>80630</v>
      </c>
      <c r="I729" s="2">
        <v>6393</v>
      </c>
    </row>
    <row r="730" spans="1:9" x14ac:dyDescent="0.3">
      <c r="A730" t="s">
        <v>13</v>
      </c>
      <c r="B730" s="1">
        <v>45078</v>
      </c>
      <c r="C730" s="2">
        <v>330655</v>
      </c>
      <c r="D730" s="2">
        <v>-766</v>
      </c>
      <c r="E730" s="2">
        <v>256418</v>
      </c>
      <c r="F730" s="2">
        <v>-6021</v>
      </c>
      <c r="G730" s="2">
        <v>-964</v>
      </c>
      <c r="H730" s="2">
        <v>74237</v>
      </c>
      <c r="I730" s="2">
        <v>5254</v>
      </c>
    </row>
    <row r="731" spans="1:9" x14ac:dyDescent="0.3">
      <c r="A731" t="s">
        <v>13</v>
      </c>
      <c r="B731" s="1">
        <v>45047</v>
      </c>
      <c r="C731" s="2">
        <v>331453</v>
      </c>
      <c r="D731" s="2">
        <v>3746</v>
      </c>
      <c r="E731" s="2">
        <v>262470</v>
      </c>
      <c r="F731" s="2">
        <v>1743</v>
      </c>
      <c r="G731" s="2">
        <v>-1602</v>
      </c>
      <c r="H731" s="2">
        <v>68982</v>
      </c>
      <c r="I731" s="2">
        <v>2002</v>
      </c>
    </row>
    <row r="732" spans="1:9" x14ac:dyDescent="0.3">
      <c r="A732" t="s">
        <v>13</v>
      </c>
      <c r="B732" s="1">
        <v>45017</v>
      </c>
      <c r="C732" s="2">
        <v>332252</v>
      </c>
      <c r="D732" s="2">
        <v>4042</v>
      </c>
      <c r="E732" s="2">
        <v>265272</v>
      </c>
      <c r="F732" s="2">
        <v>3675</v>
      </c>
      <c r="G732" s="2">
        <v>89</v>
      </c>
      <c r="H732" s="2">
        <v>66980</v>
      </c>
      <c r="I732" s="2">
        <v>367</v>
      </c>
    </row>
    <row r="733" spans="1:9" x14ac:dyDescent="0.3">
      <c r="A733" t="s">
        <v>13</v>
      </c>
      <c r="B733" s="1">
        <v>44986</v>
      </c>
      <c r="C733" s="2">
        <v>328547</v>
      </c>
      <c r="D733" s="2">
        <v>-5752</v>
      </c>
      <c r="E733" s="2">
        <v>261934</v>
      </c>
      <c r="F733" s="2">
        <v>-5766</v>
      </c>
      <c r="G733" s="2">
        <v>4887</v>
      </c>
      <c r="H733" s="2">
        <v>66613</v>
      </c>
      <c r="I733" s="2">
        <v>14</v>
      </c>
    </row>
    <row r="734" spans="1:9" x14ac:dyDescent="0.3">
      <c r="A734" t="s">
        <v>13</v>
      </c>
      <c r="B734" s="1">
        <v>44958</v>
      </c>
      <c r="C734" s="2">
        <v>327166</v>
      </c>
      <c r="D734" s="2">
        <v>13439</v>
      </c>
      <c r="E734" s="2">
        <v>260567</v>
      </c>
      <c r="F734" s="2">
        <v>10340</v>
      </c>
      <c r="G734" s="2">
        <v>-3625</v>
      </c>
      <c r="H734" s="2">
        <v>66599</v>
      </c>
      <c r="I734" s="2">
        <v>3099</v>
      </c>
    </row>
    <row r="735" spans="1:9" hidden="1" x14ac:dyDescent="0.3">
      <c r="A735" t="s">
        <v>13</v>
      </c>
      <c r="B735" s="1">
        <v>44927</v>
      </c>
      <c r="C735" s="2">
        <v>318148</v>
      </c>
      <c r="D735" s="2" t="s">
        <v>3</v>
      </c>
      <c r="E735" s="2">
        <v>254648</v>
      </c>
      <c r="F735" s="2" t="s">
        <v>3</v>
      </c>
      <c r="G735" s="2" t="s">
        <v>3</v>
      </c>
      <c r="H735" s="2">
        <v>63500</v>
      </c>
      <c r="I735" s="2">
        <v>-5314</v>
      </c>
    </row>
    <row r="736" spans="1:9" hidden="1" x14ac:dyDescent="0.3">
      <c r="A736" t="s">
        <v>13</v>
      </c>
      <c r="B736" s="1">
        <v>44896</v>
      </c>
      <c r="C736" s="2">
        <v>329314</v>
      </c>
      <c r="D736" s="2" t="s">
        <v>3</v>
      </c>
      <c r="E736" s="2">
        <v>260500</v>
      </c>
      <c r="F736" s="2" t="s">
        <v>3</v>
      </c>
      <c r="G736" s="2" t="s">
        <v>3</v>
      </c>
      <c r="H736" s="2">
        <v>68814</v>
      </c>
      <c r="I736" s="2">
        <v>2770</v>
      </c>
    </row>
    <row r="737" spans="1:9" hidden="1" x14ac:dyDescent="0.3">
      <c r="A737" t="s">
        <v>13</v>
      </c>
      <c r="B737" s="1">
        <v>44866</v>
      </c>
      <c r="C737" s="2">
        <v>311263</v>
      </c>
      <c r="D737" s="2" t="s">
        <v>3</v>
      </c>
      <c r="E737" s="2">
        <v>245219</v>
      </c>
      <c r="F737" s="2" t="s">
        <v>3</v>
      </c>
      <c r="G737" s="2" t="s">
        <v>3</v>
      </c>
      <c r="H737" s="2">
        <v>66044</v>
      </c>
      <c r="I737" s="2">
        <v>3068</v>
      </c>
    </row>
    <row r="738" spans="1:9" hidden="1" x14ac:dyDescent="0.3">
      <c r="A738" t="s">
        <v>13</v>
      </c>
      <c r="B738" s="1">
        <v>44835</v>
      </c>
      <c r="C738" s="2">
        <v>298408</v>
      </c>
      <c r="D738" s="2" t="s">
        <v>3</v>
      </c>
      <c r="E738" s="2">
        <v>235432</v>
      </c>
      <c r="F738" s="2" t="s">
        <v>3</v>
      </c>
      <c r="G738" s="2" t="s">
        <v>3</v>
      </c>
      <c r="H738" s="2">
        <v>62977</v>
      </c>
      <c r="I738" s="2">
        <v>-3020</v>
      </c>
    </row>
    <row r="739" spans="1:9" hidden="1" x14ac:dyDescent="0.3">
      <c r="A739" t="s">
        <v>13</v>
      </c>
      <c r="B739" s="1">
        <v>44805</v>
      </c>
      <c r="C739" s="2">
        <v>299852</v>
      </c>
      <c r="D739" s="2" t="s">
        <v>3</v>
      </c>
      <c r="E739" s="2">
        <v>233856</v>
      </c>
      <c r="F739" s="2" t="s">
        <v>3</v>
      </c>
      <c r="G739" s="2" t="s">
        <v>3</v>
      </c>
      <c r="H739" s="2">
        <v>65997</v>
      </c>
      <c r="I739" s="2">
        <v>-7409</v>
      </c>
    </row>
    <row r="740" spans="1:9" hidden="1" x14ac:dyDescent="0.3">
      <c r="A740" t="s">
        <v>13</v>
      </c>
      <c r="B740" s="1">
        <v>44774</v>
      </c>
      <c r="C740" s="2">
        <v>308358</v>
      </c>
      <c r="D740" s="2" t="s">
        <v>3</v>
      </c>
      <c r="E740" s="2">
        <v>234952</v>
      </c>
      <c r="F740" s="2" t="s">
        <v>3</v>
      </c>
      <c r="G740" s="2" t="s">
        <v>3</v>
      </c>
      <c r="H740" s="2">
        <v>73406</v>
      </c>
      <c r="I740" s="2">
        <v>3652</v>
      </c>
    </row>
    <row r="741" spans="1:9" hidden="1" x14ac:dyDescent="0.3">
      <c r="A741" t="s">
        <v>13</v>
      </c>
      <c r="B741" s="1">
        <v>44743</v>
      </c>
      <c r="C741" s="2">
        <v>306547</v>
      </c>
      <c r="D741" s="2" t="s">
        <v>3</v>
      </c>
      <c r="E741" s="2">
        <v>236793</v>
      </c>
      <c r="F741" s="2" t="s">
        <v>3</v>
      </c>
      <c r="G741" s="2" t="s">
        <v>3</v>
      </c>
      <c r="H741" s="2">
        <v>69754</v>
      </c>
      <c r="I741" s="2">
        <v>-4756</v>
      </c>
    </row>
    <row r="742" spans="1:9" hidden="1" x14ac:dyDescent="0.3">
      <c r="A742" t="s">
        <v>13</v>
      </c>
      <c r="B742" s="1">
        <v>44713</v>
      </c>
      <c r="C742" s="2">
        <v>309266</v>
      </c>
      <c r="D742" s="2" t="s">
        <v>3</v>
      </c>
      <c r="E742" s="2">
        <v>234755</v>
      </c>
      <c r="F742" s="2" t="s">
        <v>3</v>
      </c>
      <c r="G742" s="2" t="s">
        <v>3</v>
      </c>
      <c r="H742" s="2">
        <v>74510</v>
      </c>
      <c r="I742" s="2">
        <v>-5134</v>
      </c>
    </row>
    <row r="743" spans="1:9" hidden="1" x14ac:dyDescent="0.3">
      <c r="A743" t="s">
        <v>13</v>
      </c>
      <c r="B743" s="1">
        <v>44682</v>
      </c>
      <c r="C743" s="2">
        <v>296470</v>
      </c>
      <c r="D743" s="2" t="s">
        <v>3</v>
      </c>
      <c r="E743" s="2">
        <v>216825</v>
      </c>
      <c r="F743" s="2" t="s">
        <v>3</v>
      </c>
      <c r="G743" s="2" t="s">
        <v>3</v>
      </c>
      <c r="H743" s="2">
        <v>79645</v>
      </c>
      <c r="I743" s="2">
        <v>-4592</v>
      </c>
    </row>
    <row r="744" spans="1:9" hidden="1" x14ac:dyDescent="0.3">
      <c r="A744" t="s">
        <v>13</v>
      </c>
      <c r="B744" s="1">
        <v>44652</v>
      </c>
      <c r="C744" s="2">
        <v>296181</v>
      </c>
      <c r="D744" s="2" t="s">
        <v>3</v>
      </c>
      <c r="E744" s="2">
        <v>211945</v>
      </c>
      <c r="F744" s="2" t="s">
        <v>3</v>
      </c>
      <c r="G744" s="2" t="s">
        <v>3</v>
      </c>
      <c r="H744" s="2">
        <v>84236</v>
      </c>
      <c r="I744" s="2">
        <v>-5462</v>
      </c>
    </row>
    <row r="745" spans="1:9" hidden="1" x14ac:dyDescent="0.3">
      <c r="A745" t="s">
        <v>13</v>
      </c>
      <c r="B745" s="1">
        <v>44621</v>
      </c>
      <c r="C745" s="2">
        <v>303185</v>
      </c>
      <c r="D745" s="2" t="s">
        <v>3</v>
      </c>
      <c r="E745" s="2">
        <v>213486</v>
      </c>
      <c r="F745" s="2" t="s">
        <v>3</v>
      </c>
      <c r="G745" s="2" t="s">
        <v>3</v>
      </c>
      <c r="H745" s="2">
        <v>89699</v>
      </c>
      <c r="I745" s="2">
        <v>-16323</v>
      </c>
    </row>
    <row r="746" spans="1:9" hidden="1" x14ac:dyDescent="0.3">
      <c r="A746" t="s">
        <v>13</v>
      </c>
      <c r="B746" s="1">
        <v>44593</v>
      </c>
      <c r="C746" s="2">
        <v>316394</v>
      </c>
      <c r="D746" s="2" t="s">
        <v>3</v>
      </c>
      <c r="E746" s="2">
        <v>210372</v>
      </c>
      <c r="F746" s="2" t="s">
        <v>3</v>
      </c>
      <c r="G746" s="2" t="s">
        <v>3</v>
      </c>
      <c r="H746" s="2">
        <v>106022</v>
      </c>
      <c r="I746" s="2">
        <v>1657</v>
      </c>
    </row>
    <row r="747" spans="1:9" hidden="1" x14ac:dyDescent="0.3">
      <c r="A747" t="s">
        <v>13</v>
      </c>
      <c r="B747" s="1">
        <v>44562</v>
      </c>
      <c r="C747" s="2">
        <v>312988</v>
      </c>
      <c r="D747" s="2" t="s">
        <v>3</v>
      </c>
      <c r="E747" s="2">
        <v>208622</v>
      </c>
      <c r="F747" s="2" t="s">
        <v>3</v>
      </c>
      <c r="G747" s="2" t="s">
        <v>3</v>
      </c>
      <c r="H747" s="2">
        <v>104365</v>
      </c>
      <c r="I747" s="2">
        <v>1957</v>
      </c>
    </row>
    <row r="748" spans="1:9" hidden="1" x14ac:dyDescent="0.3">
      <c r="A748" t="s">
        <v>13</v>
      </c>
      <c r="B748" s="1">
        <v>44531</v>
      </c>
      <c r="C748" s="2">
        <v>327819</v>
      </c>
      <c r="D748" s="2" t="s">
        <v>3</v>
      </c>
      <c r="E748" s="2">
        <v>225411</v>
      </c>
      <c r="F748" s="2" t="s">
        <v>3</v>
      </c>
      <c r="G748" s="2" t="s">
        <v>3</v>
      </c>
      <c r="H748" s="2">
        <v>102408</v>
      </c>
      <c r="I748" s="2">
        <v>-11172</v>
      </c>
    </row>
    <row r="749" spans="1:9" hidden="1" x14ac:dyDescent="0.3">
      <c r="A749" t="s">
        <v>13</v>
      </c>
      <c r="B749" s="1">
        <v>44501</v>
      </c>
      <c r="C749" s="2">
        <v>333275</v>
      </c>
      <c r="D749" s="2" t="s">
        <v>3</v>
      </c>
      <c r="E749" s="2">
        <v>219695</v>
      </c>
      <c r="F749" s="2" t="s">
        <v>3</v>
      </c>
      <c r="G749" s="2" t="s">
        <v>3</v>
      </c>
      <c r="H749" s="2">
        <v>113580</v>
      </c>
      <c r="I749" s="2">
        <v>6659</v>
      </c>
    </row>
    <row r="750" spans="1:9" hidden="1" x14ac:dyDescent="0.3">
      <c r="A750" t="s">
        <v>13</v>
      </c>
      <c r="B750" s="1">
        <v>44470</v>
      </c>
      <c r="C750" s="2">
        <v>314331</v>
      </c>
      <c r="D750" s="2" t="s">
        <v>3</v>
      </c>
      <c r="E750" s="2">
        <v>207410</v>
      </c>
      <c r="F750" s="2" t="s">
        <v>3</v>
      </c>
      <c r="G750" s="2" t="s">
        <v>3</v>
      </c>
      <c r="H750" s="2">
        <v>106921</v>
      </c>
      <c r="I750" s="2">
        <v>3504</v>
      </c>
    </row>
    <row r="751" spans="1:9" hidden="1" x14ac:dyDescent="0.3">
      <c r="A751" t="s">
        <v>13</v>
      </c>
      <c r="B751" s="1">
        <v>44440</v>
      </c>
      <c r="C751" s="2">
        <v>312016</v>
      </c>
      <c r="D751" s="2" t="s">
        <v>3</v>
      </c>
      <c r="E751" s="2">
        <v>208599</v>
      </c>
      <c r="F751" s="2" t="s">
        <v>3</v>
      </c>
      <c r="G751" s="2" t="s">
        <v>3</v>
      </c>
      <c r="H751" s="2">
        <v>103417</v>
      </c>
      <c r="I751" s="2">
        <v>7658</v>
      </c>
    </row>
    <row r="752" spans="1:9" hidden="1" x14ac:dyDescent="0.3">
      <c r="A752" t="s">
        <v>13</v>
      </c>
      <c r="B752" s="1">
        <v>44409</v>
      </c>
      <c r="C752" s="2">
        <v>294170</v>
      </c>
      <c r="D752" s="2" t="s">
        <v>3</v>
      </c>
      <c r="E752" s="2">
        <v>198412</v>
      </c>
      <c r="F752" s="2" t="s">
        <v>3</v>
      </c>
      <c r="G752" s="2" t="s">
        <v>3</v>
      </c>
      <c r="H752" s="2">
        <v>95759</v>
      </c>
      <c r="I752" s="2">
        <v>1543</v>
      </c>
    </row>
    <row r="753" spans="1:9" hidden="1" x14ac:dyDescent="0.3">
      <c r="A753" t="s">
        <v>13</v>
      </c>
      <c r="B753" s="1">
        <v>44378</v>
      </c>
      <c r="C753" s="2">
        <v>291655</v>
      </c>
      <c r="D753" s="2" t="s">
        <v>3</v>
      </c>
      <c r="E753" s="2">
        <v>197440</v>
      </c>
      <c r="F753" s="2" t="s">
        <v>3</v>
      </c>
      <c r="G753" s="2" t="s">
        <v>3</v>
      </c>
      <c r="H753" s="2">
        <v>94215</v>
      </c>
      <c r="I753" s="2">
        <v>-7308</v>
      </c>
    </row>
    <row r="754" spans="1:9" hidden="1" x14ac:dyDescent="0.3">
      <c r="A754" t="s">
        <v>13</v>
      </c>
      <c r="B754" s="1">
        <v>44348</v>
      </c>
      <c r="C754" s="2">
        <v>302088</v>
      </c>
      <c r="D754" s="2" t="s">
        <v>3</v>
      </c>
      <c r="E754" s="2">
        <v>200566</v>
      </c>
      <c r="F754" s="2" t="s">
        <v>3</v>
      </c>
      <c r="G754" s="2" t="s">
        <v>3</v>
      </c>
      <c r="H754" s="2">
        <v>101523</v>
      </c>
      <c r="I754" s="2">
        <v>11932</v>
      </c>
    </row>
    <row r="755" spans="1:9" hidden="1" x14ac:dyDescent="0.3">
      <c r="A755" t="s">
        <v>13</v>
      </c>
      <c r="B755" s="1">
        <v>44317</v>
      </c>
      <c r="C755" s="2">
        <v>287589</v>
      </c>
      <c r="D755" s="2" t="s">
        <v>3</v>
      </c>
      <c r="E755" s="2">
        <v>197998</v>
      </c>
      <c r="F755" s="2" t="s">
        <v>3</v>
      </c>
      <c r="G755" s="2" t="s">
        <v>3</v>
      </c>
      <c r="H755" s="2">
        <v>89591</v>
      </c>
      <c r="I755" s="2">
        <v>-3713</v>
      </c>
    </row>
    <row r="756" spans="1:9" hidden="1" x14ac:dyDescent="0.3">
      <c r="A756" t="s">
        <v>13</v>
      </c>
      <c r="B756" s="1">
        <v>44287</v>
      </c>
      <c r="C756" s="2">
        <v>290399</v>
      </c>
      <c r="D756" s="2" t="s">
        <v>3</v>
      </c>
      <c r="E756" s="2">
        <v>197094</v>
      </c>
      <c r="F756" s="2" t="s">
        <v>3</v>
      </c>
      <c r="G756" s="2" t="s">
        <v>3</v>
      </c>
      <c r="H756" s="2">
        <v>93304</v>
      </c>
      <c r="I756" s="2">
        <v>37</v>
      </c>
    </row>
    <row r="757" spans="1:9" hidden="1" x14ac:dyDescent="0.3">
      <c r="A757" t="s">
        <v>13</v>
      </c>
      <c r="B757" s="1">
        <v>44256</v>
      </c>
      <c r="C757" s="2">
        <v>282805</v>
      </c>
      <c r="D757" s="2" t="s">
        <v>3</v>
      </c>
      <c r="E757" s="2">
        <v>189538</v>
      </c>
      <c r="F757" s="2" t="s">
        <v>3</v>
      </c>
      <c r="G757" s="2" t="s">
        <v>3</v>
      </c>
      <c r="H757" s="2">
        <v>93267</v>
      </c>
      <c r="I757" s="2">
        <v>-2710</v>
      </c>
    </row>
    <row r="758" spans="1:9" hidden="1" x14ac:dyDescent="0.3">
      <c r="A758" t="s">
        <v>13</v>
      </c>
      <c r="B758" s="1">
        <v>44228</v>
      </c>
      <c r="C758" s="2">
        <v>282059</v>
      </c>
      <c r="D758" s="2" t="s">
        <v>3</v>
      </c>
      <c r="E758" s="2">
        <v>186082</v>
      </c>
      <c r="F758" s="2" t="s">
        <v>3</v>
      </c>
      <c r="G758" s="2" t="s">
        <v>3</v>
      </c>
      <c r="H758" s="2">
        <v>95977</v>
      </c>
      <c r="I758" s="2">
        <v>767</v>
      </c>
    </row>
    <row r="759" spans="1:9" hidden="1" x14ac:dyDescent="0.3">
      <c r="A759" t="s">
        <v>13</v>
      </c>
      <c r="B759" s="1">
        <v>44197</v>
      </c>
      <c r="C759" s="2">
        <v>280887</v>
      </c>
      <c r="D759" s="2" t="s">
        <v>3</v>
      </c>
      <c r="E759" s="2">
        <v>185677</v>
      </c>
      <c r="F759" s="2" t="s">
        <v>3</v>
      </c>
      <c r="G759" s="2" t="s">
        <v>3</v>
      </c>
      <c r="H759" s="2">
        <v>95210</v>
      </c>
      <c r="I759" s="2">
        <v>-1686</v>
      </c>
    </row>
    <row r="760" spans="1:9" hidden="1" x14ac:dyDescent="0.3">
      <c r="A760" t="s">
        <v>13</v>
      </c>
      <c r="B760" s="1">
        <v>44166</v>
      </c>
      <c r="C760" s="2">
        <v>287667</v>
      </c>
      <c r="D760" s="2" t="s">
        <v>3</v>
      </c>
      <c r="E760" s="2">
        <v>190771</v>
      </c>
      <c r="F760" s="2" t="s">
        <v>3</v>
      </c>
      <c r="G760" s="2" t="s">
        <v>3</v>
      </c>
      <c r="H760" s="2">
        <v>96896</v>
      </c>
      <c r="I760" s="2">
        <v>8654</v>
      </c>
    </row>
    <row r="761" spans="1:9" hidden="1" x14ac:dyDescent="0.3">
      <c r="A761" t="s">
        <v>13</v>
      </c>
      <c r="B761" s="1">
        <v>44136</v>
      </c>
      <c r="C761" s="2">
        <v>267847</v>
      </c>
      <c r="D761" s="2" t="s">
        <v>3</v>
      </c>
      <c r="E761" s="2">
        <v>179604</v>
      </c>
      <c r="F761" s="2" t="s">
        <v>3</v>
      </c>
      <c r="G761" s="2" t="s">
        <v>3</v>
      </c>
      <c r="H761" s="2">
        <v>88243</v>
      </c>
      <c r="I761" s="2">
        <v>1825</v>
      </c>
    </row>
    <row r="762" spans="1:9" hidden="1" x14ac:dyDescent="0.3">
      <c r="A762" t="s">
        <v>13</v>
      </c>
      <c r="B762" s="1">
        <v>44105</v>
      </c>
      <c r="C762" s="2">
        <v>266187</v>
      </c>
      <c r="D762" s="2" t="s">
        <v>3</v>
      </c>
      <c r="E762" s="2">
        <v>179769</v>
      </c>
      <c r="F762" s="2" t="s">
        <v>3</v>
      </c>
      <c r="G762" s="2" t="s">
        <v>3</v>
      </c>
      <c r="H762" s="2">
        <v>86418</v>
      </c>
      <c r="I762" s="2">
        <v>2924</v>
      </c>
    </row>
    <row r="763" spans="1:9" hidden="1" x14ac:dyDescent="0.3">
      <c r="A763" t="s">
        <v>13</v>
      </c>
      <c r="B763" s="1">
        <v>44075</v>
      </c>
      <c r="C763" s="2">
        <v>262453</v>
      </c>
      <c r="D763" s="2" t="s">
        <v>3</v>
      </c>
      <c r="E763" s="2">
        <v>178960</v>
      </c>
      <c r="F763" s="2" t="s">
        <v>3</v>
      </c>
      <c r="G763" s="2" t="s">
        <v>3</v>
      </c>
      <c r="H763" s="2">
        <v>83493</v>
      </c>
      <c r="I763" s="2">
        <v>-4140</v>
      </c>
    </row>
    <row r="764" spans="1:9" hidden="1" x14ac:dyDescent="0.3">
      <c r="A764" t="s">
        <v>13</v>
      </c>
      <c r="B764" s="1">
        <v>44044</v>
      </c>
      <c r="C764" s="2">
        <v>268845</v>
      </c>
      <c r="D764" s="2" t="s">
        <v>3</v>
      </c>
      <c r="E764" s="2">
        <v>181211</v>
      </c>
      <c r="F764" s="2" t="s">
        <v>3</v>
      </c>
      <c r="G764" s="2" t="s">
        <v>3</v>
      </c>
      <c r="H764" s="2">
        <v>87633</v>
      </c>
      <c r="I764" s="2">
        <v>5291</v>
      </c>
    </row>
    <row r="765" spans="1:9" hidden="1" x14ac:dyDescent="0.3">
      <c r="A765" t="s">
        <v>13</v>
      </c>
      <c r="B765" s="1">
        <v>44013</v>
      </c>
      <c r="C765" s="2">
        <v>264701</v>
      </c>
      <c r="D765" s="2" t="s">
        <v>3</v>
      </c>
      <c r="E765" s="2">
        <v>182358</v>
      </c>
      <c r="F765" s="2" t="s">
        <v>3</v>
      </c>
      <c r="G765" s="2" t="s">
        <v>3</v>
      </c>
      <c r="H765" s="2">
        <v>82342</v>
      </c>
      <c r="I765" s="2">
        <v>-2751</v>
      </c>
    </row>
    <row r="766" spans="1:9" hidden="1" x14ac:dyDescent="0.3">
      <c r="A766" t="s">
        <v>13</v>
      </c>
      <c r="B766" s="1">
        <v>43983</v>
      </c>
      <c r="C766" s="2">
        <v>267333</v>
      </c>
      <c r="D766" s="2" t="s">
        <v>3</v>
      </c>
      <c r="E766" s="2">
        <v>182240</v>
      </c>
      <c r="F766" s="2" t="s">
        <v>3</v>
      </c>
      <c r="G766" s="2" t="s">
        <v>3</v>
      </c>
      <c r="H766" s="2">
        <v>85093</v>
      </c>
      <c r="I766" s="2">
        <v>8036</v>
      </c>
    </row>
    <row r="767" spans="1:9" hidden="1" x14ac:dyDescent="0.3">
      <c r="A767" t="s">
        <v>13</v>
      </c>
      <c r="B767" s="1">
        <v>43952</v>
      </c>
      <c r="C767" s="2">
        <v>262684</v>
      </c>
      <c r="D767" s="2" t="s">
        <v>3</v>
      </c>
      <c r="E767" s="2">
        <v>185627</v>
      </c>
      <c r="F767" s="2" t="s">
        <v>3</v>
      </c>
      <c r="G767" s="2" t="s">
        <v>3</v>
      </c>
      <c r="H767" s="2">
        <v>77057</v>
      </c>
      <c r="I767" s="2">
        <v>7787</v>
      </c>
    </row>
    <row r="768" spans="1:9" hidden="1" x14ac:dyDescent="0.3">
      <c r="A768" t="s">
        <v>13</v>
      </c>
      <c r="B768" s="1">
        <v>43922</v>
      </c>
      <c r="C768" s="2">
        <v>265525</v>
      </c>
      <c r="D768" s="2" t="s">
        <v>3</v>
      </c>
      <c r="E768" s="2">
        <v>196255</v>
      </c>
      <c r="F768" s="2" t="s">
        <v>3</v>
      </c>
      <c r="G768" s="2" t="s">
        <v>3</v>
      </c>
      <c r="H768" s="2">
        <v>69270</v>
      </c>
      <c r="I768" s="2">
        <v>27781</v>
      </c>
    </row>
    <row r="769" spans="1:9" hidden="1" x14ac:dyDescent="0.3">
      <c r="A769" t="s">
        <v>13</v>
      </c>
      <c r="B769" s="1">
        <v>43891</v>
      </c>
      <c r="C769" s="2">
        <v>246137</v>
      </c>
      <c r="D769" s="2" t="s">
        <v>3</v>
      </c>
      <c r="E769" s="2">
        <v>204648</v>
      </c>
      <c r="F769" s="2" t="s">
        <v>3</v>
      </c>
      <c r="G769" s="2" t="s">
        <v>3</v>
      </c>
      <c r="H769" s="2">
        <v>41489</v>
      </c>
      <c r="I769" s="2">
        <v>-3017</v>
      </c>
    </row>
    <row r="770" spans="1:9" hidden="1" x14ac:dyDescent="0.3">
      <c r="A770" t="s">
        <v>13</v>
      </c>
      <c r="B770" s="1">
        <v>43862</v>
      </c>
      <c r="C770" s="2">
        <v>260808</v>
      </c>
      <c r="D770" s="2" t="s">
        <v>3</v>
      </c>
      <c r="E770" s="2">
        <v>216302</v>
      </c>
      <c r="F770" s="2" t="s">
        <v>3</v>
      </c>
      <c r="G770" s="2" t="s">
        <v>3</v>
      </c>
      <c r="H770" s="2">
        <v>44506</v>
      </c>
      <c r="I770" s="2">
        <v>1475</v>
      </c>
    </row>
    <row r="771" spans="1:9" hidden="1" x14ac:dyDescent="0.3">
      <c r="A771" t="s">
        <v>13</v>
      </c>
      <c r="B771" s="1">
        <v>43831</v>
      </c>
      <c r="C771" s="2">
        <v>255212</v>
      </c>
      <c r="D771" s="2" t="s">
        <v>3</v>
      </c>
      <c r="E771" s="2">
        <v>212181</v>
      </c>
      <c r="F771" s="2" t="s">
        <v>3</v>
      </c>
      <c r="G771" s="2" t="s">
        <v>3</v>
      </c>
      <c r="H771" s="2">
        <v>43031</v>
      </c>
      <c r="I771" s="2">
        <v>-7691</v>
      </c>
    </row>
    <row r="772" spans="1:9" x14ac:dyDescent="0.3">
      <c r="A772" t="s">
        <v>14</v>
      </c>
      <c r="B772" s="1">
        <v>45931</v>
      </c>
      <c r="C772" s="2">
        <v>79839</v>
      </c>
      <c r="D772" s="2">
        <v>793</v>
      </c>
      <c r="E772" s="2">
        <v>78143</v>
      </c>
      <c r="F772" s="2">
        <v>1029</v>
      </c>
      <c r="G772" s="2">
        <v>-3</v>
      </c>
      <c r="H772" s="2">
        <v>1696</v>
      </c>
      <c r="I772" s="2">
        <v>-236</v>
      </c>
    </row>
    <row r="773" spans="1:9" x14ac:dyDescent="0.3">
      <c r="A773" t="s">
        <v>14</v>
      </c>
      <c r="B773" s="1">
        <v>45901</v>
      </c>
      <c r="C773" s="2">
        <v>78588</v>
      </c>
      <c r="D773" s="2">
        <v>-131</v>
      </c>
      <c r="E773" s="2">
        <v>76656</v>
      </c>
      <c r="F773" s="2">
        <v>22</v>
      </c>
      <c r="G773" s="2">
        <v>541</v>
      </c>
      <c r="H773" s="2">
        <v>1932</v>
      </c>
      <c r="I773" s="2">
        <v>-153</v>
      </c>
    </row>
    <row r="774" spans="1:9" x14ac:dyDescent="0.3">
      <c r="A774" t="s">
        <v>14</v>
      </c>
      <c r="B774" s="1">
        <v>45870</v>
      </c>
      <c r="C774" s="2">
        <v>79809</v>
      </c>
      <c r="D774" s="2">
        <v>-3741</v>
      </c>
      <c r="E774" s="2">
        <v>77724</v>
      </c>
      <c r="F774" s="2">
        <v>-3823</v>
      </c>
      <c r="G774" s="2">
        <v>542</v>
      </c>
      <c r="H774" s="2">
        <v>2085</v>
      </c>
      <c r="I774" s="2">
        <v>82</v>
      </c>
    </row>
    <row r="775" spans="1:9" x14ac:dyDescent="0.3">
      <c r="A775" t="s">
        <v>14</v>
      </c>
      <c r="B775" s="1">
        <v>45839</v>
      </c>
      <c r="C775" s="2">
        <v>82738</v>
      </c>
      <c r="D775" s="2">
        <v>3297</v>
      </c>
      <c r="E775" s="2">
        <v>80735</v>
      </c>
      <c r="F775" s="2">
        <v>3495</v>
      </c>
      <c r="G775" s="2">
        <v>-521</v>
      </c>
      <c r="H775" s="2">
        <v>2003</v>
      </c>
      <c r="I775" s="2">
        <v>-198</v>
      </c>
    </row>
    <row r="776" spans="1:9" x14ac:dyDescent="0.3">
      <c r="A776" t="s">
        <v>14</v>
      </c>
      <c r="B776" s="1">
        <v>45809</v>
      </c>
      <c r="C776" s="2">
        <v>81657</v>
      </c>
      <c r="D776" s="2">
        <v>2148</v>
      </c>
      <c r="E776" s="2">
        <v>79456</v>
      </c>
      <c r="F776" s="2">
        <v>2014</v>
      </c>
      <c r="G776" s="2">
        <v>627</v>
      </c>
      <c r="H776" s="2">
        <v>2201</v>
      </c>
      <c r="I776" s="2">
        <v>134</v>
      </c>
    </row>
    <row r="777" spans="1:9" x14ac:dyDescent="0.3">
      <c r="A777" t="s">
        <v>14</v>
      </c>
      <c r="B777" s="1">
        <v>45778</v>
      </c>
      <c r="C777" s="2">
        <v>79471</v>
      </c>
      <c r="D777" s="2">
        <v>-4359</v>
      </c>
      <c r="E777" s="2">
        <v>77404</v>
      </c>
      <c r="F777" s="2">
        <v>-3915</v>
      </c>
      <c r="G777" s="2">
        <v>-1437</v>
      </c>
      <c r="H777" s="2">
        <v>2067</v>
      </c>
      <c r="I777" s="2">
        <v>-444</v>
      </c>
    </row>
    <row r="778" spans="1:9" x14ac:dyDescent="0.3">
      <c r="A778" t="s">
        <v>14</v>
      </c>
      <c r="B778" s="1">
        <v>45748</v>
      </c>
      <c r="C778" s="2">
        <v>85550</v>
      </c>
      <c r="D778" s="2">
        <v>-5317</v>
      </c>
      <c r="E778" s="2">
        <v>83039</v>
      </c>
      <c r="F778" s="2">
        <v>-3708</v>
      </c>
      <c r="G778" s="2">
        <v>-483</v>
      </c>
      <c r="H778" s="2">
        <v>2511</v>
      </c>
      <c r="I778" s="2">
        <v>-1609</v>
      </c>
    </row>
    <row r="779" spans="1:9" x14ac:dyDescent="0.3">
      <c r="A779" t="s">
        <v>14</v>
      </c>
      <c r="B779" s="1">
        <v>45717</v>
      </c>
      <c r="C779" s="2">
        <v>90879</v>
      </c>
      <c r="D779" s="2">
        <v>7490</v>
      </c>
      <c r="E779" s="2">
        <v>86759</v>
      </c>
      <c r="F779" s="2">
        <v>6141</v>
      </c>
      <c r="G779" s="2">
        <v>-300</v>
      </c>
      <c r="H779" s="2">
        <v>4120</v>
      </c>
      <c r="I779" s="2">
        <v>1349</v>
      </c>
    </row>
    <row r="780" spans="1:9" x14ac:dyDescent="0.3">
      <c r="A780" t="s">
        <v>14</v>
      </c>
      <c r="B780" s="1">
        <v>45689</v>
      </c>
      <c r="C780" s="2">
        <v>83143</v>
      </c>
      <c r="D780" s="2">
        <v>1642</v>
      </c>
      <c r="E780" s="2">
        <v>80372</v>
      </c>
      <c r="F780" s="2">
        <v>2236</v>
      </c>
      <c r="G780" s="2">
        <v>2219</v>
      </c>
      <c r="H780" s="2">
        <v>2771</v>
      </c>
      <c r="I780" s="2">
        <v>-594</v>
      </c>
    </row>
    <row r="781" spans="1:9" x14ac:dyDescent="0.3">
      <c r="A781" t="s">
        <v>14</v>
      </c>
      <c r="B781" s="1">
        <v>45658</v>
      </c>
      <c r="C781" s="2">
        <v>79355</v>
      </c>
      <c r="D781" s="2">
        <v>1747</v>
      </c>
      <c r="E781" s="2">
        <v>75990</v>
      </c>
      <c r="F781" s="2">
        <v>1828</v>
      </c>
      <c r="G781" s="2">
        <v>164</v>
      </c>
      <c r="H781" s="2">
        <v>3365</v>
      </c>
      <c r="I781" s="2">
        <v>-81</v>
      </c>
    </row>
    <row r="782" spans="1:9" x14ac:dyDescent="0.3">
      <c r="A782" t="s">
        <v>14</v>
      </c>
      <c r="B782" s="1">
        <v>45627</v>
      </c>
      <c r="C782" s="2">
        <v>78530</v>
      </c>
      <c r="D782" s="2">
        <v>-3937</v>
      </c>
      <c r="E782" s="2">
        <v>75084</v>
      </c>
      <c r="F782" s="2">
        <v>-3982</v>
      </c>
      <c r="G782" s="2">
        <v>-619</v>
      </c>
      <c r="H782" s="2">
        <v>3446</v>
      </c>
      <c r="I782" s="2">
        <v>45</v>
      </c>
    </row>
    <row r="783" spans="1:9" x14ac:dyDescent="0.3">
      <c r="A783" t="s">
        <v>14</v>
      </c>
      <c r="B783" s="1">
        <v>45597</v>
      </c>
      <c r="C783" s="2">
        <v>84326</v>
      </c>
      <c r="D783" s="2">
        <v>3540</v>
      </c>
      <c r="E783" s="2">
        <v>80925</v>
      </c>
      <c r="F783" s="2">
        <v>3850</v>
      </c>
      <c r="G783" s="2">
        <v>154</v>
      </c>
      <c r="H783" s="2">
        <v>3401</v>
      </c>
      <c r="I783" s="2">
        <v>-310</v>
      </c>
    </row>
    <row r="784" spans="1:9" x14ac:dyDescent="0.3">
      <c r="A784" t="s">
        <v>14</v>
      </c>
      <c r="B784" s="1">
        <v>45566</v>
      </c>
      <c r="C784" s="2">
        <v>79645</v>
      </c>
      <c r="D784" s="2">
        <v>-2579</v>
      </c>
      <c r="E784" s="2">
        <v>75934</v>
      </c>
      <c r="F784" s="2">
        <v>-2752</v>
      </c>
      <c r="G784" s="2">
        <v>-2497</v>
      </c>
      <c r="H784" s="2">
        <v>3711</v>
      </c>
      <c r="I784" s="2">
        <v>173</v>
      </c>
    </row>
    <row r="785" spans="1:9" x14ac:dyDescent="0.3">
      <c r="A785" t="s">
        <v>14</v>
      </c>
      <c r="B785" s="1">
        <v>45536</v>
      </c>
      <c r="C785" s="2">
        <v>85235</v>
      </c>
      <c r="D785" s="2">
        <v>6461</v>
      </c>
      <c r="E785" s="2">
        <v>81697</v>
      </c>
      <c r="F785" s="2">
        <v>6254</v>
      </c>
      <c r="G785" s="2">
        <v>1006</v>
      </c>
      <c r="H785" s="2">
        <v>3538</v>
      </c>
      <c r="I785" s="2">
        <v>208</v>
      </c>
    </row>
    <row r="786" spans="1:9" x14ac:dyDescent="0.3">
      <c r="A786" t="s">
        <v>14</v>
      </c>
      <c r="B786" s="1">
        <v>45505</v>
      </c>
      <c r="C786" s="2">
        <v>78236</v>
      </c>
      <c r="D786" s="2">
        <v>1377</v>
      </c>
      <c r="E786" s="2">
        <v>74906</v>
      </c>
      <c r="F786" s="2">
        <v>1481</v>
      </c>
      <c r="G786" s="2">
        <v>718</v>
      </c>
      <c r="H786" s="2">
        <v>3330</v>
      </c>
      <c r="I786" s="2">
        <v>-104</v>
      </c>
    </row>
    <row r="787" spans="1:9" x14ac:dyDescent="0.3">
      <c r="A787" t="s">
        <v>14</v>
      </c>
      <c r="B787" s="1">
        <v>45474</v>
      </c>
      <c r="C787" s="2">
        <v>76388</v>
      </c>
      <c r="D787" s="2">
        <v>3236</v>
      </c>
      <c r="E787" s="2">
        <v>72954</v>
      </c>
      <c r="F787" s="2">
        <v>2965</v>
      </c>
      <c r="G787" s="2">
        <v>997</v>
      </c>
      <c r="H787" s="2">
        <v>3434</v>
      </c>
      <c r="I787" s="2">
        <v>270</v>
      </c>
    </row>
    <row r="788" spans="1:9" x14ac:dyDescent="0.3">
      <c r="A788" t="s">
        <v>14</v>
      </c>
      <c r="B788" s="1">
        <v>45444</v>
      </c>
      <c r="C788" s="2">
        <v>71855</v>
      </c>
      <c r="D788" s="2">
        <v>-470</v>
      </c>
      <c r="E788" s="2">
        <v>68691</v>
      </c>
      <c r="F788" s="2">
        <v>-886</v>
      </c>
      <c r="G788" s="2">
        <v>444</v>
      </c>
      <c r="H788" s="2">
        <v>3164</v>
      </c>
      <c r="I788" s="2">
        <v>416</v>
      </c>
    </row>
    <row r="789" spans="1:9" x14ac:dyDescent="0.3">
      <c r="A789" t="s">
        <v>14</v>
      </c>
      <c r="B789" s="1">
        <v>45413</v>
      </c>
      <c r="C789" s="2">
        <v>71957</v>
      </c>
      <c r="D789" s="2">
        <v>-245</v>
      </c>
      <c r="E789" s="2">
        <v>69209</v>
      </c>
      <c r="F789" s="2">
        <v>-227</v>
      </c>
      <c r="G789" s="2">
        <v>663</v>
      </c>
      <c r="H789" s="2">
        <v>2748</v>
      </c>
      <c r="I789" s="2">
        <v>-18</v>
      </c>
    </row>
    <row r="790" spans="1:9" x14ac:dyDescent="0.3">
      <c r="A790" t="s">
        <v>14</v>
      </c>
      <c r="B790" s="1">
        <v>45383</v>
      </c>
      <c r="C790" s="2">
        <v>71708</v>
      </c>
      <c r="D790" s="2">
        <v>4827</v>
      </c>
      <c r="E790" s="2">
        <v>68942</v>
      </c>
      <c r="F790" s="2">
        <v>5115</v>
      </c>
      <c r="G790" s="2">
        <v>-1869</v>
      </c>
      <c r="H790" s="2">
        <v>2766</v>
      </c>
      <c r="I790" s="2">
        <v>-288</v>
      </c>
    </row>
    <row r="791" spans="1:9" x14ac:dyDescent="0.3">
      <c r="A791" t="s">
        <v>14</v>
      </c>
      <c r="B791" s="1">
        <v>45352</v>
      </c>
      <c r="C791" s="2">
        <v>68416</v>
      </c>
      <c r="D791" s="2">
        <v>-1797</v>
      </c>
      <c r="E791" s="2">
        <v>65361</v>
      </c>
      <c r="F791" s="2">
        <v>-1814</v>
      </c>
      <c r="G791" s="2">
        <v>562</v>
      </c>
      <c r="H791" s="2">
        <v>3055</v>
      </c>
      <c r="I791" s="2">
        <v>17</v>
      </c>
    </row>
    <row r="792" spans="1:9" x14ac:dyDescent="0.3">
      <c r="A792" t="s">
        <v>14</v>
      </c>
      <c r="B792" s="1">
        <v>45323</v>
      </c>
      <c r="C792" s="2">
        <v>69682</v>
      </c>
      <c r="D792" s="2">
        <v>141</v>
      </c>
      <c r="E792" s="2">
        <v>66644</v>
      </c>
      <c r="F792" s="2">
        <v>-2</v>
      </c>
      <c r="G792" s="2">
        <v>-485</v>
      </c>
      <c r="H792" s="2">
        <v>3038</v>
      </c>
      <c r="I792" s="2">
        <v>143</v>
      </c>
    </row>
    <row r="793" spans="1:9" x14ac:dyDescent="0.3">
      <c r="A793" t="s">
        <v>14</v>
      </c>
      <c r="B793" s="1">
        <v>45292</v>
      </c>
      <c r="C793" s="2">
        <v>72025</v>
      </c>
      <c r="D793" s="2">
        <v>-425</v>
      </c>
      <c r="E793" s="2">
        <v>69130</v>
      </c>
      <c r="F793" s="2">
        <v>1061</v>
      </c>
      <c r="G793" s="2">
        <v>-849</v>
      </c>
      <c r="H793" s="2">
        <v>2895</v>
      </c>
      <c r="I793" s="2">
        <v>-1487</v>
      </c>
    </row>
    <row r="794" spans="1:9" x14ac:dyDescent="0.3">
      <c r="A794" t="s">
        <v>14</v>
      </c>
      <c r="B794" s="1">
        <v>45261</v>
      </c>
      <c r="C794" s="2">
        <v>73554</v>
      </c>
      <c r="D794" s="2">
        <v>115</v>
      </c>
      <c r="E794" s="2">
        <v>69172</v>
      </c>
      <c r="F794" s="2">
        <v>-1279</v>
      </c>
      <c r="G794" s="2">
        <v>2250</v>
      </c>
      <c r="H794" s="2">
        <v>4382</v>
      </c>
      <c r="I794" s="2">
        <v>1394</v>
      </c>
    </row>
    <row r="795" spans="1:9" x14ac:dyDescent="0.3">
      <c r="A795" t="s">
        <v>14</v>
      </c>
      <c r="B795" s="1">
        <v>45231</v>
      </c>
      <c r="C795" s="2">
        <v>71045</v>
      </c>
      <c r="D795" s="2">
        <v>1871</v>
      </c>
      <c r="E795" s="2">
        <v>68057</v>
      </c>
      <c r="F795" s="2">
        <v>1730</v>
      </c>
      <c r="G795" s="2">
        <v>2124</v>
      </c>
      <c r="H795" s="2">
        <v>2987</v>
      </c>
      <c r="I795" s="2">
        <v>142</v>
      </c>
    </row>
    <row r="796" spans="1:9" x14ac:dyDescent="0.3">
      <c r="A796" t="s">
        <v>14</v>
      </c>
      <c r="B796" s="1">
        <v>45200</v>
      </c>
      <c r="C796" s="2">
        <v>66027</v>
      </c>
      <c r="D796" s="2">
        <v>237</v>
      </c>
      <c r="E796" s="2">
        <v>63181</v>
      </c>
      <c r="F796" s="2">
        <v>238</v>
      </c>
      <c r="G796" s="2">
        <v>-1291</v>
      </c>
      <c r="H796" s="2">
        <v>2846</v>
      </c>
      <c r="I796" s="2">
        <v>-1</v>
      </c>
    </row>
    <row r="797" spans="1:9" x14ac:dyDescent="0.3">
      <c r="A797" t="s">
        <v>14</v>
      </c>
      <c r="B797" s="1">
        <v>45170</v>
      </c>
      <c r="C797" s="2">
        <v>68511</v>
      </c>
      <c r="D797" s="2">
        <v>-1786</v>
      </c>
      <c r="E797" s="2">
        <v>65664</v>
      </c>
      <c r="F797" s="2">
        <v>-1550</v>
      </c>
      <c r="G797" s="2">
        <v>-1374</v>
      </c>
      <c r="H797" s="2">
        <v>2847</v>
      </c>
      <c r="I797" s="2">
        <v>-236</v>
      </c>
    </row>
    <row r="798" spans="1:9" x14ac:dyDescent="0.3">
      <c r="A798" t="s">
        <v>14</v>
      </c>
      <c r="B798" s="1">
        <v>45139</v>
      </c>
      <c r="C798" s="2">
        <v>73158</v>
      </c>
      <c r="D798" s="2">
        <v>4132</v>
      </c>
      <c r="E798" s="2">
        <v>70075</v>
      </c>
      <c r="F798" s="2">
        <v>4107</v>
      </c>
      <c r="G798" s="2">
        <v>-441</v>
      </c>
      <c r="H798" s="2">
        <v>3083</v>
      </c>
      <c r="I798" s="2">
        <v>25</v>
      </c>
    </row>
    <row r="799" spans="1:9" x14ac:dyDescent="0.3">
      <c r="A799" t="s">
        <v>14</v>
      </c>
      <c r="B799" s="1">
        <v>45108</v>
      </c>
      <c r="C799" s="2">
        <v>72290</v>
      </c>
      <c r="D799" s="2">
        <v>-1244</v>
      </c>
      <c r="E799" s="2">
        <v>69232</v>
      </c>
      <c r="F799" s="2">
        <v>-1546</v>
      </c>
      <c r="G799" s="2">
        <v>-168</v>
      </c>
      <c r="H799" s="2">
        <v>3058</v>
      </c>
      <c r="I799" s="2">
        <v>302</v>
      </c>
    </row>
    <row r="800" spans="1:9" x14ac:dyDescent="0.3">
      <c r="A800" t="s">
        <v>14</v>
      </c>
      <c r="B800" s="1">
        <v>45078</v>
      </c>
      <c r="C800" s="2">
        <v>74804</v>
      </c>
      <c r="D800" s="2">
        <v>756</v>
      </c>
      <c r="E800" s="2">
        <v>72048</v>
      </c>
      <c r="F800" s="2">
        <v>181</v>
      </c>
      <c r="G800" s="2">
        <v>-303</v>
      </c>
      <c r="H800" s="2">
        <v>2757</v>
      </c>
      <c r="I800" s="2">
        <v>575</v>
      </c>
    </row>
    <row r="801" spans="1:9" x14ac:dyDescent="0.3">
      <c r="A801" t="s">
        <v>14</v>
      </c>
      <c r="B801" s="1">
        <v>45047</v>
      </c>
      <c r="C801" s="2">
        <v>71175</v>
      </c>
      <c r="D801" s="2">
        <v>-230</v>
      </c>
      <c r="E801" s="2">
        <v>68993</v>
      </c>
      <c r="F801" s="2">
        <v>44</v>
      </c>
      <c r="G801" s="2">
        <v>-1375</v>
      </c>
      <c r="H801" s="2">
        <v>2182</v>
      </c>
      <c r="I801" s="2">
        <v>-274</v>
      </c>
    </row>
    <row r="802" spans="1:9" x14ac:dyDescent="0.3">
      <c r="A802" t="s">
        <v>14</v>
      </c>
      <c r="B802" s="1">
        <v>45017</v>
      </c>
      <c r="C802" s="2">
        <v>74441</v>
      </c>
      <c r="D802" s="2">
        <v>-1633</v>
      </c>
      <c r="E802" s="2">
        <v>71985</v>
      </c>
      <c r="F802" s="2">
        <v>-2120</v>
      </c>
      <c r="G802" s="2">
        <v>909</v>
      </c>
      <c r="H802" s="2">
        <v>2456</v>
      </c>
      <c r="I802" s="2">
        <v>487</v>
      </c>
    </row>
    <row r="803" spans="1:9" x14ac:dyDescent="0.3">
      <c r="A803" t="s">
        <v>14</v>
      </c>
      <c r="B803" s="1">
        <v>44986</v>
      </c>
      <c r="C803" s="2">
        <v>75032</v>
      </c>
      <c r="D803" s="2">
        <v>1708</v>
      </c>
      <c r="E803" s="2">
        <v>73063</v>
      </c>
      <c r="F803" s="2">
        <v>1157</v>
      </c>
      <c r="G803" s="2">
        <v>1226</v>
      </c>
      <c r="H803" s="2">
        <v>1969</v>
      </c>
      <c r="I803" s="2">
        <v>551</v>
      </c>
    </row>
    <row r="804" spans="1:9" x14ac:dyDescent="0.3">
      <c r="A804" t="s">
        <v>14</v>
      </c>
      <c r="B804" s="1">
        <v>44958</v>
      </c>
      <c r="C804" s="2">
        <v>72644</v>
      </c>
      <c r="D804" s="2">
        <v>3474</v>
      </c>
      <c r="E804" s="2">
        <v>71225</v>
      </c>
      <c r="F804" s="2">
        <v>3555</v>
      </c>
      <c r="G804" s="2">
        <v>-3905</v>
      </c>
      <c r="H804" s="2">
        <v>1418</v>
      </c>
      <c r="I804" s="2">
        <v>-80</v>
      </c>
    </row>
    <row r="805" spans="1:9" hidden="1" x14ac:dyDescent="0.3">
      <c r="A805" t="s">
        <v>14</v>
      </c>
      <c r="B805" s="1">
        <v>44927</v>
      </c>
      <c r="C805" s="2">
        <v>73672</v>
      </c>
      <c r="D805" s="2" t="s">
        <v>3</v>
      </c>
      <c r="E805" s="2">
        <v>72174</v>
      </c>
      <c r="F805" s="2" t="s">
        <v>3</v>
      </c>
      <c r="G805" s="2" t="s">
        <v>3</v>
      </c>
      <c r="H805" s="2">
        <v>1499</v>
      </c>
      <c r="I805" s="2">
        <v>-95</v>
      </c>
    </row>
    <row r="806" spans="1:9" hidden="1" x14ac:dyDescent="0.3">
      <c r="A806" t="s">
        <v>14</v>
      </c>
      <c r="B806" s="1">
        <v>44896</v>
      </c>
      <c r="C806" s="2">
        <v>67357</v>
      </c>
      <c r="D806" s="2" t="s">
        <v>3</v>
      </c>
      <c r="E806" s="2">
        <v>65764</v>
      </c>
      <c r="F806" s="2" t="s">
        <v>3</v>
      </c>
      <c r="G806" s="2" t="s">
        <v>3</v>
      </c>
      <c r="H806" s="2">
        <v>1594</v>
      </c>
      <c r="I806" s="2">
        <v>24</v>
      </c>
    </row>
    <row r="807" spans="1:9" hidden="1" x14ac:dyDescent="0.3">
      <c r="A807" t="s">
        <v>14</v>
      </c>
      <c r="B807" s="1">
        <v>44866</v>
      </c>
      <c r="C807" s="2">
        <v>71862</v>
      </c>
      <c r="D807" s="2" t="s">
        <v>3</v>
      </c>
      <c r="E807" s="2">
        <v>70292</v>
      </c>
      <c r="F807" s="2" t="s">
        <v>3</v>
      </c>
      <c r="G807" s="2" t="s">
        <v>3</v>
      </c>
      <c r="H807" s="2">
        <v>1569</v>
      </c>
      <c r="I807" s="2">
        <v>383</v>
      </c>
    </row>
    <row r="808" spans="1:9" hidden="1" x14ac:dyDescent="0.3">
      <c r="A808" t="s">
        <v>14</v>
      </c>
      <c r="B808" s="1">
        <v>44835</v>
      </c>
      <c r="C808" s="2">
        <v>63795</v>
      </c>
      <c r="D808" s="2" t="s">
        <v>3</v>
      </c>
      <c r="E808" s="2">
        <v>62609</v>
      </c>
      <c r="F808" s="2" t="s">
        <v>3</v>
      </c>
      <c r="G808" s="2" t="s">
        <v>3</v>
      </c>
      <c r="H808" s="2">
        <v>1186</v>
      </c>
      <c r="I808" s="2">
        <v>69</v>
      </c>
    </row>
    <row r="809" spans="1:9" hidden="1" x14ac:dyDescent="0.3">
      <c r="A809" t="s">
        <v>14</v>
      </c>
      <c r="B809" s="1">
        <v>44805</v>
      </c>
      <c r="C809" s="2">
        <v>66211</v>
      </c>
      <c r="D809" s="2" t="s">
        <v>3</v>
      </c>
      <c r="E809" s="2">
        <v>65094</v>
      </c>
      <c r="F809" s="2" t="s">
        <v>3</v>
      </c>
      <c r="G809" s="2" t="s">
        <v>3</v>
      </c>
      <c r="H809" s="2">
        <v>1117</v>
      </c>
      <c r="I809" s="2">
        <v>-1052</v>
      </c>
    </row>
    <row r="810" spans="1:9" hidden="1" x14ac:dyDescent="0.3">
      <c r="A810" t="s">
        <v>14</v>
      </c>
      <c r="B810" s="1">
        <v>44774</v>
      </c>
      <c r="C810" s="2">
        <v>66278</v>
      </c>
      <c r="D810" s="2" t="s">
        <v>3</v>
      </c>
      <c r="E810" s="2">
        <v>64109</v>
      </c>
      <c r="F810" s="2" t="s">
        <v>3</v>
      </c>
      <c r="G810" s="2" t="s">
        <v>3</v>
      </c>
      <c r="H810" s="2">
        <v>2169</v>
      </c>
      <c r="I810" s="2">
        <v>1106</v>
      </c>
    </row>
    <row r="811" spans="1:9" hidden="1" x14ac:dyDescent="0.3">
      <c r="A811" t="s">
        <v>14</v>
      </c>
      <c r="B811" s="1">
        <v>44743</v>
      </c>
      <c r="C811" s="2">
        <v>66398</v>
      </c>
      <c r="D811" s="2" t="s">
        <v>3</v>
      </c>
      <c r="E811" s="2">
        <v>65335</v>
      </c>
      <c r="F811" s="2" t="s">
        <v>3</v>
      </c>
      <c r="G811" s="2" t="s">
        <v>3</v>
      </c>
      <c r="H811" s="2">
        <v>1063</v>
      </c>
      <c r="I811" s="2">
        <v>189</v>
      </c>
    </row>
    <row r="812" spans="1:9" hidden="1" x14ac:dyDescent="0.3">
      <c r="A812" t="s">
        <v>14</v>
      </c>
      <c r="B812" s="1">
        <v>44713</v>
      </c>
      <c r="C812" s="2">
        <v>64475</v>
      </c>
      <c r="D812" s="2" t="s">
        <v>3</v>
      </c>
      <c r="E812" s="2">
        <v>63600</v>
      </c>
      <c r="F812" s="2" t="s">
        <v>3</v>
      </c>
      <c r="G812" s="2" t="s">
        <v>3</v>
      </c>
      <c r="H812" s="2">
        <v>875</v>
      </c>
      <c r="I812" s="2">
        <v>-82</v>
      </c>
    </row>
    <row r="813" spans="1:9" hidden="1" x14ac:dyDescent="0.3">
      <c r="A813" t="s">
        <v>14</v>
      </c>
      <c r="B813" s="1">
        <v>44682</v>
      </c>
      <c r="C813" s="2">
        <v>64419</v>
      </c>
      <c r="D813" s="2" t="s">
        <v>3</v>
      </c>
      <c r="E813" s="2">
        <v>63463</v>
      </c>
      <c r="F813" s="2" t="s">
        <v>3</v>
      </c>
      <c r="G813" s="2" t="s">
        <v>3</v>
      </c>
      <c r="H813" s="2">
        <v>957</v>
      </c>
      <c r="I813" s="2">
        <v>-136</v>
      </c>
    </row>
    <row r="814" spans="1:9" hidden="1" x14ac:dyDescent="0.3">
      <c r="A814" t="s">
        <v>14</v>
      </c>
      <c r="B814" s="1">
        <v>44652</v>
      </c>
      <c r="C814" s="2">
        <v>63109</v>
      </c>
      <c r="D814" s="2" t="s">
        <v>3</v>
      </c>
      <c r="E814" s="2">
        <v>62016</v>
      </c>
      <c r="F814" s="2" t="s">
        <v>3</v>
      </c>
      <c r="G814" s="2" t="s">
        <v>3</v>
      </c>
      <c r="H814" s="2">
        <v>1092</v>
      </c>
      <c r="I814" s="2">
        <v>-310</v>
      </c>
    </row>
    <row r="815" spans="1:9" hidden="1" x14ac:dyDescent="0.3">
      <c r="A815" t="s">
        <v>14</v>
      </c>
      <c r="B815" s="1">
        <v>44621</v>
      </c>
      <c r="C815" s="2">
        <v>64724</v>
      </c>
      <c r="D815" s="2" t="s">
        <v>3</v>
      </c>
      <c r="E815" s="2">
        <v>63321</v>
      </c>
      <c r="F815" s="2" t="s">
        <v>3</v>
      </c>
      <c r="G815" s="2" t="s">
        <v>3</v>
      </c>
      <c r="H815" s="2">
        <v>1402</v>
      </c>
      <c r="I815" s="2">
        <v>-419</v>
      </c>
    </row>
    <row r="816" spans="1:9" hidden="1" x14ac:dyDescent="0.3">
      <c r="A816" t="s">
        <v>14</v>
      </c>
      <c r="B816" s="1">
        <v>44593</v>
      </c>
      <c r="C816" s="2">
        <v>65467</v>
      </c>
      <c r="D816" s="2" t="s">
        <v>3</v>
      </c>
      <c r="E816" s="2">
        <v>63647</v>
      </c>
      <c r="F816" s="2" t="s">
        <v>3</v>
      </c>
      <c r="G816" s="2" t="s">
        <v>3</v>
      </c>
      <c r="H816" s="2">
        <v>1821</v>
      </c>
      <c r="I816" s="2">
        <v>668</v>
      </c>
    </row>
    <row r="817" spans="1:9" hidden="1" x14ac:dyDescent="0.3">
      <c r="A817" t="s">
        <v>14</v>
      </c>
      <c r="B817" s="1">
        <v>44562</v>
      </c>
      <c r="C817" s="2">
        <v>60649</v>
      </c>
      <c r="D817" s="2" t="s">
        <v>3</v>
      </c>
      <c r="E817" s="2">
        <v>59496</v>
      </c>
      <c r="F817" s="2" t="s">
        <v>3</v>
      </c>
      <c r="G817" s="2" t="s">
        <v>3</v>
      </c>
      <c r="H817" s="2">
        <v>1153</v>
      </c>
      <c r="I817" s="2">
        <v>-3677</v>
      </c>
    </row>
    <row r="818" spans="1:9" hidden="1" x14ac:dyDescent="0.3">
      <c r="A818" t="s">
        <v>14</v>
      </c>
      <c r="B818" s="1">
        <v>44531</v>
      </c>
      <c r="C818" s="2">
        <v>69121</v>
      </c>
      <c r="D818" s="2" t="s">
        <v>3</v>
      </c>
      <c r="E818" s="2">
        <v>64291</v>
      </c>
      <c r="F818" s="2" t="s">
        <v>3</v>
      </c>
      <c r="G818" s="2" t="s">
        <v>3</v>
      </c>
      <c r="H818" s="2">
        <v>4830</v>
      </c>
      <c r="I818" s="2">
        <v>1742</v>
      </c>
    </row>
    <row r="819" spans="1:9" hidden="1" x14ac:dyDescent="0.3">
      <c r="A819" t="s">
        <v>14</v>
      </c>
      <c r="B819" s="1">
        <v>44501</v>
      </c>
      <c r="C819" s="2">
        <v>68269</v>
      </c>
      <c r="D819" s="2" t="s">
        <v>3</v>
      </c>
      <c r="E819" s="2">
        <v>65181</v>
      </c>
      <c r="F819" s="2" t="s">
        <v>3</v>
      </c>
      <c r="G819" s="2" t="s">
        <v>3</v>
      </c>
      <c r="H819" s="2">
        <v>3088</v>
      </c>
      <c r="I819" s="2">
        <v>2011</v>
      </c>
    </row>
    <row r="820" spans="1:9" hidden="1" x14ac:dyDescent="0.3">
      <c r="A820" t="s">
        <v>14</v>
      </c>
      <c r="B820" s="1">
        <v>44470</v>
      </c>
      <c r="C820" s="2">
        <v>67634</v>
      </c>
      <c r="D820" s="2" t="s">
        <v>3</v>
      </c>
      <c r="E820" s="2">
        <v>66557</v>
      </c>
      <c r="F820" s="2" t="s">
        <v>3</v>
      </c>
      <c r="G820" s="2" t="s">
        <v>3</v>
      </c>
      <c r="H820" s="2">
        <v>1077</v>
      </c>
      <c r="I820" s="2">
        <v>-261</v>
      </c>
    </row>
    <row r="821" spans="1:9" hidden="1" x14ac:dyDescent="0.3">
      <c r="A821" t="s">
        <v>14</v>
      </c>
      <c r="B821" s="1">
        <v>44440</v>
      </c>
      <c r="C821" s="2">
        <v>67115</v>
      </c>
      <c r="D821" s="2" t="s">
        <v>3</v>
      </c>
      <c r="E821" s="2">
        <v>65777</v>
      </c>
      <c r="F821" s="2" t="s">
        <v>3</v>
      </c>
      <c r="G821" s="2" t="s">
        <v>3</v>
      </c>
      <c r="H821" s="2">
        <v>1338</v>
      </c>
      <c r="I821" s="2">
        <v>274</v>
      </c>
    </row>
    <row r="822" spans="1:9" hidden="1" x14ac:dyDescent="0.3">
      <c r="A822" t="s">
        <v>14</v>
      </c>
      <c r="B822" s="1">
        <v>44409</v>
      </c>
      <c r="C822" s="2">
        <v>65328</v>
      </c>
      <c r="D822" s="2" t="s">
        <v>3</v>
      </c>
      <c r="E822" s="2">
        <v>64263</v>
      </c>
      <c r="F822" s="2" t="s">
        <v>3</v>
      </c>
      <c r="G822" s="2" t="s">
        <v>3</v>
      </c>
      <c r="H822" s="2">
        <v>1064</v>
      </c>
      <c r="I822" s="2">
        <v>30</v>
      </c>
    </row>
    <row r="823" spans="1:9" hidden="1" x14ac:dyDescent="0.3">
      <c r="A823" t="s">
        <v>14</v>
      </c>
      <c r="B823" s="1">
        <v>44378</v>
      </c>
      <c r="C823" s="2">
        <v>68654</v>
      </c>
      <c r="D823" s="2" t="s">
        <v>3</v>
      </c>
      <c r="E823" s="2">
        <v>67620</v>
      </c>
      <c r="F823" s="2" t="s">
        <v>3</v>
      </c>
      <c r="G823" s="2" t="s">
        <v>3</v>
      </c>
      <c r="H823" s="2">
        <v>1034</v>
      </c>
      <c r="I823" s="2">
        <v>-419</v>
      </c>
    </row>
    <row r="824" spans="1:9" hidden="1" x14ac:dyDescent="0.3">
      <c r="A824" t="s">
        <v>14</v>
      </c>
      <c r="B824" s="1">
        <v>44348</v>
      </c>
      <c r="C824" s="2">
        <v>72701</v>
      </c>
      <c r="D824" s="2" t="s">
        <v>3</v>
      </c>
      <c r="E824" s="2">
        <v>71248</v>
      </c>
      <c r="F824" s="2" t="s">
        <v>3</v>
      </c>
      <c r="G824" s="2" t="s">
        <v>3</v>
      </c>
      <c r="H824" s="2">
        <v>1454</v>
      </c>
      <c r="I824" s="2">
        <v>499</v>
      </c>
    </row>
    <row r="825" spans="1:9" hidden="1" x14ac:dyDescent="0.3">
      <c r="A825" t="s">
        <v>14</v>
      </c>
      <c r="B825" s="1">
        <v>44317</v>
      </c>
      <c r="C825" s="2">
        <v>63673</v>
      </c>
      <c r="D825" s="2" t="s">
        <v>3</v>
      </c>
      <c r="E825" s="2">
        <v>62719</v>
      </c>
      <c r="F825" s="2" t="s">
        <v>3</v>
      </c>
      <c r="G825" s="2" t="s">
        <v>3</v>
      </c>
      <c r="H825" s="2">
        <v>954</v>
      </c>
      <c r="I825" s="2">
        <v>-152</v>
      </c>
    </row>
    <row r="826" spans="1:9" hidden="1" x14ac:dyDescent="0.3">
      <c r="A826" t="s">
        <v>14</v>
      </c>
      <c r="B826" s="1">
        <v>44287</v>
      </c>
      <c r="C826" s="2">
        <v>65018</v>
      </c>
      <c r="D826" s="2" t="s">
        <v>3</v>
      </c>
      <c r="E826" s="2">
        <v>63912</v>
      </c>
      <c r="F826" s="2" t="s">
        <v>3</v>
      </c>
      <c r="G826" s="2" t="s">
        <v>3</v>
      </c>
      <c r="H826" s="2">
        <v>1106</v>
      </c>
      <c r="I826" s="2">
        <v>151</v>
      </c>
    </row>
    <row r="827" spans="1:9" hidden="1" x14ac:dyDescent="0.3">
      <c r="A827" t="s">
        <v>14</v>
      </c>
      <c r="B827" s="1">
        <v>44256</v>
      </c>
      <c r="C827" s="2">
        <v>65825</v>
      </c>
      <c r="D827" s="2" t="s">
        <v>3</v>
      </c>
      <c r="E827" s="2">
        <v>64870</v>
      </c>
      <c r="F827" s="2" t="s">
        <v>3</v>
      </c>
      <c r="G827" s="2" t="s">
        <v>3</v>
      </c>
      <c r="H827" s="2">
        <v>955</v>
      </c>
      <c r="I827" s="2">
        <v>-1088</v>
      </c>
    </row>
    <row r="828" spans="1:9" hidden="1" x14ac:dyDescent="0.3">
      <c r="A828" t="s">
        <v>14</v>
      </c>
      <c r="B828" s="1">
        <v>44228</v>
      </c>
      <c r="C828" s="2">
        <v>66147</v>
      </c>
      <c r="D828" s="2" t="s">
        <v>3</v>
      </c>
      <c r="E828" s="2">
        <v>64104</v>
      </c>
      <c r="F828" s="2" t="s">
        <v>3</v>
      </c>
      <c r="G828" s="2" t="s">
        <v>3</v>
      </c>
      <c r="H828" s="2">
        <v>2043</v>
      </c>
      <c r="I828" s="2">
        <v>-370</v>
      </c>
    </row>
    <row r="829" spans="1:9" hidden="1" x14ac:dyDescent="0.3">
      <c r="A829" t="s">
        <v>14</v>
      </c>
      <c r="B829" s="1">
        <v>44197</v>
      </c>
      <c r="C829" s="2">
        <v>69773</v>
      </c>
      <c r="D829" s="2" t="s">
        <v>3</v>
      </c>
      <c r="E829" s="2">
        <v>67359</v>
      </c>
      <c r="F829" s="2" t="s">
        <v>3</v>
      </c>
      <c r="G829" s="2" t="s">
        <v>3</v>
      </c>
      <c r="H829" s="2">
        <v>2414</v>
      </c>
      <c r="I829" s="2">
        <v>556</v>
      </c>
    </row>
    <row r="830" spans="1:9" hidden="1" x14ac:dyDescent="0.3">
      <c r="A830" t="s">
        <v>14</v>
      </c>
      <c r="B830" s="1">
        <v>44166</v>
      </c>
      <c r="C830" s="2">
        <v>69672</v>
      </c>
      <c r="D830" s="2" t="s">
        <v>3</v>
      </c>
      <c r="E830" s="2">
        <v>67814</v>
      </c>
      <c r="F830" s="2" t="s">
        <v>3</v>
      </c>
      <c r="G830" s="2" t="s">
        <v>3</v>
      </c>
      <c r="H830" s="2">
        <v>1858</v>
      </c>
      <c r="I830" s="2">
        <v>-360</v>
      </c>
    </row>
    <row r="831" spans="1:9" hidden="1" x14ac:dyDescent="0.3">
      <c r="A831" t="s">
        <v>14</v>
      </c>
      <c r="B831" s="1">
        <v>44136</v>
      </c>
      <c r="C831" s="2">
        <v>71729</v>
      </c>
      <c r="D831" s="2" t="s">
        <v>3</v>
      </c>
      <c r="E831" s="2">
        <v>69512</v>
      </c>
      <c r="F831" s="2" t="s">
        <v>3</v>
      </c>
      <c r="G831" s="2" t="s">
        <v>3</v>
      </c>
      <c r="H831" s="2">
        <v>2217</v>
      </c>
      <c r="I831" s="2">
        <v>-30</v>
      </c>
    </row>
    <row r="832" spans="1:9" hidden="1" x14ac:dyDescent="0.3">
      <c r="A832" t="s">
        <v>14</v>
      </c>
      <c r="B832" s="1">
        <v>44105</v>
      </c>
      <c r="C832" s="2">
        <v>69661</v>
      </c>
      <c r="D832" s="2" t="s">
        <v>3</v>
      </c>
      <c r="E832" s="2">
        <v>67413</v>
      </c>
      <c r="F832" s="2" t="s">
        <v>3</v>
      </c>
      <c r="G832" s="2" t="s">
        <v>3</v>
      </c>
      <c r="H832" s="2">
        <v>2247</v>
      </c>
      <c r="I832" s="2">
        <v>560</v>
      </c>
    </row>
    <row r="833" spans="1:9" hidden="1" x14ac:dyDescent="0.3">
      <c r="A833" t="s">
        <v>14</v>
      </c>
      <c r="B833" s="1">
        <v>44075</v>
      </c>
      <c r="C833" s="2">
        <v>69203</v>
      </c>
      <c r="D833" s="2" t="s">
        <v>3</v>
      </c>
      <c r="E833" s="2">
        <v>67516</v>
      </c>
      <c r="F833" s="2" t="s">
        <v>3</v>
      </c>
      <c r="G833" s="2" t="s">
        <v>3</v>
      </c>
      <c r="H833" s="2">
        <v>1687</v>
      </c>
      <c r="I833" s="2">
        <v>217</v>
      </c>
    </row>
    <row r="834" spans="1:9" hidden="1" x14ac:dyDescent="0.3">
      <c r="A834" t="s">
        <v>14</v>
      </c>
      <c r="B834" s="1">
        <v>44044</v>
      </c>
      <c r="C834" s="2">
        <v>68537</v>
      </c>
      <c r="D834" s="2" t="s">
        <v>3</v>
      </c>
      <c r="E834" s="2">
        <v>67067</v>
      </c>
      <c r="F834" s="2" t="s">
        <v>3</v>
      </c>
      <c r="G834" s="2" t="s">
        <v>3</v>
      </c>
      <c r="H834" s="2">
        <v>1470</v>
      </c>
      <c r="I834" s="2">
        <v>-1773</v>
      </c>
    </row>
    <row r="835" spans="1:9" hidden="1" x14ac:dyDescent="0.3">
      <c r="A835" t="s">
        <v>14</v>
      </c>
      <c r="B835" s="1">
        <v>44013</v>
      </c>
      <c r="C835" s="2">
        <v>71226</v>
      </c>
      <c r="D835" s="2" t="s">
        <v>3</v>
      </c>
      <c r="E835" s="2">
        <v>67983</v>
      </c>
      <c r="F835" s="2" t="s">
        <v>3</v>
      </c>
      <c r="G835" s="2" t="s">
        <v>3</v>
      </c>
      <c r="H835" s="2">
        <v>3243</v>
      </c>
      <c r="I835" s="2">
        <v>1233</v>
      </c>
    </row>
    <row r="836" spans="1:9" hidden="1" x14ac:dyDescent="0.3">
      <c r="A836" t="s">
        <v>14</v>
      </c>
      <c r="B836" s="1">
        <v>43983</v>
      </c>
      <c r="C836" s="2">
        <v>69360</v>
      </c>
      <c r="D836" s="2" t="s">
        <v>3</v>
      </c>
      <c r="E836" s="2">
        <v>67351</v>
      </c>
      <c r="F836" s="2" t="s">
        <v>3</v>
      </c>
      <c r="G836" s="2" t="s">
        <v>3</v>
      </c>
      <c r="H836" s="2">
        <v>2010</v>
      </c>
      <c r="I836" s="2">
        <v>-103</v>
      </c>
    </row>
    <row r="837" spans="1:9" hidden="1" x14ac:dyDescent="0.3">
      <c r="A837" t="s">
        <v>14</v>
      </c>
      <c r="B837" s="1">
        <v>43952</v>
      </c>
      <c r="C837" s="2">
        <v>67863</v>
      </c>
      <c r="D837" s="2" t="s">
        <v>3</v>
      </c>
      <c r="E837" s="2">
        <v>65750</v>
      </c>
      <c r="F837" s="2" t="s">
        <v>3</v>
      </c>
      <c r="G837" s="2" t="s">
        <v>3</v>
      </c>
      <c r="H837" s="2">
        <v>2112</v>
      </c>
      <c r="I837" s="2">
        <v>90</v>
      </c>
    </row>
    <row r="838" spans="1:9" hidden="1" x14ac:dyDescent="0.3">
      <c r="A838" t="s">
        <v>14</v>
      </c>
      <c r="B838" s="1">
        <v>43922</v>
      </c>
      <c r="C838" s="2">
        <v>66205</v>
      </c>
      <c r="D838" s="2" t="s">
        <v>3</v>
      </c>
      <c r="E838" s="2">
        <v>64182</v>
      </c>
      <c r="F838" s="2" t="s">
        <v>3</v>
      </c>
      <c r="G838" s="2" t="s">
        <v>3</v>
      </c>
      <c r="H838" s="2">
        <v>2022</v>
      </c>
      <c r="I838" s="2">
        <v>648</v>
      </c>
    </row>
    <row r="839" spans="1:9" hidden="1" x14ac:dyDescent="0.3">
      <c r="A839" t="s">
        <v>14</v>
      </c>
      <c r="B839" s="1">
        <v>43891</v>
      </c>
      <c r="C839" s="2">
        <v>69109</v>
      </c>
      <c r="D839" s="2" t="s">
        <v>3</v>
      </c>
      <c r="E839" s="2">
        <v>67735</v>
      </c>
      <c r="F839" s="2" t="s">
        <v>3</v>
      </c>
      <c r="G839" s="2" t="s">
        <v>3</v>
      </c>
      <c r="H839" s="2">
        <v>1374</v>
      </c>
      <c r="I839" s="2">
        <v>261</v>
      </c>
    </row>
    <row r="840" spans="1:9" hidden="1" x14ac:dyDescent="0.3">
      <c r="A840" t="s">
        <v>14</v>
      </c>
      <c r="B840" s="1">
        <v>43862</v>
      </c>
      <c r="C840" s="2">
        <v>70895</v>
      </c>
      <c r="D840" s="2" t="s">
        <v>3</v>
      </c>
      <c r="E840" s="2">
        <v>69781</v>
      </c>
      <c r="F840" s="2" t="s">
        <v>3</v>
      </c>
      <c r="G840" s="2" t="s">
        <v>3</v>
      </c>
      <c r="H840" s="2">
        <v>1113</v>
      </c>
      <c r="I840" s="2">
        <v>-147</v>
      </c>
    </row>
    <row r="841" spans="1:9" hidden="1" x14ac:dyDescent="0.3">
      <c r="A841" t="s">
        <v>14</v>
      </c>
      <c r="B841" s="1">
        <v>43831</v>
      </c>
      <c r="C841" s="2">
        <v>67713</v>
      </c>
      <c r="D841" s="2" t="s">
        <v>3</v>
      </c>
      <c r="E841" s="2">
        <v>66452</v>
      </c>
      <c r="F841" s="2" t="s">
        <v>3</v>
      </c>
      <c r="G841" s="2" t="s">
        <v>3</v>
      </c>
      <c r="H841" s="2">
        <v>1261</v>
      </c>
      <c r="I841" s="2">
        <v>-219</v>
      </c>
    </row>
    <row r="842" spans="1:9" x14ac:dyDescent="0.3">
      <c r="A842" t="s">
        <v>15</v>
      </c>
      <c r="B842" s="1">
        <v>45931</v>
      </c>
      <c r="C842" s="2">
        <v>193720</v>
      </c>
      <c r="D842" s="2">
        <v>-24704</v>
      </c>
      <c r="E842" s="2">
        <v>193235</v>
      </c>
      <c r="F842" s="2">
        <v>-24534</v>
      </c>
      <c r="G842" s="2">
        <v>689</v>
      </c>
      <c r="H842" s="2">
        <v>485</v>
      </c>
      <c r="I842" s="2">
        <v>-170</v>
      </c>
    </row>
    <row r="843" spans="1:9" x14ac:dyDescent="0.3">
      <c r="A843" t="s">
        <v>15</v>
      </c>
      <c r="B843" s="1">
        <v>45901</v>
      </c>
      <c r="C843" s="2">
        <v>215925</v>
      </c>
      <c r="D843" s="2">
        <v>373</v>
      </c>
      <c r="E843" s="2">
        <v>215270</v>
      </c>
      <c r="F843" s="2">
        <v>198</v>
      </c>
      <c r="G843" s="2">
        <v>1093</v>
      </c>
      <c r="H843" s="2">
        <v>655</v>
      </c>
      <c r="I843" s="2">
        <v>175</v>
      </c>
    </row>
    <row r="844" spans="1:9" x14ac:dyDescent="0.3">
      <c r="A844" t="s">
        <v>15</v>
      </c>
      <c r="B844" s="1">
        <v>45870</v>
      </c>
      <c r="C844" s="2">
        <v>214896</v>
      </c>
      <c r="D844" s="2">
        <v>7642</v>
      </c>
      <c r="E844" s="2">
        <v>214416</v>
      </c>
      <c r="F844" s="2">
        <v>7607</v>
      </c>
      <c r="G844" s="2">
        <v>730</v>
      </c>
      <c r="H844" s="2">
        <v>480</v>
      </c>
      <c r="I844" s="2">
        <v>35</v>
      </c>
    </row>
    <row r="845" spans="1:9" x14ac:dyDescent="0.3">
      <c r="A845" t="s">
        <v>15</v>
      </c>
      <c r="B845" s="1">
        <v>45839</v>
      </c>
      <c r="C845" s="2">
        <v>207957</v>
      </c>
      <c r="D845" s="2">
        <v>16277</v>
      </c>
      <c r="E845" s="2">
        <v>207512</v>
      </c>
      <c r="F845" s="2">
        <v>16266</v>
      </c>
      <c r="G845" s="2">
        <v>-684</v>
      </c>
      <c r="H845" s="2">
        <v>445</v>
      </c>
      <c r="I845" s="2">
        <v>11</v>
      </c>
    </row>
    <row r="846" spans="1:9" x14ac:dyDescent="0.3">
      <c r="A846" t="s">
        <v>15</v>
      </c>
      <c r="B846" s="1">
        <v>45809</v>
      </c>
      <c r="C846" s="2">
        <v>195124</v>
      </c>
      <c r="D846" s="2">
        <v>6908</v>
      </c>
      <c r="E846" s="2">
        <v>194690</v>
      </c>
      <c r="F846" s="2">
        <v>6862</v>
      </c>
      <c r="G846" s="2">
        <v>1575</v>
      </c>
      <c r="H846" s="2">
        <v>434</v>
      </c>
      <c r="I846" s="2">
        <v>46</v>
      </c>
    </row>
    <row r="847" spans="1:9" x14ac:dyDescent="0.3">
      <c r="A847" t="s">
        <v>15</v>
      </c>
      <c r="B847" s="1">
        <v>45778</v>
      </c>
      <c r="C847" s="2">
        <v>187321</v>
      </c>
      <c r="D847" s="2">
        <v>-7941</v>
      </c>
      <c r="E847" s="2">
        <v>186933</v>
      </c>
      <c r="F847" s="2">
        <v>-7788</v>
      </c>
      <c r="G847" s="2">
        <v>-427</v>
      </c>
      <c r="H847" s="2">
        <v>388</v>
      </c>
      <c r="I847" s="2">
        <v>-153</v>
      </c>
    </row>
    <row r="848" spans="1:9" x14ac:dyDescent="0.3">
      <c r="A848" t="s">
        <v>15</v>
      </c>
      <c r="B848" s="1">
        <v>45748</v>
      </c>
      <c r="C848" s="2">
        <v>195851</v>
      </c>
      <c r="D848" s="2">
        <v>-5302</v>
      </c>
      <c r="E848" s="2">
        <v>195310</v>
      </c>
      <c r="F848" s="2">
        <v>-5468</v>
      </c>
      <c r="G848" s="2">
        <v>786</v>
      </c>
      <c r="H848" s="2">
        <v>541</v>
      </c>
      <c r="I848" s="2">
        <v>166</v>
      </c>
    </row>
    <row r="849" spans="1:9" x14ac:dyDescent="0.3">
      <c r="A849" t="s">
        <v>15</v>
      </c>
      <c r="B849" s="1">
        <v>45717</v>
      </c>
      <c r="C849" s="2">
        <v>200099</v>
      </c>
      <c r="D849" s="2">
        <v>38078</v>
      </c>
      <c r="E849" s="2">
        <v>199724</v>
      </c>
      <c r="F849" s="2">
        <v>38170</v>
      </c>
      <c r="G849" s="2">
        <v>257</v>
      </c>
      <c r="H849" s="2">
        <v>375</v>
      </c>
      <c r="I849" s="2">
        <v>-92</v>
      </c>
    </row>
    <row r="850" spans="1:9" x14ac:dyDescent="0.3">
      <c r="A850" t="s">
        <v>15</v>
      </c>
      <c r="B850" s="1">
        <v>45689</v>
      </c>
      <c r="C850" s="2">
        <v>161804</v>
      </c>
      <c r="D850" s="2">
        <v>-12673</v>
      </c>
      <c r="E850" s="2">
        <v>161337</v>
      </c>
      <c r="F850" s="2">
        <v>-12718</v>
      </c>
      <c r="G850" s="2">
        <v>1585</v>
      </c>
      <c r="H850" s="2">
        <v>467</v>
      </c>
      <c r="I850" s="2">
        <v>45</v>
      </c>
    </row>
    <row r="851" spans="1:9" x14ac:dyDescent="0.3">
      <c r="A851" t="s">
        <v>15</v>
      </c>
      <c r="B851" s="1">
        <v>45658</v>
      </c>
      <c r="C851" s="2">
        <v>173140</v>
      </c>
      <c r="D851" s="2">
        <v>15612</v>
      </c>
      <c r="E851" s="2">
        <v>172718</v>
      </c>
      <c r="F851" s="2">
        <v>15689</v>
      </c>
      <c r="G851" s="2">
        <v>195</v>
      </c>
      <c r="H851" s="2">
        <v>422</v>
      </c>
      <c r="I851" s="2">
        <v>-77</v>
      </c>
    </row>
    <row r="852" spans="1:9" x14ac:dyDescent="0.3">
      <c r="A852" t="s">
        <v>15</v>
      </c>
      <c r="B852" s="1">
        <v>45627</v>
      </c>
      <c r="C852" s="2">
        <v>157604</v>
      </c>
      <c r="D852" s="2">
        <v>-3084</v>
      </c>
      <c r="E852" s="2">
        <v>157105</v>
      </c>
      <c r="F852" s="2">
        <v>-2863</v>
      </c>
      <c r="G852" s="2">
        <v>-1945</v>
      </c>
      <c r="H852" s="2">
        <v>499</v>
      </c>
      <c r="I852" s="2">
        <v>-221</v>
      </c>
    </row>
    <row r="853" spans="1:9" x14ac:dyDescent="0.3">
      <c r="A853" t="s">
        <v>15</v>
      </c>
      <c r="B853" s="1">
        <v>45597</v>
      </c>
      <c r="C853" s="2">
        <v>162529</v>
      </c>
      <c r="D853" s="2">
        <v>-6102</v>
      </c>
      <c r="E853" s="2">
        <v>161809</v>
      </c>
      <c r="F853" s="2">
        <v>-6134</v>
      </c>
      <c r="G853" s="2">
        <v>1275</v>
      </c>
      <c r="H853" s="2">
        <v>720</v>
      </c>
      <c r="I853" s="2">
        <v>32</v>
      </c>
    </row>
    <row r="854" spans="1:9" x14ac:dyDescent="0.3">
      <c r="A854" t="s">
        <v>15</v>
      </c>
      <c r="B854" s="1">
        <v>45566</v>
      </c>
      <c r="C854" s="2">
        <v>167081</v>
      </c>
      <c r="D854" s="2">
        <v>-4217</v>
      </c>
      <c r="E854" s="2">
        <v>166393</v>
      </c>
      <c r="F854" s="2">
        <v>-3986</v>
      </c>
      <c r="G854" s="2">
        <v>-2859</v>
      </c>
      <c r="H854" s="2">
        <v>688</v>
      </c>
      <c r="I854" s="2">
        <v>-231</v>
      </c>
    </row>
    <row r="855" spans="1:9" x14ac:dyDescent="0.3">
      <c r="A855" t="s">
        <v>15</v>
      </c>
      <c r="B855" s="1">
        <v>45536</v>
      </c>
      <c r="C855" s="2">
        <v>173496</v>
      </c>
      <c r="D855" s="2">
        <v>6660</v>
      </c>
      <c r="E855" s="2">
        <v>172577</v>
      </c>
      <c r="F855" s="2">
        <v>6465</v>
      </c>
      <c r="G855" s="2">
        <v>1097</v>
      </c>
      <c r="H855" s="2">
        <v>919</v>
      </c>
      <c r="I855" s="2">
        <v>195</v>
      </c>
    </row>
    <row r="856" spans="1:9" x14ac:dyDescent="0.3">
      <c r="A856" t="s">
        <v>15</v>
      </c>
      <c r="B856" s="1">
        <v>45505</v>
      </c>
      <c r="C856" s="2">
        <v>165983</v>
      </c>
      <c r="D856" s="2">
        <v>3732</v>
      </c>
      <c r="E856" s="2">
        <v>165259</v>
      </c>
      <c r="F856" s="2">
        <v>3609</v>
      </c>
      <c r="G856" s="2">
        <v>1994</v>
      </c>
      <c r="H856" s="2">
        <v>724</v>
      </c>
      <c r="I856" s="2">
        <v>123</v>
      </c>
    </row>
    <row r="857" spans="1:9" x14ac:dyDescent="0.3">
      <c r="A857" t="s">
        <v>15</v>
      </c>
      <c r="B857" s="1">
        <v>45474</v>
      </c>
      <c r="C857" s="2">
        <v>160314</v>
      </c>
      <c r="D857" s="2">
        <v>985</v>
      </c>
      <c r="E857" s="2">
        <v>159713</v>
      </c>
      <c r="F857" s="2">
        <v>910</v>
      </c>
      <c r="G857" s="2">
        <v>2367</v>
      </c>
      <c r="H857" s="2">
        <v>601</v>
      </c>
      <c r="I857" s="2">
        <v>75</v>
      </c>
    </row>
    <row r="858" spans="1:9" x14ac:dyDescent="0.3">
      <c r="A858" t="s">
        <v>15</v>
      </c>
      <c r="B858" s="1">
        <v>45444</v>
      </c>
      <c r="C858" s="2">
        <v>157074</v>
      </c>
      <c r="D858" s="2">
        <v>9334</v>
      </c>
      <c r="E858" s="2">
        <v>156548</v>
      </c>
      <c r="F858" s="2">
        <v>9246</v>
      </c>
      <c r="G858" s="2">
        <v>1671</v>
      </c>
      <c r="H858" s="2">
        <v>526</v>
      </c>
      <c r="I858" s="2">
        <v>88</v>
      </c>
    </row>
    <row r="859" spans="1:9" x14ac:dyDescent="0.3">
      <c r="A859" t="s">
        <v>15</v>
      </c>
      <c r="B859" s="1">
        <v>45413</v>
      </c>
      <c r="C859" s="2">
        <v>146069</v>
      </c>
      <c r="D859" s="2">
        <v>2973</v>
      </c>
      <c r="E859" s="2">
        <v>145631</v>
      </c>
      <c r="F859" s="2">
        <v>2993</v>
      </c>
      <c r="G859" s="2">
        <v>687</v>
      </c>
      <c r="H859" s="2">
        <v>438</v>
      </c>
      <c r="I859" s="2">
        <v>-20</v>
      </c>
    </row>
    <row r="860" spans="1:9" x14ac:dyDescent="0.3">
      <c r="A860" t="s">
        <v>15</v>
      </c>
      <c r="B860" s="1">
        <v>45383</v>
      </c>
      <c r="C860" s="2">
        <v>142339</v>
      </c>
      <c r="D860" s="2">
        <v>-7833</v>
      </c>
      <c r="E860" s="2">
        <v>141881</v>
      </c>
      <c r="F860" s="2">
        <v>-7788</v>
      </c>
      <c r="G860" s="2">
        <v>-2477</v>
      </c>
      <c r="H860" s="2">
        <v>458</v>
      </c>
      <c r="I860" s="2">
        <v>-45</v>
      </c>
    </row>
    <row r="861" spans="1:9" x14ac:dyDescent="0.3">
      <c r="A861" t="s">
        <v>15</v>
      </c>
      <c r="B861" s="1">
        <v>45352</v>
      </c>
      <c r="C861" s="2">
        <v>151867</v>
      </c>
      <c r="D861" s="2">
        <v>10827</v>
      </c>
      <c r="E861" s="2">
        <v>151364</v>
      </c>
      <c r="F861" s="2">
        <v>10840</v>
      </c>
      <c r="G861" s="2">
        <v>-339</v>
      </c>
      <c r="H861" s="2">
        <v>503</v>
      </c>
      <c r="I861" s="2">
        <v>-13</v>
      </c>
    </row>
    <row r="862" spans="1:9" x14ac:dyDescent="0.3">
      <c r="A862" t="s">
        <v>15</v>
      </c>
      <c r="B862" s="1">
        <v>45323</v>
      </c>
      <c r="C862" s="2">
        <v>141340</v>
      </c>
      <c r="D862" s="2">
        <v>-5033</v>
      </c>
      <c r="E862" s="2">
        <v>140824</v>
      </c>
      <c r="F862" s="2">
        <v>-5056</v>
      </c>
      <c r="G862" s="2">
        <v>-3744</v>
      </c>
      <c r="H862" s="2">
        <v>516</v>
      </c>
      <c r="I862" s="2">
        <v>23</v>
      </c>
    </row>
    <row r="863" spans="1:9" x14ac:dyDescent="0.3">
      <c r="A863" t="s">
        <v>15</v>
      </c>
      <c r="B863" s="1">
        <v>45292</v>
      </c>
      <c r="C863" s="2">
        <v>150124</v>
      </c>
      <c r="D863" s="2">
        <v>7246</v>
      </c>
      <c r="E863" s="2">
        <v>149631</v>
      </c>
      <c r="F863" s="2">
        <v>7827</v>
      </c>
      <c r="G863" s="2">
        <v>3709</v>
      </c>
      <c r="H863" s="2">
        <v>493</v>
      </c>
      <c r="I863" s="2">
        <v>-581</v>
      </c>
    </row>
    <row r="864" spans="1:9" x14ac:dyDescent="0.3">
      <c r="A864" t="s">
        <v>15</v>
      </c>
      <c r="B864" s="1">
        <v>45261</v>
      </c>
      <c r="C864" s="2">
        <v>139260</v>
      </c>
      <c r="D864" s="2">
        <v>6778</v>
      </c>
      <c r="E864" s="2">
        <v>138186</v>
      </c>
      <c r="F864" s="2">
        <v>6593</v>
      </c>
      <c r="G864" s="2">
        <v>1526</v>
      </c>
      <c r="H864" s="2">
        <v>1074</v>
      </c>
      <c r="I864" s="2">
        <v>185</v>
      </c>
    </row>
    <row r="865" spans="1:9" x14ac:dyDescent="0.3">
      <c r="A865" t="s">
        <v>15</v>
      </c>
      <c r="B865" s="1">
        <v>45231</v>
      </c>
      <c r="C865" s="2">
        <v>113636</v>
      </c>
      <c r="D865" s="2">
        <v>-9677</v>
      </c>
      <c r="E865" s="2">
        <v>112747</v>
      </c>
      <c r="F865" s="2">
        <v>-10074</v>
      </c>
      <c r="G865" s="2">
        <v>2091</v>
      </c>
      <c r="H865" s="2">
        <v>889</v>
      </c>
      <c r="I865" s="2">
        <v>397</v>
      </c>
    </row>
    <row r="866" spans="1:9" x14ac:dyDescent="0.3">
      <c r="A866" t="s">
        <v>15</v>
      </c>
      <c r="B866" s="1">
        <v>45200</v>
      </c>
      <c r="C866" s="2">
        <v>121232</v>
      </c>
      <c r="D866" s="2">
        <v>763</v>
      </c>
      <c r="E866" s="2">
        <v>120740</v>
      </c>
      <c r="F866" s="2">
        <v>641</v>
      </c>
      <c r="G866" s="2">
        <v>-1056</v>
      </c>
      <c r="H866" s="2">
        <v>492</v>
      </c>
      <c r="I866" s="2">
        <v>122</v>
      </c>
    </row>
    <row r="867" spans="1:9" x14ac:dyDescent="0.3">
      <c r="A867" t="s">
        <v>15</v>
      </c>
      <c r="B867" s="1">
        <v>45170</v>
      </c>
      <c r="C867" s="2">
        <v>121583</v>
      </c>
      <c r="D867" s="2">
        <v>-3033</v>
      </c>
      <c r="E867" s="2">
        <v>121213</v>
      </c>
      <c r="F867" s="2">
        <v>-3071</v>
      </c>
      <c r="G867" s="2">
        <v>-1728</v>
      </c>
      <c r="H867" s="2">
        <v>370</v>
      </c>
      <c r="I867" s="2">
        <v>38</v>
      </c>
    </row>
    <row r="868" spans="1:9" x14ac:dyDescent="0.3">
      <c r="A868" t="s">
        <v>15</v>
      </c>
      <c r="B868" s="1">
        <v>45139</v>
      </c>
      <c r="C868" s="2">
        <v>126331</v>
      </c>
      <c r="D868" s="2">
        <v>-705</v>
      </c>
      <c r="E868" s="2">
        <v>125999</v>
      </c>
      <c r="F868" s="2">
        <v>-663</v>
      </c>
      <c r="G868" s="2">
        <v>-354</v>
      </c>
      <c r="H868" s="2">
        <v>332</v>
      </c>
      <c r="I868" s="2">
        <v>-42</v>
      </c>
    </row>
    <row r="869" spans="1:9" x14ac:dyDescent="0.3">
      <c r="A869" t="s">
        <v>15</v>
      </c>
      <c r="B869" s="1">
        <v>45108</v>
      </c>
      <c r="C869" s="2">
        <v>127469</v>
      </c>
      <c r="D869" s="2">
        <v>1371</v>
      </c>
      <c r="E869" s="2">
        <v>127095</v>
      </c>
      <c r="F869" s="2">
        <v>1325</v>
      </c>
      <c r="G869" s="2">
        <v>-395</v>
      </c>
      <c r="H869" s="2">
        <v>374</v>
      </c>
      <c r="I869" s="2">
        <v>46</v>
      </c>
    </row>
    <row r="870" spans="1:9" x14ac:dyDescent="0.3">
      <c r="A870" t="s">
        <v>15</v>
      </c>
      <c r="B870" s="1">
        <v>45078</v>
      </c>
      <c r="C870" s="2">
        <v>126405</v>
      </c>
      <c r="D870" s="2">
        <v>4961</v>
      </c>
      <c r="E870" s="2">
        <v>126077</v>
      </c>
      <c r="F870" s="2">
        <v>4642</v>
      </c>
      <c r="G870" s="2">
        <v>-320</v>
      </c>
      <c r="H870" s="2">
        <v>328</v>
      </c>
      <c r="I870" s="2">
        <v>319</v>
      </c>
    </row>
    <row r="871" spans="1:9" x14ac:dyDescent="0.3">
      <c r="A871" t="s">
        <v>15</v>
      </c>
      <c r="B871" s="1">
        <v>45047</v>
      </c>
      <c r="C871" s="2">
        <v>121962</v>
      </c>
      <c r="D871" s="2">
        <v>-283</v>
      </c>
      <c r="E871" s="2">
        <v>121953</v>
      </c>
      <c r="F871" s="2">
        <v>-282</v>
      </c>
      <c r="G871" s="2">
        <v>-531</v>
      </c>
      <c r="H871" s="2">
        <v>9</v>
      </c>
      <c r="I871" s="2">
        <v>-1</v>
      </c>
    </row>
    <row r="872" spans="1:9" x14ac:dyDescent="0.3">
      <c r="A872" t="s">
        <v>15</v>
      </c>
      <c r="B872" s="1">
        <v>45017</v>
      </c>
      <c r="C872" s="2">
        <v>122802</v>
      </c>
      <c r="D872" s="2">
        <v>3045</v>
      </c>
      <c r="E872" s="2">
        <v>122792</v>
      </c>
      <c r="F872" s="2">
        <v>3049</v>
      </c>
      <c r="G872" s="2">
        <v>715</v>
      </c>
      <c r="H872" s="2">
        <v>10</v>
      </c>
      <c r="I872" s="2">
        <v>-4</v>
      </c>
    </row>
    <row r="873" spans="1:9" x14ac:dyDescent="0.3">
      <c r="A873" t="s">
        <v>15</v>
      </c>
      <c r="B873" s="1">
        <v>44986</v>
      </c>
      <c r="C873" s="2">
        <v>119132</v>
      </c>
      <c r="D873" s="2">
        <v>1829</v>
      </c>
      <c r="E873" s="2">
        <v>119118</v>
      </c>
      <c r="F873" s="2">
        <v>1825</v>
      </c>
      <c r="G873" s="2">
        <v>724</v>
      </c>
      <c r="H873" s="2">
        <v>14</v>
      </c>
      <c r="I873" s="2">
        <v>4</v>
      </c>
    </row>
    <row r="874" spans="1:9" x14ac:dyDescent="0.3">
      <c r="A874" t="s">
        <v>15</v>
      </c>
      <c r="B874" s="1">
        <v>44958</v>
      </c>
      <c r="C874" s="2">
        <v>116597</v>
      </c>
      <c r="D874" s="2">
        <v>13205</v>
      </c>
      <c r="E874" s="2">
        <v>116587</v>
      </c>
      <c r="F874" s="2">
        <v>13293</v>
      </c>
      <c r="G874" s="2">
        <v>-1468</v>
      </c>
      <c r="H874" s="2">
        <v>10</v>
      </c>
      <c r="I874" s="2">
        <v>-88</v>
      </c>
    </row>
    <row r="875" spans="1:9" hidden="1" x14ac:dyDescent="0.3">
      <c r="A875" t="s">
        <v>15</v>
      </c>
      <c r="B875" s="1">
        <v>44927</v>
      </c>
      <c r="C875" s="2">
        <v>104440</v>
      </c>
      <c r="D875" s="2" t="s">
        <v>3</v>
      </c>
      <c r="E875" s="2">
        <v>104342</v>
      </c>
      <c r="F875" s="2" t="s">
        <v>3</v>
      </c>
      <c r="G875" s="2" t="s">
        <v>3</v>
      </c>
      <c r="H875" s="2">
        <v>98</v>
      </c>
      <c r="I875" s="2">
        <v>90</v>
      </c>
    </row>
    <row r="876" spans="1:9" hidden="1" x14ac:dyDescent="0.3">
      <c r="A876" t="s">
        <v>15</v>
      </c>
      <c r="B876" s="1">
        <v>44896</v>
      </c>
      <c r="C876" s="2">
        <v>91958</v>
      </c>
      <c r="D876" s="2" t="s">
        <v>3</v>
      </c>
      <c r="E876" s="2">
        <v>91950</v>
      </c>
      <c r="F876" s="2" t="s">
        <v>3</v>
      </c>
      <c r="G876" s="2" t="s">
        <v>3</v>
      </c>
      <c r="H876" s="2">
        <v>8</v>
      </c>
      <c r="I876" s="2">
        <v>-18</v>
      </c>
    </row>
    <row r="877" spans="1:9" hidden="1" x14ac:dyDescent="0.3">
      <c r="A877" t="s">
        <v>15</v>
      </c>
      <c r="B877" s="1">
        <v>44866</v>
      </c>
      <c r="C877" s="2">
        <v>97723</v>
      </c>
      <c r="D877" s="2" t="s">
        <v>3</v>
      </c>
      <c r="E877" s="2">
        <v>97697</v>
      </c>
      <c r="F877" s="2" t="s">
        <v>3</v>
      </c>
      <c r="G877" s="2" t="s">
        <v>3</v>
      </c>
      <c r="H877" s="2">
        <v>26</v>
      </c>
      <c r="I877" s="2">
        <v>-18</v>
      </c>
    </row>
    <row r="878" spans="1:9" hidden="1" x14ac:dyDescent="0.3">
      <c r="A878" t="s">
        <v>15</v>
      </c>
      <c r="B878" s="1">
        <v>44835</v>
      </c>
      <c r="C878" s="2">
        <v>95652</v>
      </c>
      <c r="D878" s="2" t="s">
        <v>3</v>
      </c>
      <c r="E878" s="2">
        <v>95608</v>
      </c>
      <c r="F878" s="2" t="s">
        <v>3</v>
      </c>
      <c r="G878" s="2" t="s">
        <v>3</v>
      </c>
      <c r="H878" s="2">
        <v>44</v>
      </c>
      <c r="I878" s="2">
        <v>-28</v>
      </c>
    </row>
    <row r="879" spans="1:9" hidden="1" x14ac:dyDescent="0.3">
      <c r="A879" t="s">
        <v>15</v>
      </c>
      <c r="B879" s="1">
        <v>44805</v>
      </c>
      <c r="C879" s="2">
        <v>99607</v>
      </c>
      <c r="D879" s="2" t="s">
        <v>3</v>
      </c>
      <c r="E879" s="2">
        <v>99535</v>
      </c>
      <c r="F879" s="2" t="s">
        <v>3</v>
      </c>
      <c r="G879" s="2" t="s">
        <v>3</v>
      </c>
      <c r="H879" s="2">
        <v>72</v>
      </c>
      <c r="I879" s="2">
        <v>-60</v>
      </c>
    </row>
    <row r="880" spans="1:9" hidden="1" x14ac:dyDescent="0.3">
      <c r="A880" t="s">
        <v>15</v>
      </c>
      <c r="B880" s="1">
        <v>44774</v>
      </c>
      <c r="C880" s="2">
        <v>111107</v>
      </c>
      <c r="D880" s="2" t="s">
        <v>3</v>
      </c>
      <c r="E880" s="2">
        <v>110975</v>
      </c>
      <c r="F880" s="2" t="s">
        <v>3</v>
      </c>
      <c r="G880" s="2" t="s">
        <v>3</v>
      </c>
      <c r="H880" s="2">
        <v>132</v>
      </c>
      <c r="I880" s="2">
        <v>0</v>
      </c>
    </row>
    <row r="881" spans="1:9" hidden="1" x14ac:dyDescent="0.3">
      <c r="A881" t="s">
        <v>15</v>
      </c>
      <c r="B881" s="1">
        <v>44743</v>
      </c>
      <c r="C881" s="2">
        <v>112523</v>
      </c>
      <c r="D881" s="2" t="s">
        <v>3</v>
      </c>
      <c r="E881" s="2">
        <v>112391</v>
      </c>
      <c r="F881" s="2" t="s">
        <v>3</v>
      </c>
      <c r="G881" s="2" t="s">
        <v>3</v>
      </c>
      <c r="H881" s="2">
        <v>132</v>
      </c>
      <c r="I881" s="2">
        <v>-2</v>
      </c>
    </row>
    <row r="882" spans="1:9" hidden="1" x14ac:dyDescent="0.3">
      <c r="A882" t="s">
        <v>15</v>
      </c>
      <c r="B882" s="1">
        <v>44713</v>
      </c>
      <c r="C882" s="2">
        <v>112919</v>
      </c>
      <c r="D882" s="2" t="s">
        <v>3</v>
      </c>
      <c r="E882" s="2">
        <v>112785</v>
      </c>
      <c r="F882" s="2" t="s">
        <v>3</v>
      </c>
      <c r="G882" s="2" t="s">
        <v>3</v>
      </c>
      <c r="H882" s="2">
        <v>134</v>
      </c>
      <c r="I882" s="2">
        <v>-312</v>
      </c>
    </row>
    <row r="883" spans="1:9" hidden="1" x14ac:dyDescent="0.3">
      <c r="A883" t="s">
        <v>15</v>
      </c>
      <c r="B883" s="1">
        <v>44682</v>
      </c>
      <c r="C883" s="2">
        <v>109023</v>
      </c>
      <c r="D883" s="2" t="s">
        <v>3</v>
      </c>
      <c r="E883" s="2">
        <v>108577</v>
      </c>
      <c r="F883" s="2" t="s">
        <v>3</v>
      </c>
      <c r="G883" s="2" t="s">
        <v>3</v>
      </c>
      <c r="H883" s="2">
        <v>446</v>
      </c>
      <c r="I883" s="2">
        <v>-24</v>
      </c>
    </row>
    <row r="884" spans="1:9" hidden="1" x14ac:dyDescent="0.3">
      <c r="A884" t="s">
        <v>15</v>
      </c>
      <c r="B884" s="1">
        <v>44652</v>
      </c>
      <c r="C884" s="2">
        <v>115616</v>
      </c>
      <c r="D884" s="2" t="s">
        <v>3</v>
      </c>
      <c r="E884" s="2">
        <v>115146</v>
      </c>
      <c r="F884" s="2" t="s">
        <v>3</v>
      </c>
      <c r="G884" s="2" t="s">
        <v>3</v>
      </c>
      <c r="H884" s="2">
        <v>470</v>
      </c>
      <c r="I884" s="2">
        <v>-94</v>
      </c>
    </row>
    <row r="885" spans="1:9" hidden="1" x14ac:dyDescent="0.3">
      <c r="A885" t="s">
        <v>15</v>
      </c>
      <c r="B885" s="1">
        <v>44621</v>
      </c>
      <c r="C885" s="2">
        <v>116749</v>
      </c>
      <c r="D885" s="2" t="s">
        <v>3</v>
      </c>
      <c r="E885" s="2">
        <v>116185</v>
      </c>
      <c r="F885" s="2" t="s">
        <v>3</v>
      </c>
      <c r="G885" s="2" t="s">
        <v>3</v>
      </c>
      <c r="H885" s="2">
        <v>564</v>
      </c>
      <c r="I885" s="2">
        <v>-300</v>
      </c>
    </row>
    <row r="886" spans="1:9" hidden="1" x14ac:dyDescent="0.3">
      <c r="A886" t="s">
        <v>15</v>
      </c>
      <c r="B886" s="1">
        <v>44593</v>
      </c>
      <c r="C886" s="2">
        <v>120147</v>
      </c>
      <c r="D886" s="2" t="s">
        <v>3</v>
      </c>
      <c r="E886" s="2">
        <v>119283</v>
      </c>
      <c r="F886" s="2" t="s">
        <v>3</v>
      </c>
      <c r="G886" s="2" t="s">
        <v>3</v>
      </c>
      <c r="H886" s="2">
        <v>864</v>
      </c>
      <c r="I886" s="2">
        <v>184</v>
      </c>
    </row>
    <row r="887" spans="1:9" hidden="1" x14ac:dyDescent="0.3">
      <c r="A887" t="s">
        <v>15</v>
      </c>
      <c r="B887" s="1">
        <v>44562</v>
      </c>
      <c r="C887" s="2">
        <v>115762</v>
      </c>
      <c r="D887" s="2" t="s">
        <v>3</v>
      </c>
      <c r="E887" s="2">
        <v>115082</v>
      </c>
      <c r="F887" s="2" t="s">
        <v>3</v>
      </c>
      <c r="G887" s="2" t="s">
        <v>3</v>
      </c>
      <c r="H887" s="2">
        <v>680</v>
      </c>
      <c r="I887" s="2">
        <v>-6</v>
      </c>
    </row>
    <row r="888" spans="1:9" hidden="1" x14ac:dyDescent="0.3">
      <c r="A888" t="s">
        <v>15</v>
      </c>
      <c r="B888" s="1">
        <v>44531</v>
      </c>
      <c r="C888" s="2">
        <v>98330</v>
      </c>
      <c r="D888" s="2" t="s">
        <v>3</v>
      </c>
      <c r="E888" s="2">
        <v>97644</v>
      </c>
      <c r="F888" s="2" t="s">
        <v>3</v>
      </c>
      <c r="G888" s="2" t="s">
        <v>3</v>
      </c>
      <c r="H888" s="2">
        <v>686</v>
      </c>
      <c r="I888" s="2">
        <v>424</v>
      </c>
    </row>
    <row r="889" spans="1:9" hidden="1" x14ac:dyDescent="0.3">
      <c r="A889" t="s">
        <v>15</v>
      </c>
      <c r="B889" s="1">
        <v>44501</v>
      </c>
      <c r="C889" s="2">
        <v>100206</v>
      </c>
      <c r="D889" s="2" t="s">
        <v>3</v>
      </c>
      <c r="E889" s="2">
        <v>99944</v>
      </c>
      <c r="F889" s="2" t="s">
        <v>3</v>
      </c>
      <c r="G889" s="2" t="s">
        <v>3</v>
      </c>
      <c r="H889" s="2">
        <v>262</v>
      </c>
      <c r="I889" s="2">
        <v>-10</v>
      </c>
    </row>
    <row r="890" spans="1:9" hidden="1" x14ac:dyDescent="0.3">
      <c r="A890" t="s">
        <v>15</v>
      </c>
      <c r="B890" s="1">
        <v>44470</v>
      </c>
      <c r="C890" s="2">
        <v>105012</v>
      </c>
      <c r="D890" s="2" t="s">
        <v>3</v>
      </c>
      <c r="E890" s="2">
        <v>104740</v>
      </c>
      <c r="F890" s="2" t="s">
        <v>3</v>
      </c>
      <c r="G890" s="2" t="s">
        <v>3</v>
      </c>
      <c r="H890" s="2">
        <v>272</v>
      </c>
      <c r="I890" s="2">
        <v>-1424</v>
      </c>
    </row>
    <row r="891" spans="1:9" hidden="1" x14ac:dyDescent="0.3">
      <c r="A891" t="s">
        <v>15</v>
      </c>
      <c r="B891" s="1">
        <v>44440</v>
      </c>
      <c r="C891" s="2">
        <v>120845</v>
      </c>
      <c r="D891" s="2" t="s">
        <v>3</v>
      </c>
      <c r="E891" s="2">
        <v>119149</v>
      </c>
      <c r="F891" s="2" t="s">
        <v>3</v>
      </c>
      <c r="G891" s="2" t="s">
        <v>3</v>
      </c>
      <c r="H891" s="2">
        <v>1696</v>
      </c>
      <c r="I891" s="2">
        <v>-24</v>
      </c>
    </row>
    <row r="892" spans="1:9" hidden="1" x14ac:dyDescent="0.3">
      <c r="A892" t="s">
        <v>15</v>
      </c>
      <c r="B892" s="1">
        <v>44409</v>
      </c>
      <c r="C892" s="2">
        <v>119932</v>
      </c>
      <c r="D892" s="2" t="s">
        <v>3</v>
      </c>
      <c r="E892" s="2">
        <v>118212</v>
      </c>
      <c r="F892" s="2" t="s">
        <v>3</v>
      </c>
      <c r="G892" s="2" t="s">
        <v>3</v>
      </c>
      <c r="H892" s="2">
        <v>1720</v>
      </c>
      <c r="I892" s="2">
        <v>588</v>
      </c>
    </row>
    <row r="893" spans="1:9" hidden="1" x14ac:dyDescent="0.3">
      <c r="A893" t="s">
        <v>15</v>
      </c>
      <c r="B893" s="1">
        <v>44378</v>
      </c>
      <c r="C893" s="2">
        <v>119065</v>
      </c>
      <c r="D893" s="2" t="s">
        <v>3</v>
      </c>
      <c r="E893" s="2">
        <v>117933</v>
      </c>
      <c r="F893" s="2" t="s">
        <v>3</v>
      </c>
      <c r="G893" s="2" t="s">
        <v>3</v>
      </c>
      <c r="H893" s="2">
        <v>1132</v>
      </c>
      <c r="I893" s="2">
        <v>124</v>
      </c>
    </row>
    <row r="894" spans="1:9" hidden="1" x14ac:dyDescent="0.3">
      <c r="A894" t="s">
        <v>15</v>
      </c>
      <c r="B894" s="1">
        <v>44348</v>
      </c>
      <c r="C894" s="2">
        <v>115840</v>
      </c>
      <c r="D894" s="2" t="s">
        <v>3</v>
      </c>
      <c r="E894" s="2">
        <v>114832</v>
      </c>
      <c r="F894" s="2" t="s">
        <v>3</v>
      </c>
      <c r="G894" s="2" t="s">
        <v>3</v>
      </c>
      <c r="H894" s="2">
        <v>1008</v>
      </c>
      <c r="I894" s="2">
        <v>-197</v>
      </c>
    </row>
    <row r="895" spans="1:9" hidden="1" x14ac:dyDescent="0.3">
      <c r="A895" t="s">
        <v>15</v>
      </c>
      <c r="B895" s="1">
        <v>44317</v>
      </c>
      <c r="C895" s="2">
        <v>113529</v>
      </c>
      <c r="D895" s="2" t="s">
        <v>3</v>
      </c>
      <c r="E895" s="2">
        <v>112324</v>
      </c>
      <c r="F895" s="2" t="s">
        <v>3</v>
      </c>
      <c r="G895" s="2" t="s">
        <v>3</v>
      </c>
      <c r="H895" s="2">
        <v>1205</v>
      </c>
      <c r="I895" s="2">
        <v>72</v>
      </c>
    </row>
    <row r="896" spans="1:9" hidden="1" x14ac:dyDescent="0.3">
      <c r="A896" t="s">
        <v>15</v>
      </c>
      <c r="B896" s="1">
        <v>44287</v>
      </c>
      <c r="C896" s="2">
        <v>109200</v>
      </c>
      <c r="D896" s="2" t="s">
        <v>3</v>
      </c>
      <c r="E896" s="2">
        <v>108067</v>
      </c>
      <c r="F896" s="2" t="s">
        <v>3</v>
      </c>
      <c r="G896" s="2" t="s">
        <v>3</v>
      </c>
      <c r="H896" s="2">
        <v>1133</v>
      </c>
      <c r="I896" s="2">
        <v>22</v>
      </c>
    </row>
    <row r="897" spans="1:9" hidden="1" x14ac:dyDescent="0.3">
      <c r="A897" t="s">
        <v>15</v>
      </c>
      <c r="B897" s="1">
        <v>44256</v>
      </c>
      <c r="C897" s="2">
        <v>94272</v>
      </c>
      <c r="D897" s="2" t="s">
        <v>3</v>
      </c>
      <c r="E897" s="2">
        <v>93161</v>
      </c>
      <c r="F897" s="2" t="s">
        <v>3</v>
      </c>
      <c r="G897" s="2" t="s">
        <v>3</v>
      </c>
      <c r="H897" s="2">
        <v>1111</v>
      </c>
      <c r="I897" s="2">
        <v>-39</v>
      </c>
    </row>
    <row r="898" spans="1:9" hidden="1" x14ac:dyDescent="0.3">
      <c r="A898" t="s">
        <v>15</v>
      </c>
      <c r="B898" s="1">
        <v>44228</v>
      </c>
      <c r="C898" s="2">
        <v>97543</v>
      </c>
      <c r="D898" s="2" t="s">
        <v>3</v>
      </c>
      <c r="E898" s="2">
        <v>96393</v>
      </c>
      <c r="F898" s="2" t="s">
        <v>3</v>
      </c>
      <c r="G898" s="2" t="s">
        <v>3</v>
      </c>
      <c r="H898" s="2">
        <v>1150</v>
      </c>
      <c r="I898" s="2">
        <v>869</v>
      </c>
    </row>
    <row r="899" spans="1:9" hidden="1" x14ac:dyDescent="0.3">
      <c r="A899" t="s">
        <v>15</v>
      </c>
      <c r="B899" s="1">
        <v>44197</v>
      </c>
      <c r="C899" s="2">
        <v>91418</v>
      </c>
      <c r="D899" s="2" t="s">
        <v>3</v>
      </c>
      <c r="E899" s="2">
        <v>91137</v>
      </c>
      <c r="F899" s="2" t="s">
        <v>3</v>
      </c>
      <c r="G899" s="2" t="s">
        <v>3</v>
      </c>
      <c r="H899" s="2">
        <v>281</v>
      </c>
      <c r="I899" s="2">
        <v>17</v>
      </c>
    </row>
    <row r="900" spans="1:9" hidden="1" x14ac:dyDescent="0.3">
      <c r="A900" t="s">
        <v>15</v>
      </c>
      <c r="B900" s="1">
        <v>44166</v>
      </c>
      <c r="C900" s="2">
        <v>87538</v>
      </c>
      <c r="D900" s="2" t="s">
        <v>3</v>
      </c>
      <c r="E900" s="2">
        <v>87274</v>
      </c>
      <c r="F900" s="2" t="s">
        <v>3</v>
      </c>
      <c r="G900" s="2" t="s">
        <v>3</v>
      </c>
      <c r="H900" s="2">
        <v>264</v>
      </c>
      <c r="I900" s="2">
        <v>35</v>
      </c>
    </row>
    <row r="901" spans="1:9" hidden="1" x14ac:dyDescent="0.3">
      <c r="A901" t="s">
        <v>15</v>
      </c>
      <c r="B901" s="1">
        <v>44136</v>
      </c>
      <c r="C901" s="2">
        <v>88988</v>
      </c>
      <c r="D901" s="2" t="s">
        <v>3</v>
      </c>
      <c r="E901" s="2">
        <v>88759</v>
      </c>
      <c r="F901" s="2" t="s">
        <v>3</v>
      </c>
      <c r="G901" s="2" t="s">
        <v>3</v>
      </c>
      <c r="H901" s="2">
        <v>229</v>
      </c>
      <c r="I901" s="2">
        <v>162</v>
      </c>
    </row>
    <row r="902" spans="1:9" hidden="1" x14ac:dyDescent="0.3">
      <c r="A902" t="s">
        <v>15</v>
      </c>
      <c r="B902" s="1">
        <v>44105</v>
      </c>
      <c r="C902" s="2">
        <v>82946</v>
      </c>
      <c r="D902" s="2" t="s">
        <v>3</v>
      </c>
      <c r="E902" s="2">
        <v>82879</v>
      </c>
      <c r="F902" s="2" t="s">
        <v>3</v>
      </c>
      <c r="G902" s="2" t="s">
        <v>3</v>
      </c>
      <c r="H902" s="2">
        <v>67</v>
      </c>
      <c r="I902" s="2">
        <v>56</v>
      </c>
    </row>
    <row r="903" spans="1:9" hidden="1" x14ac:dyDescent="0.3">
      <c r="A903" t="s">
        <v>15</v>
      </c>
      <c r="B903" s="1">
        <v>44075</v>
      </c>
      <c r="C903" s="2">
        <v>90523</v>
      </c>
      <c r="D903" s="2" t="s">
        <v>3</v>
      </c>
      <c r="E903" s="2">
        <v>90512</v>
      </c>
      <c r="F903" s="2" t="s">
        <v>3</v>
      </c>
      <c r="G903" s="2" t="s">
        <v>3</v>
      </c>
      <c r="H903" s="2">
        <v>11</v>
      </c>
      <c r="I903" s="2">
        <v>-89</v>
      </c>
    </row>
    <row r="904" spans="1:9" hidden="1" x14ac:dyDescent="0.3">
      <c r="A904" t="s">
        <v>15</v>
      </c>
      <c r="B904" s="1">
        <v>44044</v>
      </c>
      <c r="C904" s="2">
        <v>90634</v>
      </c>
      <c r="D904" s="2" t="s">
        <v>3</v>
      </c>
      <c r="E904" s="2">
        <v>90534</v>
      </c>
      <c r="F904" s="2" t="s">
        <v>3</v>
      </c>
      <c r="G904" s="2" t="s">
        <v>3</v>
      </c>
      <c r="H904" s="2">
        <v>100</v>
      </c>
      <c r="I904" s="2">
        <v>25</v>
      </c>
    </row>
    <row r="905" spans="1:9" hidden="1" x14ac:dyDescent="0.3">
      <c r="A905" t="s">
        <v>15</v>
      </c>
      <c r="B905" s="1">
        <v>44013</v>
      </c>
      <c r="C905" s="2">
        <v>89856</v>
      </c>
      <c r="D905" s="2" t="s">
        <v>3</v>
      </c>
      <c r="E905" s="2">
        <v>89781</v>
      </c>
      <c r="F905" s="2" t="s">
        <v>3</v>
      </c>
      <c r="G905" s="2" t="s">
        <v>3</v>
      </c>
      <c r="H905" s="2">
        <v>75</v>
      </c>
      <c r="I905" s="2">
        <v>60</v>
      </c>
    </row>
    <row r="906" spans="1:9" hidden="1" x14ac:dyDescent="0.3">
      <c r="A906" t="s">
        <v>15</v>
      </c>
      <c r="B906" s="1">
        <v>43983</v>
      </c>
      <c r="C906" s="2">
        <v>88720</v>
      </c>
      <c r="D906" s="2" t="s">
        <v>3</v>
      </c>
      <c r="E906" s="2">
        <v>88705</v>
      </c>
      <c r="F906" s="2" t="s">
        <v>3</v>
      </c>
      <c r="G906" s="2" t="s">
        <v>3</v>
      </c>
      <c r="H906" s="2">
        <v>15</v>
      </c>
      <c r="I906" s="2">
        <v>-8</v>
      </c>
    </row>
    <row r="907" spans="1:9" hidden="1" x14ac:dyDescent="0.3">
      <c r="A907" t="s">
        <v>15</v>
      </c>
      <c r="B907" s="1">
        <v>43952</v>
      </c>
      <c r="C907" s="2">
        <v>87558</v>
      </c>
      <c r="D907" s="2" t="s">
        <v>3</v>
      </c>
      <c r="E907" s="2">
        <v>87535</v>
      </c>
      <c r="F907" s="2" t="s">
        <v>3</v>
      </c>
      <c r="G907" s="2" t="s">
        <v>3</v>
      </c>
      <c r="H907" s="2">
        <v>23</v>
      </c>
      <c r="I907" s="2">
        <v>6</v>
      </c>
    </row>
    <row r="908" spans="1:9" hidden="1" x14ac:dyDescent="0.3">
      <c r="A908" t="s">
        <v>15</v>
      </c>
      <c r="B908" s="1">
        <v>43922</v>
      </c>
      <c r="C908" s="2">
        <v>93217</v>
      </c>
      <c r="D908" s="2" t="s">
        <v>3</v>
      </c>
      <c r="E908" s="2">
        <v>93200</v>
      </c>
      <c r="F908" s="2" t="s">
        <v>3</v>
      </c>
      <c r="G908" s="2" t="s">
        <v>3</v>
      </c>
      <c r="H908" s="2">
        <v>17</v>
      </c>
      <c r="I908" s="2">
        <v>-78</v>
      </c>
    </row>
    <row r="909" spans="1:9" hidden="1" x14ac:dyDescent="0.3">
      <c r="A909" t="s">
        <v>15</v>
      </c>
      <c r="B909" s="1">
        <v>43891</v>
      </c>
      <c r="C909" s="2">
        <v>98020</v>
      </c>
      <c r="D909" s="2" t="s">
        <v>3</v>
      </c>
      <c r="E909" s="2">
        <v>97925</v>
      </c>
      <c r="F909" s="2" t="s">
        <v>3</v>
      </c>
      <c r="G909" s="2" t="s">
        <v>3</v>
      </c>
      <c r="H909" s="2">
        <v>95</v>
      </c>
      <c r="I909" s="2">
        <v>23</v>
      </c>
    </row>
    <row r="910" spans="1:9" hidden="1" x14ac:dyDescent="0.3">
      <c r="A910" t="s">
        <v>15</v>
      </c>
      <c r="B910" s="1">
        <v>43862</v>
      </c>
      <c r="C910" s="2">
        <v>103282</v>
      </c>
      <c r="D910" s="2" t="s">
        <v>3</v>
      </c>
      <c r="E910" s="2">
        <v>103210</v>
      </c>
      <c r="F910" s="2" t="s">
        <v>3</v>
      </c>
      <c r="G910" s="2" t="s">
        <v>3</v>
      </c>
      <c r="H910" s="2">
        <v>72</v>
      </c>
      <c r="I910" s="2">
        <v>-9</v>
      </c>
    </row>
    <row r="911" spans="1:9" hidden="1" x14ac:dyDescent="0.3">
      <c r="A911" t="s">
        <v>15</v>
      </c>
      <c r="B911" s="1">
        <v>43831</v>
      </c>
      <c r="C911" s="2">
        <v>97724</v>
      </c>
      <c r="D911" s="2" t="s">
        <v>3</v>
      </c>
      <c r="E911" s="2">
        <v>97643</v>
      </c>
      <c r="F911" s="2" t="s">
        <v>3</v>
      </c>
      <c r="G911" s="2" t="s">
        <v>3</v>
      </c>
      <c r="H911" s="2">
        <v>81</v>
      </c>
      <c r="I911" s="2">
        <v>-1</v>
      </c>
    </row>
    <row r="912" spans="1:9" x14ac:dyDescent="0.3">
      <c r="A912" t="s">
        <v>16</v>
      </c>
      <c r="B912" s="1">
        <v>45931</v>
      </c>
      <c r="C912" s="2">
        <v>2019</v>
      </c>
      <c r="D912" s="2">
        <v>7</v>
      </c>
      <c r="E912" s="2">
        <v>1625</v>
      </c>
      <c r="F912" s="2">
        <v>31</v>
      </c>
      <c r="G912" s="2">
        <v>-96</v>
      </c>
      <c r="H912" s="2">
        <v>394</v>
      </c>
      <c r="I912" s="2">
        <v>-25</v>
      </c>
    </row>
    <row r="913" spans="1:9" x14ac:dyDescent="0.3">
      <c r="A913" t="s">
        <v>16</v>
      </c>
      <c r="B913" s="1">
        <v>45901</v>
      </c>
      <c r="C913" s="2">
        <v>2041</v>
      </c>
      <c r="D913" s="2">
        <v>-69</v>
      </c>
      <c r="E913" s="2">
        <v>1622</v>
      </c>
      <c r="F913" s="2">
        <v>7</v>
      </c>
      <c r="G913" s="2">
        <v>-6</v>
      </c>
      <c r="H913" s="2">
        <v>418</v>
      </c>
      <c r="I913" s="2">
        <v>-76</v>
      </c>
    </row>
    <row r="914" spans="1:9" x14ac:dyDescent="0.3">
      <c r="A914" t="s">
        <v>16</v>
      </c>
      <c r="B914" s="1">
        <v>45870</v>
      </c>
      <c r="C914" s="2">
        <v>2116</v>
      </c>
      <c r="D914" s="2">
        <v>-64</v>
      </c>
      <c r="E914" s="2">
        <v>1622</v>
      </c>
      <c r="F914" s="2">
        <v>26</v>
      </c>
      <c r="G914" s="2">
        <v>-32</v>
      </c>
      <c r="H914" s="2">
        <v>494</v>
      </c>
      <c r="I914" s="2">
        <v>-90</v>
      </c>
    </row>
    <row r="915" spans="1:9" x14ac:dyDescent="0.3">
      <c r="A915" t="s">
        <v>16</v>
      </c>
      <c r="B915" s="1">
        <v>45839</v>
      </c>
      <c r="C915" s="2">
        <v>2171</v>
      </c>
      <c r="D915" s="2">
        <v>201</v>
      </c>
      <c r="E915" s="2">
        <v>1587</v>
      </c>
      <c r="F915" s="2">
        <v>139</v>
      </c>
      <c r="G915" s="2">
        <v>164</v>
      </c>
      <c r="H915" s="2">
        <v>584</v>
      </c>
      <c r="I915" s="2">
        <v>62</v>
      </c>
    </row>
    <row r="916" spans="1:9" x14ac:dyDescent="0.3">
      <c r="A916" t="s">
        <v>16</v>
      </c>
      <c r="B916" s="1">
        <v>45809</v>
      </c>
      <c r="C916" s="2">
        <v>1978</v>
      </c>
      <c r="D916" s="2">
        <v>-155</v>
      </c>
      <c r="E916" s="2">
        <v>1456</v>
      </c>
      <c r="F916" s="2">
        <v>-171</v>
      </c>
      <c r="G916" s="2">
        <v>-22</v>
      </c>
      <c r="H916" s="2">
        <v>522</v>
      </c>
      <c r="I916" s="2">
        <v>16</v>
      </c>
    </row>
    <row r="917" spans="1:9" x14ac:dyDescent="0.3">
      <c r="A917" t="s">
        <v>16</v>
      </c>
      <c r="B917" s="1">
        <v>45778</v>
      </c>
      <c r="C917" s="2">
        <v>2122</v>
      </c>
      <c r="D917" s="2">
        <v>43</v>
      </c>
      <c r="E917" s="2">
        <v>1616</v>
      </c>
      <c r="F917" s="2">
        <v>86</v>
      </c>
      <c r="G917" s="2">
        <v>46</v>
      </c>
      <c r="H917" s="2">
        <v>506</v>
      </c>
      <c r="I917" s="2">
        <v>-43</v>
      </c>
    </row>
    <row r="918" spans="1:9" x14ac:dyDescent="0.3">
      <c r="A918" t="s">
        <v>16</v>
      </c>
      <c r="B918" s="1">
        <v>45748</v>
      </c>
      <c r="C918" s="2">
        <v>2108</v>
      </c>
      <c r="D918" s="2">
        <v>89</v>
      </c>
      <c r="E918" s="2">
        <v>1560</v>
      </c>
      <c r="F918" s="2">
        <v>84</v>
      </c>
      <c r="G918" s="2">
        <v>-8</v>
      </c>
      <c r="H918" s="2">
        <v>549</v>
      </c>
      <c r="I918" s="2">
        <v>5</v>
      </c>
    </row>
    <row r="919" spans="1:9" x14ac:dyDescent="0.3">
      <c r="A919" t="s">
        <v>16</v>
      </c>
      <c r="B919" s="1">
        <v>45717</v>
      </c>
      <c r="C919" s="2">
        <v>2010</v>
      </c>
      <c r="D919" s="2">
        <v>61</v>
      </c>
      <c r="E919" s="2">
        <v>1467</v>
      </c>
      <c r="F919" s="2">
        <v>-52</v>
      </c>
      <c r="G919" s="2">
        <v>-34</v>
      </c>
      <c r="H919" s="2">
        <v>543</v>
      </c>
      <c r="I919" s="2">
        <v>113</v>
      </c>
    </row>
    <row r="920" spans="1:9" x14ac:dyDescent="0.3">
      <c r="A920" t="s">
        <v>16</v>
      </c>
      <c r="B920" s="1">
        <v>45689</v>
      </c>
      <c r="C920" s="2">
        <v>1935</v>
      </c>
      <c r="D920" s="2">
        <v>32</v>
      </c>
      <c r="E920" s="2">
        <v>1505</v>
      </c>
      <c r="F920" s="2">
        <v>55</v>
      </c>
      <c r="G920" s="2">
        <v>1</v>
      </c>
      <c r="H920" s="2">
        <v>431</v>
      </c>
      <c r="I920" s="2">
        <v>-23</v>
      </c>
    </row>
    <row r="921" spans="1:9" x14ac:dyDescent="0.3">
      <c r="A921" t="s">
        <v>16</v>
      </c>
      <c r="B921" s="1">
        <v>45658</v>
      </c>
      <c r="C921" s="2">
        <v>1897</v>
      </c>
      <c r="D921" s="2">
        <v>-24</v>
      </c>
      <c r="E921" s="2">
        <v>1443</v>
      </c>
      <c r="F921" s="2">
        <v>-39</v>
      </c>
      <c r="G921" s="2">
        <v>-3180</v>
      </c>
      <c r="H921" s="2">
        <v>454</v>
      </c>
      <c r="I921" s="2">
        <v>15</v>
      </c>
    </row>
    <row r="922" spans="1:9" x14ac:dyDescent="0.3">
      <c r="A922" t="s">
        <v>16</v>
      </c>
      <c r="B922" s="1">
        <v>45627</v>
      </c>
      <c r="C922" s="2">
        <v>5936</v>
      </c>
      <c r="D922" s="2">
        <v>-12</v>
      </c>
      <c r="E922" s="2">
        <v>5498</v>
      </c>
      <c r="F922" s="2">
        <v>179</v>
      </c>
      <c r="G922" s="2">
        <v>-93</v>
      </c>
      <c r="H922" s="2">
        <v>438</v>
      </c>
      <c r="I922" s="2">
        <v>-191</v>
      </c>
    </row>
    <row r="923" spans="1:9" x14ac:dyDescent="0.3">
      <c r="A923" t="s">
        <v>16</v>
      </c>
      <c r="B923" s="1">
        <v>45597</v>
      </c>
      <c r="C923" s="2">
        <v>6043</v>
      </c>
      <c r="D923" s="2">
        <v>-368</v>
      </c>
      <c r="E923" s="2">
        <v>5414</v>
      </c>
      <c r="F923" s="2">
        <v>-310</v>
      </c>
      <c r="G923" s="2">
        <v>28</v>
      </c>
      <c r="H923" s="2">
        <v>629</v>
      </c>
      <c r="I923" s="2">
        <v>-58</v>
      </c>
    </row>
    <row r="924" spans="1:9" x14ac:dyDescent="0.3">
      <c r="A924" t="s">
        <v>16</v>
      </c>
      <c r="B924" s="1">
        <v>45566</v>
      </c>
      <c r="C924" s="2">
        <v>6382</v>
      </c>
      <c r="D924" s="2">
        <v>72</v>
      </c>
      <c r="E924" s="2">
        <v>5695</v>
      </c>
      <c r="F924" s="2">
        <v>66</v>
      </c>
      <c r="G924" s="2">
        <v>-140</v>
      </c>
      <c r="H924" s="2">
        <v>687</v>
      </c>
      <c r="I924" s="2">
        <v>5</v>
      </c>
    </row>
    <row r="925" spans="1:9" x14ac:dyDescent="0.3">
      <c r="A925" t="s">
        <v>16</v>
      </c>
      <c r="B925" s="1">
        <v>45536</v>
      </c>
      <c r="C925" s="2">
        <v>6458</v>
      </c>
      <c r="D925" s="2">
        <v>257</v>
      </c>
      <c r="E925" s="2">
        <v>5777</v>
      </c>
      <c r="F925" s="2">
        <v>48</v>
      </c>
      <c r="G925" s="2">
        <v>40</v>
      </c>
      <c r="H925" s="2">
        <v>682</v>
      </c>
      <c r="I925" s="2">
        <v>208</v>
      </c>
    </row>
    <row r="926" spans="1:9" x14ac:dyDescent="0.3">
      <c r="A926" t="s">
        <v>16</v>
      </c>
      <c r="B926" s="1">
        <v>45505</v>
      </c>
      <c r="C926" s="2">
        <v>6156</v>
      </c>
      <c r="D926" s="2">
        <v>-95</v>
      </c>
      <c r="E926" s="2">
        <v>5683</v>
      </c>
      <c r="F926" s="2">
        <v>-108</v>
      </c>
      <c r="G926" s="2">
        <v>79</v>
      </c>
      <c r="H926" s="2">
        <v>473</v>
      </c>
      <c r="I926" s="2">
        <v>13</v>
      </c>
    </row>
    <row r="927" spans="1:9" x14ac:dyDescent="0.3">
      <c r="A927" t="s">
        <v>16</v>
      </c>
      <c r="B927" s="1">
        <v>45474</v>
      </c>
      <c r="C927" s="2">
        <v>6171</v>
      </c>
      <c r="D927" s="2">
        <v>-45</v>
      </c>
      <c r="E927" s="2">
        <v>5711</v>
      </c>
      <c r="F927" s="2">
        <v>-60</v>
      </c>
      <c r="G927" s="2">
        <v>85</v>
      </c>
      <c r="H927" s="2">
        <v>460</v>
      </c>
      <c r="I927" s="2">
        <v>16</v>
      </c>
    </row>
    <row r="928" spans="1:9" x14ac:dyDescent="0.3">
      <c r="A928" t="s">
        <v>16</v>
      </c>
      <c r="B928" s="1">
        <v>45444</v>
      </c>
      <c r="C928" s="2">
        <v>6135</v>
      </c>
      <c r="D928" s="2">
        <v>93</v>
      </c>
      <c r="E928" s="2">
        <v>5691</v>
      </c>
      <c r="F928" s="2">
        <v>110</v>
      </c>
      <c r="G928" s="2">
        <v>58</v>
      </c>
      <c r="H928" s="2">
        <v>445</v>
      </c>
      <c r="I928" s="2">
        <v>-17</v>
      </c>
    </row>
    <row r="929" spans="1:9" x14ac:dyDescent="0.3">
      <c r="A929" t="s">
        <v>16</v>
      </c>
      <c r="B929" s="1">
        <v>45413</v>
      </c>
      <c r="C929" s="2">
        <v>5986</v>
      </c>
      <c r="D929" s="2">
        <v>-59</v>
      </c>
      <c r="E929" s="2">
        <v>5525</v>
      </c>
      <c r="F929" s="2">
        <v>-16</v>
      </c>
      <c r="G929" s="2">
        <v>60</v>
      </c>
      <c r="H929" s="2">
        <v>462</v>
      </c>
      <c r="I929" s="2">
        <v>-43</v>
      </c>
    </row>
    <row r="930" spans="1:9" x14ac:dyDescent="0.3">
      <c r="A930" t="s">
        <v>16</v>
      </c>
      <c r="B930" s="1">
        <v>45383</v>
      </c>
      <c r="C930" s="2">
        <v>5996</v>
      </c>
      <c r="D930" s="2">
        <v>522</v>
      </c>
      <c r="E930" s="2">
        <v>5491</v>
      </c>
      <c r="F930" s="2">
        <v>582</v>
      </c>
      <c r="G930" s="2">
        <v>-338</v>
      </c>
      <c r="H930" s="2">
        <v>505</v>
      </c>
      <c r="I930" s="2">
        <v>-60</v>
      </c>
    </row>
    <row r="931" spans="1:9" x14ac:dyDescent="0.3">
      <c r="A931" t="s">
        <v>16</v>
      </c>
      <c r="B931" s="1">
        <v>45352</v>
      </c>
      <c r="C931" s="2">
        <v>5634</v>
      </c>
      <c r="D931" s="2">
        <v>-49</v>
      </c>
      <c r="E931" s="2">
        <v>5070</v>
      </c>
      <c r="F931" s="2">
        <v>25</v>
      </c>
      <c r="G931" s="2">
        <v>46</v>
      </c>
      <c r="H931" s="2">
        <v>564</v>
      </c>
      <c r="I931" s="2">
        <v>-74</v>
      </c>
    </row>
    <row r="932" spans="1:9" x14ac:dyDescent="0.3">
      <c r="A932" t="s">
        <v>16</v>
      </c>
      <c r="B932" s="1">
        <v>45323</v>
      </c>
      <c r="C932" s="2">
        <v>5645</v>
      </c>
      <c r="D932" s="2">
        <v>80</v>
      </c>
      <c r="E932" s="2">
        <v>5006</v>
      </c>
      <c r="F932" s="2">
        <v>-62</v>
      </c>
      <c r="G932" s="2">
        <v>-70</v>
      </c>
      <c r="H932" s="2">
        <v>639</v>
      </c>
      <c r="I932" s="2">
        <v>142</v>
      </c>
    </row>
    <row r="933" spans="1:9" x14ac:dyDescent="0.3">
      <c r="A933" t="s">
        <v>16</v>
      </c>
      <c r="B933" s="1">
        <v>45292</v>
      </c>
      <c r="C933" s="2">
        <v>5639</v>
      </c>
      <c r="D933" s="2">
        <v>106</v>
      </c>
      <c r="E933" s="2">
        <v>5142</v>
      </c>
      <c r="F933" s="2">
        <v>132</v>
      </c>
      <c r="G933" s="2">
        <v>-32</v>
      </c>
      <c r="H933" s="2">
        <v>497</v>
      </c>
      <c r="I933" s="2">
        <v>-26</v>
      </c>
    </row>
    <row r="934" spans="1:9" x14ac:dyDescent="0.3">
      <c r="A934" t="s">
        <v>16</v>
      </c>
      <c r="B934" s="1">
        <v>45261</v>
      </c>
      <c r="C934" s="2">
        <v>5556</v>
      </c>
      <c r="D934" s="2">
        <v>167</v>
      </c>
      <c r="E934" s="2">
        <v>5033</v>
      </c>
      <c r="F934" s="2">
        <v>68</v>
      </c>
      <c r="G934" s="2">
        <v>175</v>
      </c>
      <c r="H934" s="2">
        <v>523</v>
      </c>
      <c r="I934" s="2">
        <v>99</v>
      </c>
    </row>
    <row r="935" spans="1:9" x14ac:dyDescent="0.3">
      <c r="A935" t="s">
        <v>16</v>
      </c>
      <c r="B935" s="1">
        <v>45231</v>
      </c>
      <c r="C935" s="2">
        <v>5244</v>
      </c>
      <c r="D935" s="2">
        <v>-25</v>
      </c>
      <c r="E935" s="2">
        <v>4820</v>
      </c>
      <c r="F935" s="2">
        <v>19</v>
      </c>
      <c r="G935" s="2">
        <v>132</v>
      </c>
      <c r="H935" s="2">
        <v>424</v>
      </c>
      <c r="I935" s="2">
        <v>-44</v>
      </c>
    </row>
    <row r="936" spans="1:9" x14ac:dyDescent="0.3">
      <c r="A936" t="s">
        <v>16</v>
      </c>
      <c r="B936" s="1">
        <v>45200</v>
      </c>
      <c r="C936" s="2">
        <v>5143</v>
      </c>
      <c r="D936" s="2">
        <v>-115</v>
      </c>
      <c r="E936" s="2">
        <v>4675</v>
      </c>
      <c r="F936" s="2">
        <v>-142</v>
      </c>
      <c r="G936" s="2">
        <v>-61</v>
      </c>
      <c r="H936" s="2">
        <v>468</v>
      </c>
      <c r="I936" s="2">
        <v>27</v>
      </c>
    </row>
    <row r="937" spans="1:9" x14ac:dyDescent="0.3">
      <c r="A937" t="s">
        <v>16</v>
      </c>
      <c r="B937" s="1">
        <v>45170</v>
      </c>
      <c r="C937" s="2">
        <v>5314</v>
      </c>
      <c r="D937" s="2">
        <v>169</v>
      </c>
      <c r="E937" s="2">
        <v>4873</v>
      </c>
      <c r="F937" s="2">
        <v>147</v>
      </c>
      <c r="G937" s="2">
        <v>-86</v>
      </c>
      <c r="H937" s="2">
        <v>441</v>
      </c>
      <c r="I937" s="2">
        <v>22</v>
      </c>
    </row>
    <row r="938" spans="1:9" x14ac:dyDescent="0.3">
      <c r="A938" t="s">
        <v>16</v>
      </c>
      <c r="B938" s="1">
        <v>45139</v>
      </c>
      <c r="C938" s="2">
        <v>5231</v>
      </c>
      <c r="D938" s="2">
        <v>24</v>
      </c>
      <c r="E938" s="2">
        <v>4811</v>
      </c>
      <c r="F938" s="2">
        <v>44</v>
      </c>
      <c r="G938" s="2">
        <v>-33</v>
      </c>
      <c r="H938" s="2">
        <v>420</v>
      </c>
      <c r="I938" s="2">
        <v>-20</v>
      </c>
    </row>
    <row r="939" spans="1:9" x14ac:dyDescent="0.3">
      <c r="A939" t="s">
        <v>16</v>
      </c>
      <c r="B939" s="1">
        <v>45108</v>
      </c>
      <c r="C939" s="2">
        <v>5262</v>
      </c>
      <c r="D939" s="2">
        <v>163</v>
      </c>
      <c r="E939" s="2">
        <v>4822</v>
      </c>
      <c r="F939" s="2">
        <v>147</v>
      </c>
      <c r="G939" s="2">
        <v>-20</v>
      </c>
      <c r="H939" s="2">
        <v>440</v>
      </c>
      <c r="I939" s="2">
        <v>16</v>
      </c>
    </row>
    <row r="940" spans="1:9" x14ac:dyDescent="0.3">
      <c r="A940" t="s">
        <v>16</v>
      </c>
      <c r="B940" s="1">
        <v>45078</v>
      </c>
      <c r="C940" s="2">
        <v>5903</v>
      </c>
      <c r="D940" s="2">
        <v>670</v>
      </c>
      <c r="E940" s="2">
        <v>5478</v>
      </c>
      <c r="F940" s="2">
        <v>687</v>
      </c>
      <c r="G940" s="2">
        <v>97</v>
      </c>
      <c r="H940" s="2">
        <v>424</v>
      </c>
      <c r="I940" s="2">
        <v>-17</v>
      </c>
    </row>
    <row r="941" spans="1:9" x14ac:dyDescent="0.3">
      <c r="A941" t="s">
        <v>16</v>
      </c>
      <c r="B941" s="1">
        <v>45047</v>
      </c>
      <c r="C941" s="2">
        <v>5271</v>
      </c>
      <c r="D941" s="2">
        <v>238</v>
      </c>
      <c r="E941" s="2">
        <v>4830</v>
      </c>
      <c r="F941" s="2">
        <v>114</v>
      </c>
      <c r="G941" s="2">
        <v>-67</v>
      </c>
      <c r="H941" s="2">
        <v>441</v>
      </c>
      <c r="I941" s="2">
        <v>124</v>
      </c>
    </row>
    <row r="942" spans="1:9" x14ac:dyDescent="0.3">
      <c r="A942" t="s">
        <v>16</v>
      </c>
      <c r="B942" s="1">
        <v>45017</v>
      </c>
      <c r="C942" s="2">
        <v>5095</v>
      </c>
      <c r="D942" s="2">
        <v>-654</v>
      </c>
      <c r="E942" s="2">
        <v>4778</v>
      </c>
      <c r="F942" s="2">
        <v>-676</v>
      </c>
      <c r="G942" s="2">
        <v>27</v>
      </c>
      <c r="H942" s="2">
        <v>317</v>
      </c>
      <c r="I942" s="2">
        <v>23</v>
      </c>
    </row>
    <row r="943" spans="1:9" x14ac:dyDescent="0.3">
      <c r="A943" t="s">
        <v>16</v>
      </c>
      <c r="B943" s="1">
        <v>44986</v>
      </c>
      <c r="C943" s="2">
        <v>5717</v>
      </c>
      <c r="D943" s="2">
        <v>-136</v>
      </c>
      <c r="E943" s="2">
        <v>5422</v>
      </c>
      <c r="F943" s="2">
        <v>-177</v>
      </c>
      <c r="G943" s="2">
        <v>97</v>
      </c>
      <c r="H943" s="2">
        <v>295</v>
      </c>
      <c r="I943" s="2">
        <v>41</v>
      </c>
    </row>
    <row r="944" spans="1:9" x14ac:dyDescent="0.3">
      <c r="A944" t="s">
        <v>16</v>
      </c>
      <c r="B944" s="1">
        <v>44958</v>
      </c>
      <c r="C944" s="2">
        <v>5733</v>
      </c>
      <c r="D944" s="2">
        <v>203</v>
      </c>
      <c r="E944" s="2">
        <v>5480</v>
      </c>
      <c r="F944" s="2">
        <v>149</v>
      </c>
      <c r="G944" s="2">
        <v>-79</v>
      </c>
      <c r="H944" s="2">
        <v>254</v>
      </c>
      <c r="I944" s="2">
        <v>54</v>
      </c>
    </row>
    <row r="945" spans="1:9" hidden="1" x14ac:dyDescent="0.3">
      <c r="A945" t="s">
        <v>16</v>
      </c>
      <c r="B945" s="1">
        <v>44927</v>
      </c>
      <c r="C945" s="2">
        <v>5633</v>
      </c>
      <c r="D945" s="2" t="s">
        <v>3</v>
      </c>
      <c r="E945" s="2">
        <v>5433</v>
      </c>
      <c r="F945" s="2" t="s">
        <v>3</v>
      </c>
      <c r="G945" s="2" t="s">
        <v>3</v>
      </c>
      <c r="H945" s="2">
        <v>200</v>
      </c>
      <c r="I945" s="2">
        <v>76</v>
      </c>
    </row>
    <row r="946" spans="1:9" hidden="1" x14ac:dyDescent="0.3">
      <c r="A946" t="s">
        <v>16</v>
      </c>
      <c r="B946" s="1">
        <v>44896</v>
      </c>
      <c r="C946" s="2">
        <v>5623</v>
      </c>
      <c r="D946" s="2" t="s">
        <v>3</v>
      </c>
      <c r="E946" s="2">
        <v>5499</v>
      </c>
      <c r="F946" s="2" t="s">
        <v>3</v>
      </c>
      <c r="G946" s="2" t="s">
        <v>3</v>
      </c>
      <c r="H946" s="2">
        <v>124</v>
      </c>
      <c r="I946" s="2">
        <v>-111</v>
      </c>
    </row>
    <row r="947" spans="1:9" hidden="1" x14ac:dyDescent="0.3">
      <c r="A947" t="s">
        <v>16</v>
      </c>
      <c r="B947" s="1">
        <v>44866</v>
      </c>
      <c r="C947" s="2">
        <v>5151</v>
      </c>
      <c r="D947" s="2" t="s">
        <v>3</v>
      </c>
      <c r="E947" s="2">
        <v>4917</v>
      </c>
      <c r="F947" s="2" t="s">
        <v>3</v>
      </c>
      <c r="G947" s="2" t="s">
        <v>3</v>
      </c>
      <c r="H947" s="2">
        <v>235</v>
      </c>
      <c r="I947" s="2">
        <v>-28</v>
      </c>
    </row>
    <row r="948" spans="1:9" hidden="1" x14ac:dyDescent="0.3">
      <c r="A948" t="s">
        <v>16</v>
      </c>
      <c r="B948" s="1">
        <v>44835</v>
      </c>
      <c r="C948" s="2">
        <v>4996</v>
      </c>
      <c r="D948" s="2" t="s">
        <v>3</v>
      </c>
      <c r="E948" s="2">
        <v>4733</v>
      </c>
      <c r="F948" s="2" t="s">
        <v>3</v>
      </c>
      <c r="G948" s="2" t="s">
        <v>3</v>
      </c>
      <c r="H948" s="2">
        <v>263</v>
      </c>
      <c r="I948" s="2">
        <v>-54</v>
      </c>
    </row>
    <row r="949" spans="1:9" hidden="1" x14ac:dyDescent="0.3">
      <c r="A949" t="s">
        <v>16</v>
      </c>
      <c r="B949" s="1">
        <v>44805</v>
      </c>
      <c r="C949" s="2">
        <v>4630</v>
      </c>
      <c r="D949" s="2" t="s">
        <v>3</v>
      </c>
      <c r="E949" s="2">
        <v>4313</v>
      </c>
      <c r="F949" s="2" t="s">
        <v>3</v>
      </c>
      <c r="G949" s="2" t="s">
        <v>3</v>
      </c>
      <c r="H949" s="2">
        <v>317</v>
      </c>
      <c r="I949" s="2">
        <v>-134</v>
      </c>
    </row>
    <row r="950" spans="1:9" hidden="1" x14ac:dyDescent="0.3">
      <c r="A950" t="s">
        <v>16</v>
      </c>
      <c r="B950" s="1">
        <v>44774</v>
      </c>
      <c r="C950" s="2">
        <v>4696</v>
      </c>
      <c r="D950" s="2" t="s">
        <v>3</v>
      </c>
      <c r="E950" s="2">
        <v>4244</v>
      </c>
      <c r="F950" s="2" t="s">
        <v>3</v>
      </c>
      <c r="G950" s="2" t="s">
        <v>3</v>
      </c>
      <c r="H950" s="2">
        <v>452</v>
      </c>
      <c r="I950" s="2">
        <v>-39</v>
      </c>
    </row>
    <row r="951" spans="1:9" hidden="1" x14ac:dyDescent="0.3">
      <c r="A951" t="s">
        <v>16</v>
      </c>
      <c r="B951" s="1">
        <v>44743</v>
      </c>
      <c r="C951" s="2">
        <v>5184</v>
      </c>
      <c r="D951" s="2" t="s">
        <v>3</v>
      </c>
      <c r="E951" s="2">
        <v>4693</v>
      </c>
      <c r="F951" s="2" t="s">
        <v>3</v>
      </c>
      <c r="G951" s="2" t="s">
        <v>3</v>
      </c>
      <c r="H951" s="2">
        <v>491</v>
      </c>
      <c r="I951" s="2">
        <v>-100</v>
      </c>
    </row>
    <row r="952" spans="1:9" hidden="1" x14ac:dyDescent="0.3">
      <c r="A952" t="s">
        <v>16</v>
      </c>
      <c r="B952" s="1">
        <v>44713</v>
      </c>
      <c r="C952" s="2">
        <v>5198</v>
      </c>
      <c r="D952" s="2" t="s">
        <v>3</v>
      </c>
      <c r="E952" s="2">
        <v>4607</v>
      </c>
      <c r="F952" s="2" t="s">
        <v>3</v>
      </c>
      <c r="G952" s="2" t="s">
        <v>3</v>
      </c>
      <c r="H952" s="2">
        <v>591</v>
      </c>
      <c r="I952" s="2">
        <v>247</v>
      </c>
    </row>
    <row r="953" spans="1:9" hidden="1" x14ac:dyDescent="0.3">
      <c r="A953" t="s">
        <v>16</v>
      </c>
      <c r="B953" s="1">
        <v>44682</v>
      </c>
      <c r="C953" s="2">
        <v>5255</v>
      </c>
      <c r="D953" s="2" t="s">
        <v>3</v>
      </c>
      <c r="E953" s="2">
        <v>4911</v>
      </c>
      <c r="F953" s="2" t="s">
        <v>3</v>
      </c>
      <c r="G953" s="2" t="s">
        <v>3</v>
      </c>
      <c r="H953" s="2">
        <v>344</v>
      </c>
      <c r="I953" s="2">
        <v>199</v>
      </c>
    </row>
    <row r="954" spans="1:9" hidden="1" x14ac:dyDescent="0.3">
      <c r="A954" t="s">
        <v>16</v>
      </c>
      <c r="B954" s="1">
        <v>44652</v>
      </c>
      <c r="C954" s="2">
        <v>5241</v>
      </c>
      <c r="D954" s="2" t="s">
        <v>3</v>
      </c>
      <c r="E954" s="2">
        <v>5096</v>
      </c>
      <c r="F954" s="2" t="s">
        <v>3</v>
      </c>
      <c r="G954" s="2" t="s">
        <v>3</v>
      </c>
      <c r="H954" s="2">
        <v>145</v>
      </c>
      <c r="I954" s="2">
        <v>-48</v>
      </c>
    </row>
    <row r="955" spans="1:9" hidden="1" x14ac:dyDescent="0.3">
      <c r="A955" t="s">
        <v>16</v>
      </c>
      <c r="B955" s="1">
        <v>44621</v>
      </c>
      <c r="C955" s="2">
        <v>5307</v>
      </c>
      <c r="D955" s="2" t="s">
        <v>3</v>
      </c>
      <c r="E955" s="2">
        <v>5114</v>
      </c>
      <c r="F955" s="2" t="s">
        <v>3</v>
      </c>
      <c r="G955" s="2" t="s">
        <v>3</v>
      </c>
      <c r="H955" s="2">
        <v>193</v>
      </c>
      <c r="I955" s="2">
        <v>-194</v>
      </c>
    </row>
    <row r="956" spans="1:9" hidden="1" x14ac:dyDescent="0.3">
      <c r="A956" t="s">
        <v>16</v>
      </c>
      <c r="B956" s="1">
        <v>44593</v>
      </c>
      <c r="C956" s="2">
        <v>5605</v>
      </c>
      <c r="D956" s="2" t="s">
        <v>3</v>
      </c>
      <c r="E956" s="2">
        <v>5218</v>
      </c>
      <c r="F956" s="2" t="s">
        <v>3</v>
      </c>
      <c r="G956" s="2" t="s">
        <v>3</v>
      </c>
      <c r="H956" s="2">
        <v>387</v>
      </c>
      <c r="I956" s="2">
        <v>-237</v>
      </c>
    </row>
    <row r="957" spans="1:9" hidden="1" x14ac:dyDescent="0.3">
      <c r="A957" t="s">
        <v>16</v>
      </c>
      <c r="B957" s="1">
        <v>44562</v>
      </c>
      <c r="C957" s="2">
        <v>5393</v>
      </c>
      <c r="D957" s="2" t="s">
        <v>3</v>
      </c>
      <c r="E957" s="2">
        <v>4770</v>
      </c>
      <c r="F957" s="2" t="s">
        <v>3</v>
      </c>
      <c r="G957" s="2" t="s">
        <v>3</v>
      </c>
      <c r="H957" s="2">
        <v>623</v>
      </c>
      <c r="I957" s="2">
        <v>172</v>
      </c>
    </row>
    <row r="958" spans="1:9" hidden="1" x14ac:dyDescent="0.3">
      <c r="A958" t="s">
        <v>16</v>
      </c>
      <c r="B958" s="1">
        <v>44531</v>
      </c>
      <c r="C958" s="2">
        <v>5349</v>
      </c>
      <c r="D958" s="2" t="s">
        <v>3</v>
      </c>
      <c r="E958" s="2">
        <v>4897</v>
      </c>
      <c r="F958" s="2" t="s">
        <v>3</v>
      </c>
      <c r="G958" s="2" t="s">
        <v>3</v>
      </c>
      <c r="H958" s="2">
        <v>452</v>
      </c>
      <c r="I958" s="2">
        <v>104</v>
      </c>
    </row>
    <row r="959" spans="1:9" hidden="1" x14ac:dyDescent="0.3">
      <c r="A959" t="s">
        <v>16</v>
      </c>
      <c r="B959" s="1">
        <v>44501</v>
      </c>
      <c r="C959" s="2">
        <v>5550</v>
      </c>
      <c r="D959" s="2" t="s">
        <v>3</v>
      </c>
      <c r="E959" s="2">
        <v>5202</v>
      </c>
      <c r="F959" s="2" t="s">
        <v>3</v>
      </c>
      <c r="G959" s="2" t="s">
        <v>3</v>
      </c>
      <c r="H959" s="2">
        <v>347</v>
      </c>
      <c r="I959" s="2">
        <v>34</v>
      </c>
    </row>
    <row r="960" spans="1:9" hidden="1" x14ac:dyDescent="0.3">
      <c r="A960" t="s">
        <v>16</v>
      </c>
      <c r="B960" s="1">
        <v>44470</v>
      </c>
      <c r="C960" s="2">
        <v>5212</v>
      </c>
      <c r="D960" s="2" t="s">
        <v>3</v>
      </c>
      <c r="E960" s="2">
        <v>4899</v>
      </c>
      <c r="F960" s="2" t="s">
        <v>3</v>
      </c>
      <c r="G960" s="2" t="s">
        <v>3</v>
      </c>
      <c r="H960" s="2">
        <v>314</v>
      </c>
      <c r="I960" s="2">
        <v>2</v>
      </c>
    </row>
    <row r="961" spans="1:9" hidden="1" x14ac:dyDescent="0.3">
      <c r="A961" t="s">
        <v>16</v>
      </c>
      <c r="B961" s="1">
        <v>44440</v>
      </c>
      <c r="C961" s="2">
        <v>5167</v>
      </c>
      <c r="D961" s="2" t="s">
        <v>3</v>
      </c>
      <c r="E961" s="2">
        <v>4855</v>
      </c>
      <c r="F961" s="2" t="s">
        <v>3</v>
      </c>
      <c r="G961" s="2" t="s">
        <v>3</v>
      </c>
      <c r="H961" s="2">
        <v>312</v>
      </c>
      <c r="I961" s="2">
        <v>-29</v>
      </c>
    </row>
    <row r="962" spans="1:9" hidden="1" x14ac:dyDescent="0.3">
      <c r="A962" t="s">
        <v>16</v>
      </c>
      <c r="B962" s="1">
        <v>44409</v>
      </c>
      <c r="C962" s="2">
        <v>5132</v>
      </c>
      <c r="D962" s="2" t="s">
        <v>3</v>
      </c>
      <c r="E962" s="2">
        <v>4791</v>
      </c>
      <c r="F962" s="2" t="s">
        <v>3</v>
      </c>
      <c r="G962" s="2" t="s">
        <v>3</v>
      </c>
      <c r="H962" s="2">
        <v>341</v>
      </c>
      <c r="I962" s="2">
        <v>3</v>
      </c>
    </row>
    <row r="963" spans="1:9" hidden="1" x14ac:dyDescent="0.3">
      <c r="A963" t="s">
        <v>16</v>
      </c>
      <c r="B963" s="1">
        <v>44378</v>
      </c>
      <c r="C963" s="2">
        <v>5308</v>
      </c>
      <c r="D963" s="2" t="s">
        <v>3</v>
      </c>
      <c r="E963" s="2">
        <v>4971</v>
      </c>
      <c r="F963" s="2" t="s">
        <v>3</v>
      </c>
      <c r="G963" s="2" t="s">
        <v>3</v>
      </c>
      <c r="H963" s="2">
        <v>337</v>
      </c>
      <c r="I963" s="2">
        <v>-156</v>
      </c>
    </row>
    <row r="964" spans="1:9" hidden="1" x14ac:dyDescent="0.3">
      <c r="A964" t="s">
        <v>16</v>
      </c>
      <c r="B964" s="1">
        <v>44348</v>
      </c>
      <c r="C964" s="2">
        <v>5750</v>
      </c>
      <c r="D964" s="2" t="s">
        <v>3</v>
      </c>
      <c r="E964" s="2">
        <v>5257</v>
      </c>
      <c r="F964" s="2" t="s">
        <v>3</v>
      </c>
      <c r="G964" s="2" t="s">
        <v>3</v>
      </c>
      <c r="H964" s="2">
        <v>493</v>
      </c>
      <c r="I964" s="2">
        <v>91</v>
      </c>
    </row>
    <row r="965" spans="1:9" hidden="1" x14ac:dyDescent="0.3">
      <c r="A965" t="s">
        <v>16</v>
      </c>
      <c r="B965" s="1">
        <v>44317</v>
      </c>
      <c r="C965" s="2">
        <v>4892</v>
      </c>
      <c r="D965" s="2" t="s">
        <v>3</v>
      </c>
      <c r="E965" s="2">
        <v>4490</v>
      </c>
      <c r="F965" s="2" t="s">
        <v>3</v>
      </c>
      <c r="G965" s="2" t="s">
        <v>3</v>
      </c>
      <c r="H965" s="2">
        <v>402</v>
      </c>
      <c r="I965" s="2">
        <v>4</v>
      </c>
    </row>
    <row r="966" spans="1:9" hidden="1" x14ac:dyDescent="0.3">
      <c r="A966" t="s">
        <v>16</v>
      </c>
      <c r="B966" s="1">
        <v>44287</v>
      </c>
      <c r="C966" s="2">
        <v>4674</v>
      </c>
      <c r="D966" s="2" t="s">
        <v>3</v>
      </c>
      <c r="E966" s="2">
        <v>4276</v>
      </c>
      <c r="F966" s="2" t="s">
        <v>3</v>
      </c>
      <c r="G966" s="2" t="s">
        <v>3</v>
      </c>
      <c r="H966" s="2">
        <v>398</v>
      </c>
      <c r="I966" s="2">
        <v>-37</v>
      </c>
    </row>
    <row r="967" spans="1:9" hidden="1" x14ac:dyDescent="0.3">
      <c r="A967" t="s">
        <v>16</v>
      </c>
      <c r="B967" s="1">
        <v>44256</v>
      </c>
      <c r="C967" s="2">
        <v>4853</v>
      </c>
      <c r="D967" s="2" t="s">
        <v>3</v>
      </c>
      <c r="E967" s="2">
        <v>4419</v>
      </c>
      <c r="F967" s="2" t="s">
        <v>3</v>
      </c>
      <c r="G967" s="2" t="s">
        <v>3</v>
      </c>
      <c r="H967" s="2">
        <v>435</v>
      </c>
      <c r="I967" s="2">
        <v>-40</v>
      </c>
    </row>
    <row r="968" spans="1:9" hidden="1" x14ac:dyDescent="0.3">
      <c r="A968" t="s">
        <v>16</v>
      </c>
      <c r="B968" s="1">
        <v>44228</v>
      </c>
      <c r="C968" s="2">
        <v>5058</v>
      </c>
      <c r="D968" s="2" t="s">
        <v>3</v>
      </c>
      <c r="E968" s="2">
        <v>4584</v>
      </c>
      <c r="F968" s="2" t="s">
        <v>3</v>
      </c>
      <c r="G968" s="2" t="s">
        <v>3</v>
      </c>
      <c r="H968" s="2">
        <v>474</v>
      </c>
      <c r="I968" s="2">
        <v>-67</v>
      </c>
    </row>
    <row r="969" spans="1:9" hidden="1" x14ac:dyDescent="0.3">
      <c r="A969" t="s">
        <v>16</v>
      </c>
      <c r="B969" s="1">
        <v>44197</v>
      </c>
      <c r="C969" s="2">
        <v>5106</v>
      </c>
      <c r="D969" s="2" t="s">
        <v>3</v>
      </c>
      <c r="E969" s="2">
        <v>4564</v>
      </c>
      <c r="F969" s="2" t="s">
        <v>3</v>
      </c>
      <c r="G969" s="2" t="s">
        <v>3</v>
      </c>
      <c r="H969" s="2">
        <v>542</v>
      </c>
      <c r="I969" s="2">
        <v>110</v>
      </c>
    </row>
    <row r="970" spans="1:9" hidden="1" x14ac:dyDescent="0.3">
      <c r="A970" t="s">
        <v>16</v>
      </c>
      <c r="B970" s="1">
        <v>44166</v>
      </c>
      <c r="C970" s="2">
        <v>5209</v>
      </c>
      <c r="D970" s="2" t="s">
        <v>3</v>
      </c>
      <c r="E970" s="2">
        <v>4777</v>
      </c>
      <c r="F970" s="2" t="s">
        <v>3</v>
      </c>
      <c r="G970" s="2" t="s">
        <v>3</v>
      </c>
      <c r="H970" s="2">
        <v>432</v>
      </c>
      <c r="I970" s="2">
        <v>-95</v>
      </c>
    </row>
    <row r="971" spans="1:9" hidden="1" x14ac:dyDescent="0.3">
      <c r="A971" t="s">
        <v>16</v>
      </c>
      <c r="B971" s="1">
        <v>44136</v>
      </c>
      <c r="C971" s="2">
        <v>5108</v>
      </c>
      <c r="D971" s="2" t="s">
        <v>3</v>
      </c>
      <c r="E971" s="2">
        <v>4580</v>
      </c>
      <c r="F971" s="2" t="s">
        <v>3</v>
      </c>
      <c r="G971" s="2" t="s">
        <v>3</v>
      </c>
      <c r="H971" s="2">
        <v>527</v>
      </c>
      <c r="I971" s="2">
        <v>3</v>
      </c>
    </row>
    <row r="972" spans="1:9" hidden="1" x14ac:dyDescent="0.3">
      <c r="A972" t="s">
        <v>16</v>
      </c>
      <c r="B972" s="1">
        <v>44105</v>
      </c>
      <c r="C972" s="2">
        <v>5095</v>
      </c>
      <c r="D972" s="2" t="s">
        <v>3</v>
      </c>
      <c r="E972" s="2">
        <v>4571</v>
      </c>
      <c r="F972" s="2" t="s">
        <v>3</v>
      </c>
      <c r="G972" s="2" t="s">
        <v>3</v>
      </c>
      <c r="H972" s="2">
        <v>524</v>
      </c>
      <c r="I972" s="2">
        <v>180</v>
      </c>
    </row>
    <row r="973" spans="1:9" hidden="1" x14ac:dyDescent="0.3">
      <c r="A973" t="s">
        <v>16</v>
      </c>
      <c r="B973" s="1">
        <v>44075</v>
      </c>
      <c r="C973" s="2">
        <v>5362</v>
      </c>
      <c r="D973" s="2" t="s">
        <v>3</v>
      </c>
      <c r="E973" s="2">
        <v>5018</v>
      </c>
      <c r="F973" s="2" t="s">
        <v>3</v>
      </c>
      <c r="G973" s="2" t="s">
        <v>3</v>
      </c>
      <c r="H973" s="2">
        <v>344</v>
      </c>
      <c r="I973" s="2">
        <v>-127</v>
      </c>
    </row>
    <row r="974" spans="1:9" hidden="1" x14ac:dyDescent="0.3">
      <c r="A974" t="s">
        <v>16</v>
      </c>
      <c r="B974" s="1">
        <v>44044</v>
      </c>
      <c r="C974" s="2">
        <v>5286</v>
      </c>
      <c r="D974" s="2" t="s">
        <v>3</v>
      </c>
      <c r="E974" s="2">
        <v>4815</v>
      </c>
      <c r="F974" s="2" t="s">
        <v>3</v>
      </c>
      <c r="G974" s="2" t="s">
        <v>3</v>
      </c>
      <c r="H974" s="2">
        <v>471</v>
      </c>
      <c r="I974" s="2">
        <v>-67</v>
      </c>
    </row>
    <row r="975" spans="1:9" hidden="1" x14ac:dyDescent="0.3">
      <c r="A975" t="s">
        <v>16</v>
      </c>
      <c r="B975" s="1">
        <v>44013</v>
      </c>
      <c r="C975" s="2">
        <v>5133</v>
      </c>
      <c r="D975" s="2" t="s">
        <v>3</v>
      </c>
      <c r="E975" s="2">
        <v>4595</v>
      </c>
      <c r="F975" s="2" t="s">
        <v>3</v>
      </c>
      <c r="G975" s="2" t="s">
        <v>3</v>
      </c>
      <c r="H975" s="2">
        <v>538</v>
      </c>
      <c r="I975" s="2">
        <v>-62</v>
      </c>
    </row>
    <row r="976" spans="1:9" hidden="1" x14ac:dyDescent="0.3">
      <c r="A976" t="s">
        <v>16</v>
      </c>
      <c r="B976" s="1">
        <v>43983</v>
      </c>
      <c r="C976" s="2">
        <v>5077</v>
      </c>
      <c r="D976" s="2" t="s">
        <v>3</v>
      </c>
      <c r="E976" s="2">
        <v>4477</v>
      </c>
      <c r="F976" s="2" t="s">
        <v>3</v>
      </c>
      <c r="G976" s="2" t="s">
        <v>3</v>
      </c>
      <c r="H976" s="2">
        <v>600</v>
      </c>
      <c r="I976" s="2">
        <v>23</v>
      </c>
    </row>
    <row r="977" spans="1:9" hidden="1" x14ac:dyDescent="0.3">
      <c r="A977" t="s">
        <v>16</v>
      </c>
      <c r="B977" s="1">
        <v>43952</v>
      </c>
      <c r="C977" s="2">
        <v>5343</v>
      </c>
      <c r="D977" s="2" t="s">
        <v>3</v>
      </c>
      <c r="E977" s="2">
        <v>4766</v>
      </c>
      <c r="F977" s="2" t="s">
        <v>3</v>
      </c>
      <c r="G977" s="2" t="s">
        <v>3</v>
      </c>
      <c r="H977" s="2">
        <v>577</v>
      </c>
      <c r="I977" s="2">
        <v>271</v>
      </c>
    </row>
    <row r="978" spans="1:9" hidden="1" x14ac:dyDescent="0.3">
      <c r="A978" t="s">
        <v>16</v>
      </c>
      <c r="B978" s="1">
        <v>43922</v>
      </c>
      <c r="C978" s="2">
        <v>4986</v>
      </c>
      <c r="D978" s="2" t="s">
        <v>3</v>
      </c>
      <c r="E978" s="2">
        <v>4680</v>
      </c>
      <c r="F978" s="2" t="s">
        <v>3</v>
      </c>
      <c r="G978" s="2" t="s">
        <v>3</v>
      </c>
      <c r="H978" s="2">
        <v>306</v>
      </c>
      <c r="I978" s="2">
        <v>143</v>
      </c>
    </row>
    <row r="979" spans="1:9" hidden="1" x14ac:dyDescent="0.3">
      <c r="A979" t="s">
        <v>16</v>
      </c>
      <c r="B979" s="1">
        <v>43891</v>
      </c>
      <c r="C979" s="2">
        <v>5043</v>
      </c>
      <c r="D979" s="2" t="s">
        <v>3</v>
      </c>
      <c r="E979" s="2">
        <v>4880</v>
      </c>
      <c r="F979" s="2" t="s">
        <v>3</v>
      </c>
      <c r="G979" s="2" t="s">
        <v>3</v>
      </c>
      <c r="H979" s="2">
        <v>163</v>
      </c>
      <c r="I979" s="2">
        <v>-169</v>
      </c>
    </row>
    <row r="980" spans="1:9" hidden="1" x14ac:dyDescent="0.3">
      <c r="A980" t="s">
        <v>16</v>
      </c>
      <c r="B980" s="1">
        <v>43862</v>
      </c>
      <c r="C980" s="2">
        <v>5683</v>
      </c>
      <c r="D980" s="2" t="s">
        <v>3</v>
      </c>
      <c r="E980" s="2">
        <v>5350</v>
      </c>
      <c r="F980" s="2" t="s">
        <v>3</v>
      </c>
      <c r="G980" s="2" t="s">
        <v>3</v>
      </c>
      <c r="H980" s="2">
        <v>333</v>
      </c>
      <c r="I980" s="2">
        <v>80</v>
      </c>
    </row>
    <row r="981" spans="1:9" hidden="1" x14ac:dyDescent="0.3">
      <c r="A981" t="s">
        <v>16</v>
      </c>
      <c r="B981" s="1">
        <v>43831</v>
      </c>
      <c r="C981" s="2">
        <v>5661</v>
      </c>
      <c r="D981" s="2" t="s">
        <v>3</v>
      </c>
      <c r="E981" s="2">
        <v>5408</v>
      </c>
      <c r="F981" s="2" t="s">
        <v>3</v>
      </c>
      <c r="G981" s="2" t="s">
        <v>3</v>
      </c>
      <c r="H981" s="2">
        <v>253</v>
      </c>
      <c r="I981" s="2">
        <v>13</v>
      </c>
    </row>
    <row r="982" spans="1:9" x14ac:dyDescent="0.3">
      <c r="A982" t="s">
        <v>17</v>
      </c>
      <c r="B982" s="1">
        <v>45931</v>
      </c>
      <c r="C982" s="2">
        <v>81037</v>
      </c>
      <c r="D982" s="2">
        <v>10399</v>
      </c>
      <c r="E982" s="2">
        <v>77395</v>
      </c>
      <c r="F982" s="2">
        <v>10525</v>
      </c>
      <c r="G982" s="2">
        <v>344</v>
      </c>
      <c r="H982" s="2">
        <v>3643</v>
      </c>
      <c r="I982" s="2">
        <v>-126</v>
      </c>
    </row>
    <row r="983" spans="1:9" x14ac:dyDescent="0.3">
      <c r="A983" t="s">
        <v>17</v>
      </c>
      <c r="B983" s="1">
        <v>45901</v>
      </c>
      <c r="C983" s="2">
        <v>70698</v>
      </c>
      <c r="D983" s="2">
        <v>-6627</v>
      </c>
      <c r="E983" s="2">
        <v>66929</v>
      </c>
      <c r="F983" s="2">
        <v>-6770</v>
      </c>
      <c r="G983" s="2">
        <v>1099</v>
      </c>
      <c r="H983" s="2">
        <v>3769</v>
      </c>
      <c r="I983" s="2">
        <v>143</v>
      </c>
    </row>
    <row r="984" spans="1:9" x14ac:dyDescent="0.3">
      <c r="A984" t="s">
        <v>17</v>
      </c>
      <c r="B984" s="1">
        <v>45870</v>
      </c>
      <c r="C984" s="2">
        <v>77332</v>
      </c>
      <c r="D984" s="2">
        <v>-2635</v>
      </c>
      <c r="E984" s="2">
        <v>73706</v>
      </c>
      <c r="F984" s="2">
        <v>-720</v>
      </c>
      <c r="G984" s="2">
        <v>130</v>
      </c>
      <c r="H984" s="2">
        <v>3626</v>
      </c>
      <c r="I984" s="2">
        <v>-1914</v>
      </c>
    </row>
    <row r="985" spans="1:9" x14ac:dyDescent="0.3">
      <c r="A985" t="s">
        <v>17</v>
      </c>
      <c r="B985" s="1">
        <v>45839</v>
      </c>
      <c r="C985" s="2">
        <v>78376</v>
      </c>
      <c r="D985" s="2">
        <v>15288</v>
      </c>
      <c r="E985" s="2">
        <v>72836</v>
      </c>
      <c r="F985" s="2">
        <v>13401</v>
      </c>
      <c r="G985" s="2">
        <v>647</v>
      </c>
      <c r="H985" s="2">
        <v>5540</v>
      </c>
      <c r="I985" s="2">
        <v>1887</v>
      </c>
    </row>
    <row r="986" spans="1:9" x14ac:dyDescent="0.3">
      <c r="A986" t="s">
        <v>17</v>
      </c>
      <c r="B986" s="1">
        <v>45809</v>
      </c>
      <c r="C986" s="2">
        <v>63320</v>
      </c>
      <c r="D986" s="2">
        <v>-7084</v>
      </c>
      <c r="E986" s="2">
        <v>59667</v>
      </c>
      <c r="F986" s="2">
        <v>-8298</v>
      </c>
      <c r="G986" s="2">
        <v>448</v>
      </c>
      <c r="H986" s="2">
        <v>3653</v>
      </c>
      <c r="I986" s="2">
        <v>1214</v>
      </c>
    </row>
    <row r="987" spans="1:9" x14ac:dyDescent="0.3">
      <c r="A987" t="s">
        <v>17</v>
      </c>
      <c r="B987" s="1">
        <v>45778</v>
      </c>
      <c r="C987" s="2">
        <v>69431</v>
      </c>
      <c r="D987" s="2">
        <v>2084</v>
      </c>
      <c r="E987" s="2">
        <v>66992</v>
      </c>
      <c r="F987" s="2">
        <v>2803</v>
      </c>
      <c r="G987" s="2">
        <v>76</v>
      </c>
      <c r="H987" s="2">
        <v>2439</v>
      </c>
      <c r="I987" s="2">
        <v>-719</v>
      </c>
    </row>
    <row r="988" spans="1:9" x14ac:dyDescent="0.3">
      <c r="A988" t="s">
        <v>17</v>
      </c>
      <c r="B988" s="1">
        <v>45748</v>
      </c>
      <c r="C988" s="2">
        <v>69192</v>
      </c>
      <c r="D988" s="2">
        <v>8216</v>
      </c>
      <c r="E988" s="2">
        <v>66033</v>
      </c>
      <c r="F988" s="2">
        <v>7993</v>
      </c>
      <c r="G988" s="2">
        <v>363</v>
      </c>
      <c r="H988" s="2">
        <v>3159</v>
      </c>
      <c r="I988" s="2">
        <v>223</v>
      </c>
    </row>
    <row r="989" spans="1:9" x14ac:dyDescent="0.3">
      <c r="A989" t="s">
        <v>17</v>
      </c>
      <c r="B989" s="1">
        <v>45717</v>
      </c>
      <c r="C989" s="2">
        <v>60958</v>
      </c>
      <c r="D989" s="2">
        <v>-416</v>
      </c>
      <c r="E989" s="2">
        <v>58022</v>
      </c>
      <c r="F989" s="2">
        <v>161</v>
      </c>
      <c r="G989" s="2">
        <v>1980</v>
      </c>
      <c r="H989" s="2">
        <v>2936</v>
      </c>
      <c r="I989" s="2">
        <v>-577</v>
      </c>
    </row>
    <row r="990" spans="1:9" x14ac:dyDescent="0.3">
      <c r="A990" t="s">
        <v>17</v>
      </c>
      <c r="B990" s="1">
        <v>45689</v>
      </c>
      <c r="C990" s="2">
        <v>60730</v>
      </c>
      <c r="D990" s="2">
        <v>-167</v>
      </c>
      <c r="E990" s="2">
        <v>57217</v>
      </c>
      <c r="F990" s="2">
        <v>-981</v>
      </c>
      <c r="G990" s="2">
        <v>892</v>
      </c>
      <c r="H990" s="2">
        <v>3513</v>
      </c>
      <c r="I990" s="2">
        <v>814</v>
      </c>
    </row>
    <row r="991" spans="1:9" x14ac:dyDescent="0.3">
      <c r="A991" t="s">
        <v>17</v>
      </c>
      <c r="B991" s="1">
        <v>45658</v>
      </c>
      <c r="C991" s="2">
        <v>59286</v>
      </c>
      <c r="D991" s="2">
        <v>-337</v>
      </c>
      <c r="E991" s="2">
        <v>56587</v>
      </c>
      <c r="F991" s="2">
        <v>-268</v>
      </c>
      <c r="G991" s="2">
        <v>-89</v>
      </c>
      <c r="H991" s="2">
        <v>2699</v>
      </c>
      <c r="I991" s="2">
        <v>-69</v>
      </c>
    </row>
    <row r="992" spans="1:9" x14ac:dyDescent="0.3">
      <c r="A992" t="s">
        <v>17</v>
      </c>
      <c r="B992" s="1">
        <v>45627</v>
      </c>
      <c r="C992" s="2">
        <v>59370</v>
      </c>
      <c r="D992" s="2">
        <v>-2768</v>
      </c>
      <c r="E992" s="2">
        <v>56603</v>
      </c>
      <c r="F992" s="2">
        <v>-1759</v>
      </c>
      <c r="G992" s="2">
        <v>-747</v>
      </c>
      <c r="H992" s="2">
        <v>2768</v>
      </c>
      <c r="I992" s="2">
        <v>-1009</v>
      </c>
    </row>
    <row r="993" spans="1:9" x14ac:dyDescent="0.3">
      <c r="A993" t="s">
        <v>17</v>
      </c>
      <c r="B993" s="1">
        <v>45597</v>
      </c>
      <c r="C993" s="2">
        <v>64856</v>
      </c>
      <c r="D993" s="2">
        <v>-47</v>
      </c>
      <c r="E993" s="2">
        <v>61079</v>
      </c>
      <c r="F993" s="2">
        <v>346</v>
      </c>
      <c r="G993" s="2">
        <v>445</v>
      </c>
      <c r="H993" s="2">
        <v>3777</v>
      </c>
      <c r="I993" s="2">
        <v>-392</v>
      </c>
    </row>
    <row r="994" spans="1:9" x14ac:dyDescent="0.3">
      <c r="A994" t="s">
        <v>17</v>
      </c>
      <c r="B994" s="1">
        <v>45566</v>
      </c>
      <c r="C994" s="2">
        <v>65293</v>
      </c>
      <c r="D994" s="2">
        <v>3010</v>
      </c>
      <c r="E994" s="2">
        <v>61124</v>
      </c>
      <c r="F994" s="2">
        <v>2555</v>
      </c>
      <c r="G994" s="2">
        <v>-1868</v>
      </c>
      <c r="H994" s="2">
        <v>4169</v>
      </c>
      <c r="I994" s="2">
        <v>456</v>
      </c>
    </row>
    <row r="995" spans="1:9" x14ac:dyDescent="0.3">
      <c r="A995" t="s">
        <v>17</v>
      </c>
      <c r="B995" s="1">
        <v>45536</v>
      </c>
      <c r="C995" s="2">
        <v>66133</v>
      </c>
      <c r="D995" s="2">
        <v>1565</v>
      </c>
      <c r="E995" s="2">
        <v>62420</v>
      </c>
      <c r="F995" s="2">
        <v>1729</v>
      </c>
      <c r="G995" s="2">
        <v>145</v>
      </c>
      <c r="H995" s="2">
        <v>3714</v>
      </c>
      <c r="I995" s="2">
        <v>-164</v>
      </c>
    </row>
    <row r="996" spans="1:9" x14ac:dyDescent="0.3">
      <c r="A996" t="s">
        <v>17</v>
      </c>
      <c r="B996" s="1">
        <v>45505</v>
      </c>
      <c r="C996" s="2">
        <v>63162</v>
      </c>
      <c r="D996" s="2">
        <v>-1737</v>
      </c>
      <c r="E996" s="2">
        <v>59284</v>
      </c>
      <c r="F996" s="2">
        <v>-2713</v>
      </c>
      <c r="G996" s="2">
        <v>447</v>
      </c>
      <c r="H996" s="2">
        <v>3878</v>
      </c>
      <c r="I996" s="2">
        <v>976</v>
      </c>
    </row>
    <row r="997" spans="1:9" x14ac:dyDescent="0.3">
      <c r="A997" t="s">
        <v>17</v>
      </c>
      <c r="B997" s="1">
        <v>45474</v>
      </c>
      <c r="C997" s="2">
        <v>64221</v>
      </c>
      <c r="D997" s="2">
        <v>-554</v>
      </c>
      <c r="E997" s="2">
        <v>61319</v>
      </c>
      <c r="F997" s="2">
        <v>-361</v>
      </c>
      <c r="G997" s="2">
        <v>1745</v>
      </c>
      <c r="H997" s="2">
        <v>2902</v>
      </c>
      <c r="I997" s="2">
        <v>-194</v>
      </c>
    </row>
    <row r="998" spans="1:9" x14ac:dyDescent="0.3">
      <c r="A998" t="s">
        <v>17</v>
      </c>
      <c r="B998" s="1">
        <v>45444</v>
      </c>
      <c r="C998" s="2">
        <v>65434</v>
      </c>
      <c r="D998" s="2">
        <v>1001</v>
      </c>
      <c r="E998" s="2">
        <v>62338</v>
      </c>
      <c r="F998" s="2">
        <v>1188</v>
      </c>
      <c r="G998" s="2">
        <v>-819</v>
      </c>
      <c r="H998" s="2">
        <v>3095</v>
      </c>
      <c r="I998" s="2">
        <v>-187</v>
      </c>
    </row>
    <row r="999" spans="1:9" x14ac:dyDescent="0.3">
      <c r="A999" t="s">
        <v>17</v>
      </c>
      <c r="B999" s="1">
        <v>45413</v>
      </c>
      <c r="C999" s="2">
        <v>63286</v>
      </c>
      <c r="D999" s="2">
        <v>-1204</v>
      </c>
      <c r="E999" s="2">
        <v>60003</v>
      </c>
      <c r="F999" s="2">
        <v>-1197</v>
      </c>
      <c r="G999" s="2">
        <v>1132</v>
      </c>
      <c r="H999" s="2">
        <v>3283</v>
      </c>
      <c r="I999" s="2">
        <v>-7</v>
      </c>
    </row>
    <row r="1000" spans="1:9" x14ac:dyDescent="0.3">
      <c r="A1000" t="s">
        <v>17</v>
      </c>
      <c r="B1000" s="1">
        <v>45383</v>
      </c>
      <c r="C1000" s="2">
        <v>62051</v>
      </c>
      <c r="D1000" s="2">
        <v>6561</v>
      </c>
      <c r="E1000" s="2">
        <v>58761</v>
      </c>
      <c r="F1000" s="2">
        <v>5603</v>
      </c>
      <c r="G1000" s="2">
        <v>-1269</v>
      </c>
      <c r="H1000" s="2">
        <v>3289</v>
      </c>
      <c r="I1000" s="2">
        <v>958</v>
      </c>
    </row>
    <row r="1001" spans="1:9" x14ac:dyDescent="0.3">
      <c r="A1001" t="s">
        <v>17</v>
      </c>
      <c r="B1001" s="1">
        <v>45352</v>
      </c>
      <c r="C1001" s="2">
        <v>56906</v>
      </c>
      <c r="D1001" s="2">
        <v>-13</v>
      </c>
      <c r="E1001" s="2">
        <v>54574</v>
      </c>
      <c r="F1001" s="2">
        <v>985</v>
      </c>
      <c r="G1001" s="2">
        <v>-297</v>
      </c>
      <c r="H1001" s="2">
        <v>2332</v>
      </c>
      <c r="I1001" s="2">
        <v>-997</v>
      </c>
    </row>
    <row r="1002" spans="1:9" x14ac:dyDescent="0.3">
      <c r="A1002" t="s">
        <v>17</v>
      </c>
      <c r="B1002" s="1">
        <v>45323</v>
      </c>
      <c r="C1002" s="2">
        <v>55461</v>
      </c>
      <c r="D1002" s="2">
        <v>3054</v>
      </c>
      <c r="E1002" s="2">
        <v>52132</v>
      </c>
      <c r="F1002" s="2">
        <v>2328</v>
      </c>
      <c r="G1002" s="2">
        <v>-378</v>
      </c>
      <c r="H1002" s="2">
        <v>3329</v>
      </c>
      <c r="I1002" s="2">
        <v>726</v>
      </c>
    </row>
    <row r="1003" spans="1:9" x14ac:dyDescent="0.3">
      <c r="A1003" t="s">
        <v>17</v>
      </c>
      <c r="B1003" s="1">
        <v>45292</v>
      </c>
      <c r="C1003" s="2">
        <v>54680</v>
      </c>
      <c r="D1003" s="2">
        <v>1951</v>
      </c>
      <c r="E1003" s="2">
        <v>52076</v>
      </c>
      <c r="F1003" s="2">
        <v>1986</v>
      </c>
      <c r="G1003" s="2">
        <v>320</v>
      </c>
      <c r="H1003" s="2">
        <v>2603</v>
      </c>
      <c r="I1003" s="2">
        <v>-35</v>
      </c>
    </row>
    <row r="1004" spans="1:9" x14ac:dyDescent="0.3">
      <c r="A1004" t="s">
        <v>17</v>
      </c>
      <c r="B1004" s="1">
        <v>45261</v>
      </c>
      <c r="C1004" s="2">
        <v>54087</v>
      </c>
      <c r="D1004" s="2">
        <v>-7087</v>
      </c>
      <c r="E1004" s="2">
        <v>51448</v>
      </c>
      <c r="F1004" s="2">
        <v>-5272</v>
      </c>
      <c r="G1004" s="2">
        <v>942</v>
      </c>
      <c r="H1004" s="2">
        <v>2638</v>
      </c>
      <c r="I1004" s="2">
        <v>-1815</v>
      </c>
    </row>
    <row r="1005" spans="1:9" x14ac:dyDescent="0.3">
      <c r="A1005" t="s">
        <v>17</v>
      </c>
      <c r="B1005" s="1">
        <v>45231</v>
      </c>
      <c r="C1005" s="2">
        <v>59027</v>
      </c>
      <c r="D1005" s="2">
        <v>2835</v>
      </c>
      <c r="E1005" s="2">
        <v>54574</v>
      </c>
      <c r="F1005" s="2">
        <v>1516</v>
      </c>
      <c r="G1005" s="2">
        <v>755</v>
      </c>
      <c r="H1005" s="2">
        <v>4453</v>
      </c>
      <c r="I1005" s="2">
        <v>1319</v>
      </c>
    </row>
    <row r="1006" spans="1:9" x14ac:dyDescent="0.3">
      <c r="A1006" t="s">
        <v>17</v>
      </c>
      <c r="B1006" s="1">
        <v>45200</v>
      </c>
      <c r="C1006" s="2">
        <v>54386</v>
      </c>
      <c r="D1006" s="2">
        <v>1443</v>
      </c>
      <c r="E1006" s="2">
        <v>51252</v>
      </c>
      <c r="F1006" s="2">
        <v>1237</v>
      </c>
      <c r="G1006" s="2">
        <v>120</v>
      </c>
      <c r="H1006" s="2">
        <v>3134</v>
      </c>
      <c r="I1006" s="2">
        <v>205</v>
      </c>
    </row>
    <row r="1007" spans="1:9" x14ac:dyDescent="0.3">
      <c r="A1007" t="s">
        <v>17</v>
      </c>
      <c r="B1007" s="1">
        <v>45170</v>
      </c>
      <c r="C1007" s="2">
        <v>53408</v>
      </c>
      <c r="D1007" s="2">
        <v>747</v>
      </c>
      <c r="E1007" s="2">
        <v>50480</v>
      </c>
      <c r="F1007" s="2">
        <v>411</v>
      </c>
      <c r="G1007" s="2">
        <v>-3709</v>
      </c>
      <c r="H1007" s="2">
        <v>2929</v>
      </c>
      <c r="I1007" s="2">
        <v>336</v>
      </c>
    </row>
    <row r="1008" spans="1:9" x14ac:dyDescent="0.3">
      <c r="A1008" t="s">
        <v>17</v>
      </c>
      <c r="B1008" s="1">
        <v>45139</v>
      </c>
      <c r="C1008" s="2">
        <v>54537</v>
      </c>
      <c r="D1008" s="2">
        <v>1181</v>
      </c>
      <c r="E1008" s="2">
        <v>51944</v>
      </c>
      <c r="F1008" s="2">
        <v>1307</v>
      </c>
      <c r="G1008" s="2">
        <v>94</v>
      </c>
      <c r="H1008" s="2">
        <v>2593</v>
      </c>
      <c r="I1008" s="2">
        <v>-126</v>
      </c>
    </row>
    <row r="1009" spans="1:9" x14ac:dyDescent="0.3">
      <c r="A1009" t="s">
        <v>17</v>
      </c>
      <c r="B1009" s="1">
        <v>45108</v>
      </c>
      <c r="C1009" s="2">
        <v>52668</v>
      </c>
      <c r="D1009" s="2">
        <v>-1949</v>
      </c>
      <c r="E1009" s="2">
        <v>49949</v>
      </c>
      <c r="F1009" s="2">
        <v>-2286</v>
      </c>
      <c r="G1009" s="2">
        <v>48</v>
      </c>
      <c r="H1009" s="2">
        <v>2719</v>
      </c>
      <c r="I1009" s="2">
        <v>337</v>
      </c>
    </row>
    <row r="1010" spans="1:9" x14ac:dyDescent="0.3">
      <c r="A1010" t="s">
        <v>17</v>
      </c>
      <c r="B1010" s="1">
        <v>45078</v>
      </c>
      <c r="C1010" s="2">
        <v>54478</v>
      </c>
      <c r="D1010" s="2">
        <v>2889</v>
      </c>
      <c r="E1010" s="2">
        <v>52096</v>
      </c>
      <c r="F1010" s="2">
        <v>2356</v>
      </c>
      <c r="G1010" s="2">
        <v>-500</v>
      </c>
      <c r="H1010" s="2">
        <v>2382</v>
      </c>
      <c r="I1010" s="2">
        <v>533</v>
      </c>
    </row>
    <row r="1011" spans="1:9" x14ac:dyDescent="0.3">
      <c r="A1011" t="s">
        <v>17</v>
      </c>
      <c r="B1011" s="1">
        <v>45047</v>
      </c>
      <c r="C1011" s="2">
        <v>54534</v>
      </c>
      <c r="D1011" s="2">
        <v>1191</v>
      </c>
      <c r="E1011" s="2">
        <v>52686</v>
      </c>
      <c r="F1011" s="2">
        <v>904</v>
      </c>
      <c r="G1011" s="2">
        <v>-461</v>
      </c>
      <c r="H1011" s="2">
        <v>1848</v>
      </c>
      <c r="I1011" s="2">
        <v>287</v>
      </c>
    </row>
    <row r="1012" spans="1:9" x14ac:dyDescent="0.3">
      <c r="A1012" t="s">
        <v>17</v>
      </c>
      <c r="B1012" s="1">
        <v>45017</v>
      </c>
      <c r="C1012" s="2">
        <v>54859</v>
      </c>
      <c r="D1012" s="2">
        <v>-1111</v>
      </c>
      <c r="E1012" s="2">
        <v>53298</v>
      </c>
      <c r="F1012" s="2">
        <v>-861</v>
      </c>
      <c r="G1012" s="2">
        <v>143</v>
      </c>
      <c r="H1012" s="2">
        <v>1561</v>
      </c>
      <c r="I1012" s="2">
        <v>-250</v>
      </c>
    </row>
    <row r="1013" spans="1:9" x14ac:dyDescent="0.3">
      <c r="A1013" t="s">
        <v>17</v>
      </c>
      <c r="B1013" s="1">
        <v>44986</v>
      </c>
      <c r="C1013" s="2">
        <v>55565</v>
      </c>
      <c r="D1013" s="2">
        <v>5544</v>
      </c>
      <c r="E1013" s="2">
        <v>53754</v>
      </c>
      <c r="F1013" s="2">
        <v>5568</v>
      </c>
      <c r="G1013" s="2">
        <v>814</v>
      </c>
      <c r="H1013" s="2">
        <v>1811</v>
      </c>
      <c r="I1013" s="2">
        <v>-24</v>
      </c>
    </row>
    <row r="1014" spans="1:9" x14ac:dyDescent="0.3">
      <c r="A1014" t="s">
        <v>17</v>
      </c>
      <c r="B1014" s="1">
        <v>44958</v>
      </c>
      <c r="C1014" s="2">
        <v>50515</v>
      </c>
      <c r="D1014" s="2">
        <v>5079</v>
      </c>
      <c r="E1014" s="2">
        <v>48680</v>
      </c>
      <c r="F1014" s="2">
        <v>4756</v>
      </c>
      <c r="G1014" s="2">
        <v>-596</v>
      </c>
      <c r="H1014" s="2">
        <v>1835</v>
      </c>
      <c r="I1014" s="2">
        <v>322</v>
      </c>
    </row>
    <row r="1015" spans="1:9" hidden="1" x14ac:dyDescent="0.3">
      <c r="A1015" t="s">
        <v>17</v>
      </c>
      <c r="B1015" s="1">
        <v>44927</v>
      </c>
      <c r="C1015" s="2">
        <v>40313</v>
      </c>
      <c r="D1015" s="2" t="s">
        <v>3</v>
      </c>
      <c r="E1015" s="2">
        <v>38801</v>
      </c>
      <c r="F1015" s="2" t="s">
        <v>3</v>
      </c>
      <c r="G1015" s="2" t="s">
        <v>3</v>
      </c>
      <c r="H1015" s="2">
        <v>1513</v>
      </c>
      <c r="I1015" s="2">
        <v>406</v>
      </c>
    </row>
    <row r="1016" spans="1:9" hidden="1" x14ac:dyDescent="0.3">
      <c r="A1016" t="s">
        <v>17</v>
      </c>
      <c r="B1016" s="1">
        <v>44896</v>
      </c>
      <c r="C1016" s="2">
        <v>36906</v>
      </c>
      <c r="D1016" s="2" t="s">
        <v>3</v>
      </c>
      <c r="E1016" s="2">
        <v>35800</v>
      </c>
      <c r="F1016" s="2" t="s">
        <v>3</v>
      </c>
      <c r="G1016" s="2" t="s">
        <v>3</v>
      </c>
      <c r="H1016" s="2">
        <v>1107</v>
      </c>
      <c r="I1016" s="2">
        <v>57</v>
      </c>
    </row>
    <row r="1017" spans="1:9" hidden="1" x14ac:dyDescent="0.3">
      <c r="A1017" t="s">
        <v>17</v>
      </c>
      <c r="B1017" s="1">
        <v>44866</v>
      </c>
      <c r="C1017" s="2">
        <v>36010</v>
      </c>
      <c r="D1017" s="2" t="s">
        <v>3</v>
      </c>
      <c r="E1017" s="2">
        <v>34961</v>
      </c>
      <c r="F1017" s="2" t="s">
        <v>3</v>
      </c>
      <c r="G1017" s="2" t="s">
        <v>3</v>
      </c>
      <c r="H1017" s="2">
        <v>1049</v>
      </c>
      <c r="I1017" s="2">
        <v>95</v>
      </c>
    </row>
    <row r="1018" spans="1:9" hidden="1" x14ac:dyDescent="0.3">
      <c r="A1018" t="s">
        <v>17</v>
      </c>
      <c r="B1018" s="1">
        <v>44835</v>
      </c>
      <c r="C1018" s="2">
        <v>31893</v>
      </c>
      <c r="D1018" s="2" t="s">
        <v>3</v>
      </c>
      <c r="E1018" s="2">
        <v>30939</v>
      </c>
      <c r="F1018" s="2" t="s">
        <v>3</v>
      </c>
      <c r="G1018" s="2" t="s">
        <v>3</v>
      </c>
      <c r="H1018" s="2">
        <v>954</v>
      </c>
      <c r="I1018" s="2">
        <v>-18</v>
      </c>
    </row>
    <row r="1019" spans="1:9" hidden="1" x14ac:dyDescent="0.3">
      <c r="A1019" t="s">
        <v>17</v>
      </c>
      <c r="B1019" s="1">
        <v>44805</v>
      </c>
      <c r="C1019" s="2">
        <v>32982</v>
      </c>
      <c r="D1019" s="2" t="s">
        <v>3</v>
      </c>
      <c r="E1019" s="2">
        <v>32010</v>
      </c>
      <c r="F1019" s="2" t="s">
        <v>3</v>
      </c>
      <c r="G1019" s="2" t="s">
        <v>3</v>
      </c>
      <c r="H1019" s="2">
        <v>972</v>
      </c>
      <c r="I1019" s="2">
        <v>-281</v>
      </c>
    </row>
    <row r="1020" spans="1:9" hidden="1" x14ac:dyDescent="0.3">
      <c r="A1020" t="s">
        <v>17</v>
      </c>
      <c r="B1020" s="1">
        <v>44774</v>
      </c>
      <c r="C1020" s="2">
        <v>29918</v>
      </c>
      <c r="D1020" s="2" t="s">
        <v>3</v>
      </c>
      <c r="E1020" s="2">
        <v>28665</v>
      </c>
      <c r="F1020" s="2" t="s">
        <v>3</v>
      </c>
      <c r="G1020" s="2" t="s">
        <v>3</v>
      </c>
      <c r="H1020" s="2">
        <v>1253</v>
      </c>
      <c r="I1020" s="2">
        <v>-84</v>
      </c>
    </row>
    <row r="1021" spans="1:9" hidden="1" x14ac:dyDescent="0.3">
      <c r="A1021" t="s">
        <v>17</v>
      </c>
      <c r="B1021" s="1">
        <v>44743</v>
      </c>
      <c r="C1021" s="2">
        <v>28774</v>
      </c>
      <c r="D1021" s="2" t="s">
        <v>3</v>
      </c>
      <c r="E1021" s="2">
        <v>27437</v>
      </c>
      <c r="F1021" s="2" t="s">
        <v>3</v>
      </c>
      <c r="G1021" s="2" t="s">
        <v>3</v>
      </c>
      <c r="H1021" s="2">
        <v>1337</v>
      </c>
      <c r="I1021" s="2">
        <v>372</v>
      </c>
    </row>
    <row r="1022" spans="1:9" hidden="1" x14ac:dyDescent="0.3">
      <c r="A1022" t="s">
        <v>17</v>
      </c>
      <c r="B1022" s="1">
        <v>44713</v>
      </c>
      <c r="C1022" s="2">
        <v>27046</v>
      </c>
      <c r="D1022" s="2" t="s">
        <v>3</v>
      </c>
      <c r="E1022" s="2">
        <v>26081</v>
      </c>
      <c r="F1022" s="2" t="s">
        <v>3</v>
      </c>
      <c r="G1022" s="2" t="s">
        <v>3</v>
      </c>
      <c r="H1022" s="2">
        <v>965</v>
      </c>
      <c r="I1022" s="2">
        <v>-153</v>
      </c>
    </row>
    <row r="1023" spans="1:9" hidden="1" x14ac:dyDescent="0.3">
      <c r="A1023" t="s">
        <v>17</v>
      </c>
      <c r="B1023" s="1">
        <v>44682</v>
      </c>
      <c r="C1023" s="2">
        <v>29459</v>
      </c>
      <c r="D1023" s="2" t="s">
        <v>3</v>
      </c>
      <c r="E1023" s="2">
        <v>28340</v>
      </c>
      <c r="F1023" s="2" t="s">
        <v>3</v>
      </c>
      <c r="G1023" s="2" t="s">
        <v>3</v>
      </c>
      <c r="H1023" s="2">
        <v>1119</v>
      </c>
      <c r="I1023" s="2">
        <v>-4</v>
      </c>
    </row>
    <row r="1024" spans="1:9" hidden="1" x14ac:dyDescent="0.3">
      <c r="A1024" t="s">
        <v>17</v>
      </c>
      <c r="B1024" s="1">
        <v>44652</v>
      </c>
      <c r="C1024" s="2">
        <v>26049</v>
      </c>
      <c r="D1024" s="2" t="s">
        <v>3</v>
      </c>
      <c r="E1024" s="2">
        <v>24927</v>
      </c>
      <c r="F1024" s="2" t="s">
        <v>3</v>
      </c>
      <c r="G1024" s="2" t="s">
        <v>3</v>
      </c>
      <c r="H1024" s="2">
        <v>1122</v>
      </c>
      <c r="I1024" s="2">
        <v>-274</v>
      </c>
    </row>
    <row r="1025" spans="1:9" hidden="1" x14ac:dyDescent="0.3">
      <c r="A1025" t="s">
        <v>17</v>
      </c>
      <c r="B1025" s="1">
        <v>44621</v>
      </c>
      <c r="C1025" s="2">
        <v>26967</v>
      </c>
      <c r="D1025" s="2" t="s">
        <v>3</v>
      </c>
      <c r="E1025" s="2">
        <v>25571</v>
      </c>
      <c r="F1025" s="2" t="s">
        <v>3</v>
      </c>
      <c r="G1025" s="2" t="s">
        <v>3</v>
      </c>
      <c r="H1025" s="2">
        <v>1396</v>
      </c>
      <c r="I1025" s="2">
        <v>-325</v>
      </c>
    </row>
    <row r="1026" spans="1:9" hidden="1" x14ac:dyDescent="0.3">
      <c r="A1026" t="s">
        <v>17</v>
      </c>
      <c r="B1026" s="1">
        <v>44593</v>
      </c>
      <c r="C1026" s="2">
        <v>28989</v>
      </c>
      <c r="D1026" s="2" t="s">
        <v>3</v>
      </c>
      <c r="E1026" s="2">
        <v>27268</v>
      </c>
      <c r="F1026" s="2" t="s">
        <v>3</v>
      </c>
      <c r="G1026" s="2" t="s">
        <v>3</v>
      </c>
      <c r="H1026" s="2">
        <v>1721</v>
      </c>
      <c r="I1026" s="2">
        <v>-46</v>
      </c>
    </row>
    <row r="1027" spans="1:9" hidden="1" x14ac:dyDescent="0.3">
      <c r="A1027" t="s">
        <v>17</v>
      </c>
      <c r="B1027" s="1">
        <v>44562</v>
      </c>
      <c r="C1027" s="2">
        <v>27366</v>
      </c>
      <c r="D1027" s="2" t="s">
        <v>3</v>
      </c>
      <c r="E1027" s="2">
        <v>25598</v>
      </c>
      <c r="F1027" s="2" t="s">
        <v>3</v>
      </c>
      <c r="G1027" s="2" t="s">
        <v>3</v>
      </c>
      <c r="H1027" s="2">
        <v>1767</v>
      </c>
      <c r="I1027" s="2">
        <v>153</v>
      </c>
    </row>
    <row r="1028" spans="1:9" hidden="1" x14ac:dyDescent="0.3">
      <c r="A1028" t="s">
        <v>17</v>
      </c>
      <c r="B1028" s="1">
        <v>44531</v>
      </c>
      <c r="C1028" s="2">
        <v>24858</v>
      </c>
      <c r="D1028" s="2" t="s">
        <v>3</v>
      </c>
      <c r="E1028" s="2">
        <v>23244</v>
      </c>
      <c r="F1028" s="2" t="s">
        <v>3</v>
      </c>
      <c r="G1028" s="2" t="s">
        <v>3</v>
      </c>
      <c r="H1028" s="2">
        <v>1614</v>
      </c>
      <c r="I1028" s="2">
        <v>329</v>
      </c>
    </row>
    <row r="1029" spans="1:9" hidden="1" x14ac:dyDescent="0.3">
      <c r="A1029" t="s">
        <v>17</v>
      </c>
      <c r="B1029" s="1">
        <v>44501</v>
      </c>
      <c r="C1029" s="2">
        <v>26248</v>
      </c>
      <c r="D1029" s="2" t="s">
        <v>3</v>
      </c>
      <c r="E1029" s="2">
        <v>24963</v>
      </c>
      <c r="F1029" s="2" t="s">
        <v>3</v>
      </c>
      <c r="G1029" s="2" t="s">
        <v>3</v>
      </c>
      <c r="H1029" s="2">
        <v>1285</v>
      </c>
      <c r="I1029" s="2">
        <v>-53</v>
      </c>
    </row>
    <row r="1030" spans="1:9" hidden="1" x14ac:dyDescent="0.3">
      <c r="A1030" t="s">
        <v>17</v>
      </c>
      <c r="B1030" s="1">
        <v>44470</v>
      </c>
      <c r="C1030" s="2">
        <v>23257</v>
      </c>
      <c r="D1030" s="2" t="s">
        <v>3</v>
      </c>
      <c r="E1030" s="2">
        <v>21919</v>
      </c>
      <c r="F1030" s="2" t="s">
        <v>3</v>
      </c>
      <c r="G1030" s="2" t="s">
        <v>3</v>
      </c>
      <c r="H1030" s="2">
        <v>1338</v>
      </c>
      <c r="I1030" s="2">
        <v>13</v>
      </c>
    </row>
    <row r="1031" spans="1:9" hidden="1" x14ac:dyDescent="0.3">
      <c r="A1031" t="s">
        <v>17</v>
      </c>
      <c r="B1031" s="1">
        <v>44440</v>
      </c>
      <c r="C1031" s="2">
        <v>24866</v>
      </c>
      <c r="D1031" s="2" t="s">
        <v>3</v>
      </c>
      <c r="E1031" s="2">
        <v>23541</v>
      </c>
      <c r="F1031" s="2" t="s">
        <v>3</v>
      </c>
      <c r="G1031" s="2" t="s">
        <v>3</v>
      </c>
      <c r="H1031" s="2">
        <v>1325</v>
      </c>
      <c r="I1031" s="2">
        <v>-142</v>
      </c>
    </row>
    <row r="1032" spans="1:9" hidden="1" x14ac:dyDescent="0.3">
      <c r="A1032" t="s">
        <v>17</v>
      </c>
      <c r="B1032" s="1">
        <v>44409</v>
      </c>
      <c r="C1032" s="2">
        <v>27876</v>
      </c>
      <c r="D1032" s="2" t="s">
        <v>3</v>
      </c>
      <c r="E1032" s="2">
        <v>26409</v>
      </c>
      <c r="F1032" s="2" t="s">
        <v>3</v>
      </c>
      <c r="G1032" s="2" t="s">
        <v>3</v>
      </c>
      <c r="H1032" s="2">
        <v>1466</v>
      </c>
      <c r="I1032" s="2">
        <v>131</v>
      </c>
    </row>
    <row r="1033" spans="1:9" hidden="1" x14ac:dyDescent="0.3">
      <c r="A1033" t="s">
        <v>17</v>
      </c>
      <c r="B1033" s="1">
        <v>44378</v>
      </c>
      <c r="C1033" s="2">
        <v>25751</v>
      </c>
      <c r="D1033" s="2" t="s">
        <v>3</v>
      </c>
      <c r="E1033" s="2">
        <v>24416</v>
      </c>
      <c r="F1033" s="2" t="s">
        <v>3</v>
      </c>
      <c r="G1033" s="2" t="s">
        <v>3</v>
      </c>
      <c r="H1033" s="2">
        <v>1335</v>
      </c>
      <c r="I1033" s="2">
        <v>-205</v>
      </c>
    </row>
    <row r="1034" spans="1:9" hidden="1" x14ac:dyDescent="0.3">
      <c r="A1034" t="s">
        <v>17</v>
      </c>
      <c r="B1034" s="1">
        <v>44348</v>
      </c>
      <c r="C1034" s="2">
        <v>30370</v>
      </c>
      <c r="D1034" s="2" t="s">
        <v>3</v>
      </c>
      <c r="E1034" s="2">
        <v>28830</v>
      </c>
      <c r="F1034" s="2" t="s">
        <v>3</v>
      </c>
      <c r="G1034" s="2" t="s">
        <v>3</v>
      </c>
      <c r="H1034" s="2">
        <v>1540</v>
      </c>
      <c r="I1034" s="2">
        <v>118</v>
      </c>
    </row>
    <row r="1035" spans="1:9" hidden="1" x14ac:dyDescent="0.3">
      <c r="A1035" t="s">
        <v>17</v>
      </c>
      <c r="B1035" s="1">
        <v>44317</v>
      </c>
      <c r="C1035" s="2">
        <v>28183</v>
      </c>
      <c r="D1035" s="2" t="s">
        <v>3</v>
      </c>
      <c r="E1035" s="2">
        <v>26761</v>
      </c>
      <c r="F1035" s="2" t="s">
        <v>3</v>
      </c>
      <c r="G1035" s="2" t="s">
        <v>3</v>
      </c>
      <c r="H1035" s="2">
        <v>1423</v>
      </c>
      <c r="I1035" s="2">
        <v>-245</v>
      </c>
    </row>
    <row r="1036" spans="1:9" hidden="1" x14ac:dyDescent="0.3">
      <c r="A1036" t="s">
        <v>17</v>
      </c>
      <c r="B1036" s="1">
        <v>44287</v>
      </c>
      <c r="C1036" s="2">
        <v>28208</v>
      </c>
      <c r="D1036" s="2" t="s">
        <v>3</v>
      </c>
      <c r="E1036" s="2">
        <v>26540</v>
      </c>
      <c r="F1036" s="2" t="s">
        <v>3</v>
      </c>
      <c r="G1036" s="2" t="s">
        <v>3</v>
      </c>
      <c r="H1036" s="2">
        <v>1668</v>
      </c>
      <c r="I1036" s="2">
        <v>-185</v>
      </c>
    </row>
    <row r="1037" spans="1:9" hidden="1" x14ac:dyDescent="0.3">
      <c r="A1037" t="s">
        <v>17</v>
      </c>
      <c r="B1037" s="1">
        <v>44256</v>
      </c>
      <c r="C1037" s="2">
        <v>28693</v>
      </c>
      <c r="D1037" s="2" t="s">
        <v>3</v>
      </c>
      <c r="E1037" s="2">
        <v>26840</v>
      </c>
      <c r="F1037" s="2" t="s">
        <v>3</v>
      </c>
      <c r="G1037" s="2" t="s">
        <v>3</v>
      </c>
      <c r="H1037" s="2">
        <v>1853</v>
      </c>
      <c r="I1037" s="2">
        <v>-44</v>
      </c>
    </row>
    <row r="1038" spans="1:9" hidden="1" x14ac:dyDescent="0.3">
      <c r="A1038" t="s">
        <v>17</v>
      </c>
      <c r="B1038" s="1">
        <v>44228</v>
      </c>
      <c r="C1038" s="2">
        <v>28676</v>
      </c>
      <c r="D1038" s="2" t="s">
        <v>3</v>
      </c>
      <c r="E1038" s="2">
        <v>26779</v>
      </c>
      <c r="F1038" s="2" t="s">
        <v>3</v>
      </c>
      <c r="G1038" s="2" t="s">
        <v>3</v>
      </c>
      <c r="H1038" s="2">
        <v>1897</v>
      </c>
      <c r="I1038" s="2">
        <v>-69</v>
      </c>
    </row>
    <row r="1039" spans="1:9" hidden="1" x14ac:dyDescent="0.3">
      <c r="A1039" t="s">
        <v>17</v>
      </c>
      <c r="B1039" s="1">
        <v>44197</v>
      </c>
      <c r="C1039" s="2">
        <v>30698</v>
      </c>
      <c r="D1039" s="2" t="s">
        <v>3</v>
      </c>
      <c r="E1039" s="2">
        <v>28731</v>
      </c>
      <c r="F1039" s="2" t="s">
        <v>3</v>
      </c>
      <c r="G1039" s="2" t="s">
        <v>3</v>
      </c>
      <c r="H1039" s="2">
        <v>1966</v>
      </c>
      <c r="I1039" s="2">
        <v>-125</v>
      </c>
    </row>
    <row r="1040" spans="1:9" hidden="1" x14ac:dyDescent="0.3">
      <c r="A1040" t="s">
        <v>17</v>
      </c>
      <c r="B1040" s="1">
        <v>44166</v>
      </c>
      <c r="C1040" s="2">
        <v>35292</v>
      </c>
      <c r="D1040" s="2" t="s">
        <v>3</v>
      </c>
      <c r="E1040" s="2">
        <v>33201</v>
      </c>
      <c r="F1040" s="2" t="s">
        <v>3</v>
      </c>
      <c r="G1040" s="2" t="s">
        <v>3</v>
      </c>
      <c r="H1040" s="2">
        <v>2091</v>
      </c>
      <c r="I1040" s="2">
        <v>127</v>
      </c>
    </row>
    <row r="1041" spans="1:9" hidden="1" x14ac:dyDescent="0.3">
      <c r="A1041" t="s">
        <v>17</v>
      </c>
      <c r="B1041" s="1">
        <v>44136</v>
      </c>
      <c r="C1041" s="2">
        <v>33725</v>
      </c>
      <c r="D1041" s="2" t="s">
        <v>3</v>
      </c>
      <c r="E1041" s="2">
        <v>31761</v>
      </c>
      <c r="F1041" s="2" t="s">
        <v>3</v>
      </c>
      <c r="G1041" s="2" t="s">
        <v>3</v>
      </c>
      <c r="H1041" s="2">
        <v>1964</v>
      </c>
      <c r="I1041" s="2">
        <v>-194</v>
      </c>
    </row>
    <row r="1042" spans="1:9" hidden="1" x14ac:dyDescent="0.3">
      <c r="A1042" t="s">
        <v>17</v>
      </c>
      <c r="B1042" s="1">
        <v>44105</v>
      </c>
      <c r="C1042" s="2">
        <v>35234</v>
      </c>
      <c r="D1042" s="2" t="s">
        <v>3</v>
      </c>
      <c r="E1042" s="2">
        <v>33076</v>
      </c>
      <c r="F1042" s="2" t="s">
        <v>3</v>
      </c>
      <c r="G1042" s="2" t="s">
        <v>3</v>
      </c>
      <c r="H1042" s="2">
        <v>2158</v>
      </c>
      <c r="I1042" s="2">
        <v>113</v>
      </c>
    </row>
    <row r="1043" spans="1:9" hidden="1" x14ac:dyDescent="0.3">
      <c r="A1043" t="s">
        <v>17</v>
      </c>
      <c r="B1043" s="1">
        <v>44075</v>
      </c>
      <c r="C1043" s="2">
        <v>41258</v>
      </c>
      <c r="D1043" s="2" t="s">
        <v>3</v>
      </c>
      <c r="E1043" s="2">
        <v>39212</v>
      </c>
      <c r="F1043" s="2" t="s">
        <v>3</v>
      </c>
      <c r="G1043" s="2" t="s">
        <v>3</v>
      </c>
      <c r="H1043" s="2">
        <v>2045</v>
      </c>
      <c r="I1043" s="2">
        <v>-227</v>
      </c>
    </row>
    <row r="1044" spans="1:9" hidden="1" x14ac:dyDescent="0.3">
      <c r="A1044" t="s">
        <v>17</v>
      </c>
      <c r="B1044" s="1">
        <v>44044</v>
      </c>
      <c r="C1044" s="2">
        <v>41284</v>
      </c>
      <c r="D1044" s="2" t="s">
        <v>3</v>
      </c>
      <c r="E1044" s="2">
        <v>39012</v>
      </c>
      <c r="F1044" s="2" t="s">
        <v>3</v>
      </c>
      <c r="G1044" s="2" t="s">
        <v>3</v>
      </c>
      <c r="H1044" s="2">
        <v>2272</v>
      </c>
      <c r="I1044" s="2">
        <v>-453</v>
      </c>
    </row>
    <row r="1045" spans="1:9" hidden="1" x14ac:dyDescent="0.3">
      <c r="A1045" t="s">
        <v>17</v>
      </c>
      <c r="B1045" s="1">
        <v>44013</v>
      </c>
      <c r="C1045" s="2">
        <v>41943</v>
      </c>
      <c r="D1045" s="2" t="s">
        <v>3</v>
      </c>
      <c r="E1045" s="2">
        <v>39219</v>
      </c>
      <c r="F1045" s="2" t="s">
        <v>3</v>
      </c>
      <c r="G1045" s="2" t="s">
        <v>3</v>
      </c>
      <c r="H1045" s="2">
        <v>2725</v>
      </c>
      <c r="I1045" s="2">
        <v>-257</v>
      </c>
    </row>
    <row r="1046" spans="1:9" hidden="1" x14ac:dyDescent="0.3">
      <c r="A1046" t="s">
        <v>17</v>
      </c>
      <c r="B1046" s="1">
        <v>43983</v>
      </c>
      <c r="C1046" s="2">
        <v>43954</v>
      </c>
      <c r="D1046" s="2" t="s">
        <v>3</v>
      </c>
      <c r="E1046" s="2">
        <v>40972</v>
      </c>
      <c r="F1046" s="2" t="s">
        <v>3</v>
      </c>
      <c r="G1046" s="2" t="s">
        <v>3</v>
      </c>
      <c r="H1046" s="2">
        <v>2982</v>
      </c>
      <c r="I1046" s="2">
        <v>209</v>
      </c>
    </row>
    <row r="1047" spans="1:9" hidden="1" x14ac:dyDescent="0.3">
      <c r="A1047" t="s">
        <v>17</v>
      </c>
      <c r="B1047" s="1">
        <v>43952</v>
      </c>
      <c r="C1047" s="2">
        <v>47333</v>
      </c>
      <c r="D1047" s="2" t="s">
        <v>3</v>
      </c>
      <c r="E1047" s="2">
        <v>44560</v>
      </c>
      <c r="F1047" s="2" t="s">
        <v>3</v>
      </c>
      <c r="G1047" s="2" t="s">
        <v>3</v>
      </c>
      <c r="H1047" s="2">
        <v>2773</v>
      </c>
      <c r="I1047" s="2">
        <v>524</v>
      </c>
    </row>
    <row r="1048" spans="1:9" hidden="1" x14ac:dyDescent="0.3">
      <c r="A1048" t="s">
        <v>17</v>
      </c>
      <c r="B1048" s="1">
        <v>43922</v>
      </c>
      <c r="C1048" s="2">
        <v>44003</v>
      </c>
      <c r="D1048" s="2" t="s">
        <v>3</v>
      </c>
      <c r="E1048" s="2">
        <v>41753</v>
      </c>
      <c r="F1048" s="2" t="s">
        <v>3</v>
      </c>
      <c r="G1048" s="2" t="s">
        <v>3</v>
      </c>
      <c r="H1048" s="2">
        <v>2250</v>
      </c>
      <c r="I1048" s="2">
        <v>543</v>
      </c>
    </row>
    <row r="1049" spans="1:9" hidden="1" x14ac:dyDescent="0.3">
      <c r="A1049" t="s">
        <v>17</v>
      </c>
      <c r="B1049" s="1">
        <v>43891</v>
      </c>
      <c r="C1049" s="2">
        <v>43783</v>
      </c>
      <c r="D1049" s="2" t="s">
        <v>3</v>
      </c>
      <c r="E1049" s="2">
        <v>42077</v>
      </c>
      <c r="F1049" s="2" t="s">
        <v>3</v>
      </c>
      <c r="G1049" s="2" t="s">
        <v>3</v>
      </c>
      <c r="H1049" s="2">
        <v>1706</v>
      </c>
      <c r="I1049" s="2">
        <v>-363</v>
      </c>
    </row>
    <row r="1050" spans="1:9" hidden="1" x14ac:dyDescent="0.3">
      <c r="A1050" t="s">
        <v>17</v>
      </c>
      <c r="B1050" s="1">
        <v>43862</v>
      </c>
      <c r="C1050" s="2">
        <v>46160</v>
      </c>
      <c r="D1050" s="2" t="s">
        <v>3</v>
      </c>
      <c r="E1050" s="2">
        <v>44091</v>
      </c>
      <c r="F1050" s="2" t="s">
        <v>3</v>
      </c>
      <c r="G1050" s="2" t="s">
        <v>3</v>
      </c>
      <c r="H1050" s="2">
        <v>2069</v>
      </c>
      <c r="I1050" s="2">
        <v>74</v>
      </c>
    </row>
    <row r="1051" spans="1:9" hidden="1" x14ac:dyDescent="0.3">
      <c r="A1051" t="s">
        <v>17</v>
      </c>
      <c r="B1051" s="1">
        <v>43831</v>
      </c>
      <c r="C1051" s="2">
        <v>43885</v>
      </c>
      <c r="D1051" s="2" t="s">
        <v>3</v>
      </c>
      <c r="E1051" s="2">
        <v>41890</v>
      </c>
      <c r="F1051" s="2" t="s">
        <v>3</v>
      </c>
      <c r="G1051" s="2" t="s">
        <v>3</v>
      </c>
      <c r="H1051" s="2">
        <v>1995</v>
      </c>
      <c r="I1051" s="2">
        <v>-295</v>
      </c>
    </row>
    <row r="1052" spans="1:9" x14ac:dyDescent="0.3">
      <c r="A1052" t="s">
        <v>18</v>
      </c>
      <c r="B1052" s="1">
        <v>45931</v>
      </c>
      <c r="C1052" s="2">
        <v>48682</v>
      </c>
      <c r="D1052" s="2">
        <v>-119</v>
      </c>
      <c r="E1052" s="2">
        <v>48467</v>
      </c>
      <c r="F1052" s="2">
        <v>-108</v>
      </c>
      <c r="G1052" s="2">
        <v>-297</v>
      </c>
      <c r="H1052" s="2">
        <v>215</v>
      </c>
      <c r="I1052" s="2">
        <v>-11</v>
      </c>
    </row>
    <row r="1053" spans="1:9" x14ac:dyDescent="0.3">
      <c r="A1053" t="s">
        <v>18</v>
      </c>
      <c r="B1053" s="1">
        <v>45901</v>
      </c>
      <c r="C1053" s="2">
        <v>48999</v>
      </c>
      <c r="D1053" s="2">
        <v>490</v>
      </c>
      <c r="E1053" s="2">
        <v>48773</v>
      </c>
      <c r="F1053" s="2">
        <v>565</v>
      </c>
      <c r="G1053" s="2">
        <v>271</v>
      </c>
      <c r="H1053" s="2">
        <v>226</v>
      </c>
      <c r="I1053" s="2">
        <v>-75</v>
      </c>
    </row>
    <row r="1054" spans="1:9" x14ac:dyDescent="0.3">
      <c r="A1054" t="s">
        <v>18</v>
      </c>
      <c r="B1054" s="1">
        <v>45870</v>
      </c>
      <c r="C1054" s="2">
        <v>48400</v>
      </c>
      <c r="D1054" s="2">
        <v>-560</v>
      </c>
      <c r="E1054" s="2">
        <v>48099</v>
      </c>
      <c r="F1054" s="2">
        <v>-497</v>
      </c>
      <c r="G1054" s="2">
        <v>437</v>
      </c>
      <c r="H1054" s="2">
        <v>301</v>
      </c>
      <c r="I1054" s="2">
        <v>-63</v>
      </c>
    </row>
    <row r="1055" spans="1:9" x14ac:dyDescent="0.3">
      <c r="A1055" t="s">
        <v>18</v>
      </c>
      <c r="B1055" s="1">
        <v>45839</v>
      </c>
      <c r="C1055" s="2">
        <v>48575</v>
      </c>
      <c r="D1055" s="2">
        <v>721</v>
      </c>
      <c r="E1055" s="2">
        <v>48211</v>
      </c>
      <c r="F1055" s="2">
        <v>777</v>
      </c>
      <c r="G1055" s="2">
        <v>-614</v>
      </c>
      <c r="H1055" s="2">
        <v>364</v>
      </c>
      <c r="I1055" s="2">
        <v>-56</v>
      </c>
    </row>
    <row r="1056" spans="1:9" x14ac:dyDescent="0.3">
      <c r="A1056" t="s">
        <v>18</v>
      </c>
      <c r="B1056" s="1">
        <v>45809</v>
      </c>
      <c r="C1056" s="2">
        <v>48501</v>
      </c>
      <c r="D1056" s="2">
        <v>-315</v>
      </c>
      <c r="E1056" s="2">
        <v>48081</v>
      </c>
      <c r="F1056" s="2">
        <v>-311</v>
      </c>
      <c r="G1056" s="2">
        <v>43</v>
      </c>
      <c r="H1056" s="2">
        <v>420</v>
      </c>
      <c r="I1056" s="2">
        <v>-4</v>
      </c>
    </row>
    <row r="1057" spans="1:9" x14ac:dyDescent="0.3">
      <c r="A1057" t="s">
        <v>18</v>
      </c>
      <c r="B1057" s="1">
        <v>45778</v>
      </c>
      <c r="C1057" s="2">
        <v>48684</v>
      </c>
      <c r="D1057" s="2">
        <v>-3415</v>
      </c>
      <c r="E1057" s="2">
        <v>48260</v>
      </c>
      <c r="F1057" s="2">
        <v>-3406</v>
      </c>
      <c r="G1057" s="2">
        <v>-376</v>
      </c>
      <c r="H1057" s="2">
        <v>424</v>
      </c>
      <c r="I1057" s="2">
        <v>-9</v>
      </c>
    </row>
    <row r="1058" spans="1:9" x14ac:dyDescent="0.3">
      <c r="A1058" t="s">
        <v>18</v>
      </c>
      <c r="B1058" s="1">
        <v>45748</v>
      </c>
      <c r="C1058" s="2">
        <v>52481</v>
      </c>
      <c r="D1058" s="2">
        <v>-2582</v>
      </c>
      <c r="E1058" s="2">
        <v>52048</v>
      </c>
      <c r="F1058" s="2">
        <v>-2593</v>
      </c>
      <c r="G1058" s="2">
        <v>11</v>
      </c>
      <c r="H1058" s="2">
        <v>433</v>
      </c>
      <c r="I1058" s="2">
        <v>11</v>
      </c>
    </row>
    <row r="1059" spans="1:9" x14ac:dyDescent="0.3">
      <c r="A1059" t="s">
        <v>18</v>
      </c>
      <c r="B1059" s="1">
        <v>45717</v>
      </c>
      <c r="C1059" s="2">
        <v>55948</v>
      </c>
      <c r="D1059" s="2">
        <v>3417</v>
      </c>
      <c r="E1059" s="2">
        <v>55526</v>
      </c>
      <c r="F1059" s="2">
        <v>3458</v>
      </c>
      <c r="G1059" s="2">
        <v>697</v>
      </c>
      <c r="H1059" s="2">
        <v>422</v>
      </c>
      <c r="I1059" s="2">
        <v>-41</v>
      </c>
    </row>
    <row r="1060" spans="1:9" x14ac:dyDescent="0.3">
      <c r="A1060" t="s">
        <v>18</v>
      </c>
      <c r="B1060" s="1">
        <v>45689</v>
      </c>
      <c r="C1060" s="2">
        <v>51601</v>
      </c>
      <c r="D1060" s="2">
        <v>1414</v>
      </c>
      <c r="E1060" s="2">
        <v>51138</v>
      </c>
      <c r="F1060" s="2">
        <v>1322</v>
      </c>
      <c r="G1060" s="2">
        <v>1181</v>
      </c>
      <c r="H1060" s="2">
        <v>463</v>
      </c>
      <c r="I1060" s="2">
        <v>92</v>
      </c>
    </row>
    <row r="1061" spans="1:9" x14ac:dyDescent="0.3">
      <c r="A1061" t="s">
        <v>18</v>
      </c>
      <c r="B1061" s="1">
        <v>45658</v>
      </c>
      <c r="C1061" s="2">
        <v>48405</v>
      </c>
      <c r="D1061" s="2">
        <v>-762</v>
      </c>
      <c r="E1061" s="2">
        <v>48034</v>
      </c>
      <c r="F1061" s="2">
        <v>-688</v>
      </c>
      <c r="G1061" s="2">
        <v>-255</v>
      </c>
      <c r="H1061" s="2">
        <v>371</v>
      </c>
      <c r="I1061" s="2">
        <v>-74</v>
      </c>
    </row>
    <row r="1062" spans="1:9" x14ac:dyDescent="0.3">
      <c r="A1062" t="s">
        <v>18</v>
      </c>
      <c r="B1062" s="1">
        <v>45627</v>
      </c>
      <c r="C1062" s="2">
        <v>49152</v>
      </c>
      <c r="D1062" s="2">
        <v>-954</v>
      </c>
      <c r="E1062" s="2">
        <v>48707</v>
      </c>
      <c r="F1062" s="2">
        <v>-947</v>
      </c>
      <c r="G1062" s="2">
        <v>-928</v>
      </c>
      <c r="H1062" s="2">
        <v>445</v>
      </c>
      <c r="I1062" s="2">
        <v>-7</v>
      </c>
    </row>
    <row r="1063" spans="1:9" x14ac:dyDescent="0.3">
      <c r="A1063" t="s">
        <v>18</v>
      </c>
      <c r="B1063" s="1">
        <v>45597</v>
      </c>
      <c r="C1063" s="2">
        <v>50990</v>
      </c>
      <c r="D1063" s="2">
        <v>1952</v>
      </c>
      <c r="E1063" s="2">
        <v>50538</v>
      </c>
      <c r="F1063" s="2">
        <v>2005</v>
      </c>
      <c r="G1063" s="2">
        <v>-1036</v>
      </c>
      <c r="H1063" s="2">
        <v>452</v>
      </c>
      <c r="I1063" s="2">
        <v>-53</v>
      </c>
    </row>
    <row r="1064" spans="1:9" x14ac:dyDescent="0.3">
      <c r="A1064" t="s">
        <v>18</v>
      </c>
      <c r="B1064" s="1">
        <v>45566</v>
      </c>
      <c r="C1064" s="2">
        <v>50382</v>
      </c>
      <c r="D1064" s="2">
        <v>-393</v>
      </c>
      <c r="E1064" s="2">
        <v>49877</v>
      </c>
      <c r="F1064" s="2">
        <v>-369</v>
      </c>
      <c r="G1064" s="2">
        <v>-955</v>
      </c>
      <c r="H1064" s="2">
        <v>505</v>
      </c>
      <c r="I1064" s="2">
        <v>-24</v>
      </c>
    </row>
    <row r="1065" spans="1:9" x14ac:dyDescent="0.3">
      <c r="A1065" t="s">
        <v>18</v>
      </c>
      <c r="B1065" s="1">
        <v>45536</v>
      </c>
      <c r="C1065" s="2">
        <v>51327</v>
      </c>
      <c r="D1065" s="2">
        <v>1161</v>
      </c>
      <c r="E1065" s="2">
        <v>50798</v>
      </c>
      <c r="F1065" s="2">
        <v>1125</v>
      </c>
      <c r="G1065" s="2">
        <v>386</v>
      </c>
      <c r="H1065" s="2">
        <v>529</v>
      </c>
      <c r="I1065" s="2">
        <v>36</v>
      </c>
    </row>
    <row r="1066" spans="1:9" x14ac:dyDescent="0.3">
      <c r="A1066" t="s">
        <v>18</v>
      </c>
      <c r="B1066" s="1">
        <v>45505</v>
      </c>
      <c r="C1066" s="2">
        <v>49567</v>
      </c>
      <c r="D1066" s="2">
        <v>965</v>
      </c>
      <c r="E1066" s="2">
        <v>49074</v>
      </c>
      <c r="F1066" s="2">
        <v>960</v>
      </c>
      <c r="G1066" s="2">
        <v>799</v>
      </c>
      <c r="H1066" s="2">
        <v>493</v>
      </c>
      <c r="I1066" s="2">
        <v>5</v>
      </c>
    </row>
    <row r="1067" spans="1:9" x14ac:dyDescent="0.3">
      <c r="A1067" t="s">
        <v>18</v>
      </c>
      <c r="B1067" s="1">
        <v>45474</v>
      </c>
      <c r="C1067" s="2">
        <v>47963</v>
      </c>
      <c r="D1067" s="2">
        <v>549</v>
      </c>
      <c r="E1067" s="2">
        <v>47475</v>
      </c>
      <c r="F1067" s="2">
        <v>674</v>
      </c>
      <c r="G1067" s="2">
        <v>443</v>
      </c>
      <c r="H1067" s="2">
        <v>488</v>
      </c>
      <c r="I1067" s="2">
        <v>-125</v>
      </c>
    </row>
    <row r="1068" spans="1:9" x14ac:dyDescent="0.3">
      <c r="A1068" t="s">
        <v>18</v>
      </c>
      <c r="B1068" s="1">
        <v>45444</v>
      </c>
      <c r="C1068" s="2">
        <v>46544</v>
      </c>
      <c r="D1068" s="2">
        <v>-16</v>
      </c>
      <c r="E1068" s="2">
        <v>45931</v>
      </c>
      <c r="F1068" s="2">
        <v>-19</v>
      </c>
      <c r="G1068" s="2">
        <v>584</v>
      </c>
      <c r="H1068" s="2">
        <v>613</v>
      </c>
      <c r="I1068" s="2">
        <v>3</v>
      </c>
    </row>
    <row r="1069" spans="1:9" x14ac:dyDescent="0.3">
      <c r="A1069" t="s">
        <v>18</v>
      </c>
      <c r="B1069" s="1">
        <v>45413</v>
      </c>
      <c r="C1069" s="2">
        <v>46673</v>
      </c>
      <c r="D1069" s="2">
        <v>1493</v>
      </c>
      <c r="E1069" s="2">
        <v>46063</v>
      </c>
      <c r="F1069" s="2">
        <v>1509</v>
      </c>
      <c r="G1069" s="2">
        <v>334</v>
      </c>
      <c r="H1069" s="2">
        <v>610</v>
      </c>
      <c r="I1069" s="2">
        <v>-16</v>
      </c>
    </row>
    <row r="1070" spans="1:9" x14ac:dyDescent="0.3">
      <c r="A1070" t="s">
        <v>18</v>
      </c>
      <c r="B1070" s="1">
        <v>45383</v>
      </c>
      <c r="C1070" s="2">
        <v>45384</v>
      </c>
      <c r="D1070" s="2">
        <v>902</v>
      </c>
      <c r="E1070" s="2">
        <v>44758</v>
      </c>
      <c r="F1070" s="2">
        <v>972</v>
      </c>
      <c r="G1070" s="2">
        <v>-1098</v>
      </c>
      <c r="H1070" s="2">
        <v>626</v>
      </c>
      <c r="I1070" s="2">
        <v>-70</v>
      </c>
    </row>
    <row r="1071" spans="1:9" x14ac:dyDescent="0.3">
      <c r="A1071" t="s">
        <v>18</v>
      </c>
      <c r="B1071" s="1">
        <v>45352</v>
      </c>
      <c r="C1071" s="2">
        <v>45541</v>
      </c>
      <c r="D1071" s="2">
        <v>264</v>
      </c>
      <c r="E1071" s="2">
        <v>44845</v>
      </c>
      <c r="F1071" s="2">
        <v>223</v>
      </c>
      <c r="G1071" s="2">
        <v>187</v>
      </c>
      <c r="H1071" s="2">
        <v>696</v>
      </c>
      <c r="I1071" s="2">
        <v>41</v>
      </c>
    </row>
    <row r="1072" spans="1:9" x14ac:dyDescent="0.3">
      <c r="A1072" t="s">
        <v>18</v>
      </c>
      <c r="B1072" s="1">
        <v>45323</v>
      </c>
      <c r="C1072" s="2">
        <v>44331</v>
      </c>
      <c r="D1072" s="2">
        <v>-601</v>
      </c>
      <c r="E1072" s="2">
        <v>43676</v>
      </c>
      <c r="F1072" s="2">
        <v>-710</v>
      </c>
      <c r="G1072" s="2">
        <v>-798</v>
      </c>
      <c r="H1072" s="2">
        <v>655</v>
      </c>
      <c r="I1072" s="2">
        <v>109</v>
      </c>
    </row>
    <row r="1073" spans="1:9" x14ac:dyDescent="0.3">
      <c r="A1073" t="s">
        <v>18</v>
      </c>
      <c r="B1073" s="1">
        <v>45292</v>
      </c>
      <c r="C1073" s="2">
        <v>45469</v>
      </c>
      <c r="D1073" s="2">
        <v>-1090</v>
      </c>
      <c r="E1073" s="2">
        <v>44923</v>
      </c>
      <c r="F1073" s="2">
        <v>-942</v>
      </c>
      <c r="G1073" s="2">
        <v>118</v>
      </c>
      <c r="H1073" s="2">
        <v>546</v>
      </c>
      <c r="I1073" s="2">
        <v>-148</v>
      </c>
    </row>
    <row r="1074" spans="1:9" x14ac:dyDescent="0.3">
      <c r="A1074" t="s">
        <v>18</v>
      </c>
      <c r="B1074" s="1">
        <v>45261</v>
      </c>
      <c r="C1074" s="2">
        <v>46887</v>
      </c>
      <c r="D1074" s="2">
        <v>475</v>
      </c>
      <c r="E1074" s="2">
        <v>46193</v>
      </c>
      <c r="F1074" s="2">
        <v>557</v>
      </c>
      <c r="G1074" s="2">
        <v>1324</v>
      </c>
      <c r="H1074" s="2">
        <v>694</v>
      </c>
      <c r="I1074" s="2">
        <v>-82</v>
      </c>
    </row>
    <row r="1075" spans="1:9" x14ac:dyDescent="0.3">
      <c r="A1075" t="s">
        <v>18</v>
      </c>
      <c r="B1075" s="1">
        <v>45231</v>
      </c>
      <c r="C1075" s="2">
        <v>46125</v>
      </c>
      <c r="D1075" s="2">
        <v>120</v>
      </c>
      <c r="E1075" s="2">
        <v>45349</v>
      </c>
      <c r="F1075" s="2">
        <v>237</v>
      </c>
      <c r="G1075" s="2">
        <v>790</v>
      </c>
      <c r="H1075" s="2">
        <v>776</v>
      </c>
      <c r="I1075" s="2">
        <v>-117</v>
      </c>
    </row>
    <row r="1076" spans="1:9" x14ac:dyDescent="0.3">
      <c r="A1076" t="s">
        <v>18</v>
      </c>
      <c r="B1076" s="1">
        <v>45200</v>
      </c>
      <c r="C1076" s="2">
        <v>44892</v>
      </c>
      <c r="D1076" s="2">
        <v>531</v>
      </c>
      <c r="E1076" s="2">
        <v>43999</v>
      </c>
      <c r="F1076" s="2">
        <v>371</v>
      </c>
      <c r="G1076" s="2">
        <v>-540</v>
      </c>
      <c r="H1076" s="2">
        <v>893</v>
      </c>
      <c r="I1076" s="2">
        <v>160</v>
      </c>
    </row>
    <row r="1077" spans="1:9" x14ac:dyDescent="0.3">
      <c r="A1077" t="s">
        <v>18</v>
      </c>
      <c r="B1077" s="1">
        <v>45170</v>
      </c>
      <c r="C1077" s="2">
        <v>44771</v>
      </c>
      <c r="D1077" s="2">
        <v>1336</v>
      </c>
      <c r="E1077" s="2">
        <v>44038</v>
      </c>
      <c r="F1077" s="2">
        <v>1150</v>
      </c>
      <c r="G1077" s="2">
        <v>-447</v>
      </c>
      <c r="H1077" s="2">
        <v>733</v>
      </c>
      <c r="I1077" s="2">
        <v>186</v>
      </c>
    </row>
    <row r="1078" spans="1:9" x14ac:dyDescent="0.3">
      <c r="A1078" t="s">
        <v>18</v>
      </c>
      <c r="B1078" s="1">
        <v>45139</v>
      </c>
      <c r="C1078" s="2">
        <v>43830</v>
      </c>
      <c r="D1078" s="2">
        <v>409</v>
      </c>
      <c r="E1078" s="2">
        <v>43283</v>
      </c>
      <c r="F1078" s="2">
        <v>411</v>
      </c>
      <c r="G1078" s="2">
        <v>-494</v>
      </c>
      <c r="H1078" s="2">
        <v>547</v>
      </c>
      <c r="I1078" s="2">
        <v>-2</v>
      </c>
    </row>
    <row r="1079" spans="1:9" x14ac:dyDescent="0.3">
      <c r="A1079" t="s">
        <v>18</v>
      </c>
      <c r="B1079" s="1">
        <v>45108</v>
      </c>
      <c r="C1079" s="2">
        <v>44051</v>
      </c>
      <c r="D1079" s="2">
        <v>550</v>
      </c>
      <c r="E1079" s="2">
        <v>43502</v>
      </c>
      <c r="F1079" s="2">
        <v>608</v>
      </c>
      <c r="G1079" s="2">
        <v>86</v>
      </c>
      <c r="H1079" s="2">
        <v>549</v>
      </c>
      <c r="I1079" s="2">
        <v>-58</v>
      </c>
    </row>
    <row r="1080" spans="1:9" x14ac:dyDescent="0.3">
      <c r="A1080" t="s">
        <v>18</v>
      </c>
      <c r="B1080" s="1">
        <v>45078</v>
      </c>
      <c r="C1080" s="2">
        <v>42805</v>
      </c>
      <c r="D1080" s="2">
        <v>3085</v>
      </c>
      <c r="E1080" s="2">
        <v>42198</v>
      </c>
      <c r="F1080" s="2">
        <v>2832</v>
      </c>
      <c r="G1080" s="2">
        <v>-527</v>
      </c>
      <c r="H1080" s="2">
        <v>607</v>
      </c>
      <c r="I1080" s="2">
        <v>253</v>
      </c>
    </row>
    <row r="1081" spans="1:9" x14ac:dyDescent="0.3">
      <c r="A1081" t="s">
        <v>18</v>
      </c>
      <c r="B1081" s="1">
        <v>45047</v>
      </c>
      <c r="C1081" s="2">
        <v>39477</v>
      </c>
      <c r="D1081" s="2">
        <v>481</v>
      </c>
      <c r="E1081" s="2">
        <v>39123</v>
      </c>
      <c r="F1081" s="2">
        <v>389</v>
      </c>
      <c r="G1081" s="2">
        <v>-508</v>
      </c>
      <c r="H1081" s="2">
        <v>354</v>
      </c>
      <c r="I1081" s="2">
        <v>92</v>
      </c>
    </row>
    <row r="1082" spans="1:9" x14ac:dyDescent="0.3">
      <c r="A1082" t="s">
        <v>18</v>
      </c>
      <c r="B1082" s="1">
        <v>45017</v>
      </c>
      <c r="C1082" s="2">
        <v>39550</v>
      </c>
      <c r="D1082" s="2">
        <v>1234</v>
      </c>
      <c r="E1082" s="2">
        <v>39288</v>
      </c>
      <c r="F1082" s="2">
        <v>1437</v>
      </c>
      <c r="G1082" s="2">
        <v>605</v>
      </c>
      <c r="H1082" s="2">
        <v>262</v>
      </c>
      <c r="I1082" s="2">
        <v>-203</v>
      </c>
    </row>
    <row r="1083" spans="1:9" x14ac:dyDescent="0.3">
      <c r="A1083" t="s">
        <v>18</v>
      </c>
      <c r="B1083" s="1">
        <v>44986</v>
      </c>
      <c r="C1083" s="2">
        <v>38274</v>
      </c>
      <c r="D1083" s="2">
        <v>-16</v>
      </c>
      <c r="E1083" s="2">
        <v>37809</v>
      </c>
      <c r="F1083" s="2">
        <v>177</v>
      </c>
      <c r="G1083" s="2">
        <v>417</v>
      </c>
      <c r="H1083" s="2">
        <v>465</v>
      </c>
      <c r="I1083" s="2">
        <v>-193</v>
      </c>
    </row>
    <row r="1084" spans="1:9" x14ac:dyDescent="0.3">
      <c r="A1084" t="s">
        <v>18</v>
      </c>
      <c r="B1084" s="1">
        <v>44958</v>
      </c>
      <c r="C1084" s="2">
        <v>38865</v>
      </c>
      <c r="D1084" s="2">
        <v>25</v>
      </c>
      <c r="E1084" s="2">
        <v>38207</v>
      </c>
      <c r="F1084" s="2">
        <v>44</v>
      </c>
      <c r="G1084" s="2">
        <v>-191</v>
      </c>
      <c r="H1084" s="2">
        <v>658</v>
      </c>
      <c r="I1084" s="2">
        <v>-19</v>
      </c>
    </row>
    <row r="1085" spans="1:9" hidden="1" x14ac:dyDescent="0.3">
      <c r="A1085" t="s">
        <v>18</v>
      </c>
      <c r="B1085" s="1">
        <v>44927</v>
      </c>
      <c r="C1085" s="2">
        <v>39451</v>
      </c>
      <c r="D1085" s="2" t="s">
        <v>3</v>
      </c>
      <c r="E1085" s="2">
        <v>38774</v>
      </c>
      <c r="F1085" s="2" t="s">
        <v>3</v>
      </c>
      <c r="G1085" s="2" t="s">
        <v>3</v>
      </c>
      <c r="H1085" s="2">
        <v>677</v>
      </c>
      <c r="I1085" s="2">
        <v>-188</v>
      </c>
    </row>
    <row r="1086" spans="1:9" hidden="1" x14ac:dyDescent="0.3">
      <c r="A1086" t="s">
        <v>18</v>
      </c>
      <c r="B1086" s="1">
        <v>44896</v>
      </c>
      <c r="C1086" s="2">
        <v>42264</v>
      </c>
      <c r="D1086" s="2" t="s">
        <v>3</v>
      </c>
      <c r="E1086" s="2">
        <v>41399</v>
      </c>
      <c r="F1086" s="2" t="s">
        <v>3</v>
      </c>
      <c r="G1086" s="2" t="s">
        <v>3</v>
      </c>
      <c r="H1086" s="2">
        <v>865</v>
      </c>
      <c r="I1086" s="2">
        <v>-17</v>
      </c>
    </row>
    <row r="1087" spans="1:9" hidden="1" x14ac:dyDescent="0.3">
      <c r="A1087" t="s">
        <v>18</v>
      </c>
      <c r="B1087" s="1">
        <v>44866</v>
      </c>
      <c r="C1087" s="2">
        <v>48451</v>
      </c>
      <c r="D1087" s="2" t="s">
        <v>3</v>
      </c>
      <c r="E1087" s="2">
        <v>47569</v>
      </c>
      <c r="F1087" s="2" t="s">
        <v>3</v>
      </c>
      <c r="G1087" s="2" t="s">
        <v>3</v>
      </c>
      <c r="H1087" s="2">
        <v>882</v>
      </c>
      <c r="I1087" s="2">
        <v>27</v>
      </c>
    </row>
    <row r="1088" spans="1:9" hidden="1" x14ac:dyDescent="0.3">
      <c r="A1088" t="s">
        <v>18</v>
      </c>
      <c r="B1088" s="1">
        <v>44835</v>
      </c>
      <c r="C1088" s="2">
        <v>46258</v>
      </c>
      <c r="D1088" s="2" t="s">
        <v>3</v>
      </c>
      <c r="E1088" s="2">
        <v>45403</v>
      </c>
      <c r="F1088" s="2" t="s">
        <v>3</v>
      </c>
      <c r="G1088" s="2" t="s">
        <v>3</v>
      </c>
      <c r="H1088" s="2">
        <v>855</v>
      </c>
      <c r="I1088" s="2">
        <v>-3</v>
      </c>
    </row>
    <row r="1089" spans="1:9" hidden="1" x14ac:dyDescent="0.3">
      <c r="A1089" t="s">
        <v>18</v>
      </c>
      <c r="B1089" s="1">
        <v>44805</v>
      </c>
      <c r="C1089" s="2">
        <v>47088</v>
      </c>
      <c r="D1089" s="2" t="s">
        <v>3</v>
      </c>
      <c r="E1089" s="2">
        <v>46230</v>
      </c>
      <c r="F1089" s="2" t="s">
        <v>3</v>
      </c>
      <c r="G1089" s="2" t="s">
        <v>3</v>
      </c>
      <c r="H1089" s="2">
        <v>858</v>
      </c>
      <c r="I1089" s="2">
        <v>157</v>
      </c>
    </row>
    <row r="1090" spans="1:9" hidden="1" x14ac:dyDescent="0.3">
      <c r="A1090" t="s">
        <v>18</v>
      </c>
      <c r="B1090" s="1">
        <v>44774</v>
      </c>
      <c r="C1090" s="2">
        <v>48258</v>
      </c>
      <c r="D1090" s="2" t="s">
        <v>3</v>
      </c>
      <c r="E1090" s="2">
        <v>47557</v>
      </c>
      <c r="F1090" s="2" t="s">
        <v>3</v>
      </c>
      <c r="G1090" s="2" t="s">
        <v>3</v>
      </c>
      <c r="H1090" s="2">
        <v>701</v>
      </c>
      <c r="I1090" s="2">
        <v>74</v>
      </c>
    </row>
    <row r="1091" spans="1:9" hidden="1" x14ac:dyDescent="0.3">
      <c r="A1091" t="s">
        <v>18</v>
      </c>
      <c r="B1091" s="1">
        <v>44743</v>
      </c>
      <c r="C1091" s="2">
        <v>50306</v>
      </c>
      <c r="D1091" s="2" t="s">
        <v>3</v>
      </c>
      <c r="E1091" s="2">
        <v>49679</v>
      </c>
      <c r="F1091" s="2" t="s">
        <v>3</v>
      </c>
      <c r="G1091" s="2" t="s">
        <v>3</v>
      </c>
      <c r="H1091" s="2">
        <v>627</v>
      </c>
      <c r="I1091" s="2">
        <v>49</v>
      </c>
    </row>
    <row r="1092" spans="1:9" hidden="1" x14ac:dyDescent="0.3">
      <c r="A1092" t="s">
        <v>18</v>
      </c>
      <c r="B1092" s="1">
        <v>44713</v>
      </c>
      <c r="C1092" s="2">
        <v>48209</v>
      </c>
      <c r="D1092" s="2" t="s">
        <v>3</v>
      </c>
      <c r="E1092" s="2">
        <v>47631</v>
      </c>
      <c r="F1092" s="2" t="s">
        <v>3</v>
      </c>
      <c r="G1092" s="2" t="s">
        <v>3</v>
      </c>
      <c r="H1092" s="2">
        <v>578</v>
      </c>
      <c r="I1092" s="2">
        <v>-120</v>
      </c>
    </row>
    <row r="1093" spans="1:9" hidden="1" x14ac:dyDescent="0.3">
      <c r="A1093" t="s">
        <v>18</v>
      </c>
      <c r="B1093" s="1">
        <v>44682</v>
      </c>
      <c r="C1093" s="2">
        <v>48183</v>
      </c>
      <c r="D1093" s="2" t="s">
        <v>3</v>
      </c>
      <c r="E1093" s="2">
        <v>47485</v>
      </c>
      <c r="F1093" s="2" t="s">
        <v>3</v>
      </c>
      <c r="G1093" s="2" t="s">
        <v>3</v>
      </c>
      <c r="H1093" s="2">
        <v>698</v>
      </c>
      <c r="I1093" s="2">
        <v>-58</v>
      </c>
    </row>
    <row r="1094" spans="1:9" hidden="1" x14ac:dyDescent="0.3">
      <c r="A1094" t="s">
        <v>18</v>
      </c>
      <c r="B1094" s="1">
        <v>44652</v>
      </c>
      <c r="C1094" s="2">
        <v>53132</v>
      </c>
      <c r="D1094" s="2" t="s">
        <v>3</v>
      </c>
      <c r="E1094" s="2">
        <v>52376</v>
      </c>
      <c r="F1094" s="2" t="s">
        <v>3</v>
      </c>
      <c r="G1094" s="2" t="s">
        <v>3</v>
      </c>
      <c r="H1094" s="2">
        <v>756</v>
      </c>
      <c r="I1094" s="2">
        <v>60</v>
      </c>
    </row>
    <row r="1095" spans="1:9" hidden="1" x14ac:dyDescent="0.3">
      <c r="A1095" t="s">
        <v>18</v>
      </c>
      <c r="B1095" s="1">
        <v>44621</v>
      </c>
      <c r="C1095" s="2">
        <v>53476</v>
      </c>
      <c r="D1095" s="2" t="s">
        <v>3</v>
      </c>
      <c r="E1095" s="2">
        <v>52780</v>
      </c>
      <c r="F1095" s="2" t="s">
        <v>3</v>
      </c>
      <c r="G1095" s="2" t="s">
        <v>3</v>
      </c>
      <c r="H1095" s="2">
        <v>696</v>
      </c>
      <c r="I1095" s="2">
        <v>-240</v>
      </c>
    </row>
    <row r="1096" spans="1:9" hidden="1" x14ac:dyDescent="0.3">
      <c r="A1096" t="s">
        <v>18</v>
      </c>
      <c r="B1096" s="1">
        <v>44593</v>
      </c>
      <c r="C1096" s="2">
        <v>55430</v>
      </c>
      <c r="D1096" s="2" t="s">
        <v>3</v>
      </c>
      <c r="E1096" s="2">
        <v>54494</v>
      </c>
      <c r="F1096" s="2" t="s">
        <v>3</v>
      </c>
      <c r="G1096" s="2" t="s">
        <v>3</v>
      </c>
      <c r="H1096" s="2">
        <v>936</v>
      </c>
      <c r="I1096" s="2">
        <v>-65</v>
      </c>
    </row>
    <row r="1097" spans="1:9" hidden="1" x14ac:dyDescent="0.3">
      <c r="A1097" t="s">
        <v>18</v>
      </c>
      <c r="B1097" s="1">
        <v>44562</v>
      </c>
      <c r="C1097" s="2">
        <v>54514</v>
      </c>
      <c r="D1097" s="2" t="s">
        <v>3</v>
      </c>
      <c r="E1097" s="2">
        <v>53513</v>
      </c>
      <c r="F1097" s="2" t="s">
        <v>3</v>
      </c>
      <c r="G1097" s="2" t="s">
        <v>3</v>
      </c>
      <c r="H1097" s="2">
        <v>1001</v>
      </c>
      <c r="I1097" s="2">
        <v>186</v>
      </c>
    </row>
    <row r="1098" spans="1:9" hidden="1" x14ac:dyDescent="0.3">
      <c r="A1098" t="s">
        <v>18</v>
      </c>
      <c r="B1098" s="1">
        <v>44531</v>
      </c>
      <c r="C1098" s="2">
        <v>48276</v>
      </c>
      <c r="D1098" s="2" t="s">
        <v>3</v>
      </c>
      <c r="E1098" s="2">
        <v>47461</v>
      </c>
      <c r="F1098" s="2" t="s">
        <v>3</v>
      </c>
      <c r="G1098" s="2" t="s">
        <v>3</v>
      </c>
      <c r="H1098" s="2">
        <v>815</v>
      </c>
      <c r="I1098" s="2">
        <v>302</v>
      </c>
    </row>
    <row r="1099" spans="1:9" hidden="1" x14ac:dyDescent="0.3">
      <c r="A1099" t="s">
        <v>18</v>
      </c>
      <c r="B1099" s="1">
        <v>44501</v>
      </c>
      <c r="C1099" s="2">
        <v>40227</v>
      </c>
      <c r="D1099" s="2" t="s">
        <v>3</v>
      </c>
      <c r="E1099" s="2">
        <v>39714</v>
      </c>
      <c r="F1099" s="2" t="s">
        <v>3</v>
      </c>
      <c r="G1099" s="2" t="s">
        <v>3</v>
      </c>
      <c r="H1099" s="2">
        <v>513</v>
      </c>
      <c r="I1099" s="2">
        <v>-3</v>
      </c>
    </row>
    <row r="1100" spans="1:9" hidden="1" x14ac:dyDescent="0.3">
      <c r="A1100" t="s">
        <v>18</v>
      </c>
      <c r="B1100" s="1">
        <v>44470</v>
      </c>
      <c r="C1100" s="2">
        <v>39978</v>
      </c>
      <c r="D1100" s="2" t="s">
        <v>3</v>
      </c>
      <c r="E1100" s="2">
        <v>39462</v>
      </c>
      <c r="F1100" s="2" t="s">
        <v>3</v>
      </c>
      <c r="G1100" s="2" t="s">
        <v>3</v>
      </c>
      <c r="H1100" s="2">
        <v>516</v>
      </c>
      <c r="I1100" s="2">
        <v>-63</v>
      </c>
    </row>
    <row r="1101" spans="1:9" hidden="1" x14ac:dyDescent="0.3">
      <c r="A1101" t="s">
        <v>18</v>
      </c>
      <c r="B1101" s="1">
        <v>44440</v>
      </c>
      <c r="C1101" s="2">
        <v>43328</v>
      </c>
      <c r="D1101" s="2" t="s">
        <v>3</v>
      </c>
      <c r="E1101" s="2">
        <v>42749</v>
      </c>
      <c r="F1101" s="2" t="s">
        <v>3</v>
      </c>
      <c r="G1101" s="2" t="s">
        <v>3</v>
      </c>
      <c r="H1101" s="2">
        <v>579</v>
      </c>
      <c r="I1101" s="2">
        <v>224</v>
      </c>
    </row>
    <row r="1102" spans="1:9" hidden="1" x14ac:dyDescent="0.3">
      <c r="A1102" t="s">
        <v>18</v>
      </c>
      <c r="B1102" s="1">
        <v>44409</v>
      </c>
      <c r="C1102" s="2">
        <v>43190</v>
      </c>
      <c r="D1102" s="2" t="s">
        <v>3</v>
      </c>
      <c r="E1102" s="2">
        <v>42835</v>
      </c>
      <c r="F1102" s="2" t="s">
        <v>3</v>
      </c>
      <c r="G1102" s="2" t="s">
        <v>3</v>
      </c>
      <c r="H1102" s="2">
        <v>355</v>
      </c>
      <c r="I1102" s="2">
        <v>19</v>
      </c>
    </row>
    <row r="1103" spans="1:9" hidden="1" x14ac:dyDescent="0.3">
      <c r="A1103" t="s">
        <v>18</v>
      </c>
      <c r="B1103" s="1">
        <v>44378</v>
      </c>
      <c r="C1103" s="2">
        <v>43747</v>
      </c>
      <c r="D1103" s="2" t="s">
        <v>3</v>
      </c>
      <c r="E1103" s="2">
        <v>43411</v>
      </c>
      <c r="F1103" s="2" t="s">
        <v>3</v>
      </c>
      <c r="G1103" s="2" t="s">
        <v>3</v>
      </c>
      <c r="H1103" s="2">
        <v>336</v>
      </c>
      <c r="I1103" s="2">
        <v>-167</v>
      </c>
    </row>
    <row r="1104" spans="1:9" hidden="1" x14ac:dyDescent="0.3">
      <c r="A1104" t="s">
        <v>18</v>
      </c>
      <c r="B1104" s="1">
        <v>44348</v>
      </c>
      <c r="C1104" s="2">
        <v>43241</v>
      </c>
      <c r="D1104" s="2" t="s">
        <v>3</v>
      </c>
      <c r="E1104" s="2">
        <v>42738</v>
      </c>
      <c r="F1104" s="2" t="s">
        <v>3</v>
      </c>
      <c r="G1104" s="2" t="s">
        <v>3</v>
      </c>
      <c r="H1104" s="2">
        <v>503</v>
      </c>
      <c r="I1104" s="2">
        <v>191</v>
      </c>
    </row>
    <row r="1105" spans="1:9" hidden="1" x14ac:dyDescent="0.3">
      <c r="A1105" t="s">
        <v>18</v>
      </c>
      <c r="B1105" s="1">
        <v>44317</v>
      </c>
      <c r="C1105" s="2">
        <v>42974</v>
      </c>
      <c r="D1105" s="2" t="s">
        <v>3</v>
      </c>
      <c r="E1105" s="2">
        <v>42662</v>
      </c>
      <c r="F1105" s="2" t="s">
        <v>3</v>
      </c>
      <c r="G1105" s="2" t="s">
        <v>3</v>
      </c>
      <c r="H1105" s="2">
        <v>312</v>
      </c>
      <c r="I1105" s="2">
        <v>-7</v>
      </c>
    </row>
    <row r="1106" spans="1:9" hidden="1" x14ac:dyDescent="0.3">
      <c r="A1106" t="s">
        <v>18</v>
      </c>
      <c r="B1106" s="1">
        <v>44287</v>
      </c>
      <c r="C1106" s="2">
        <v>41330</v>
      </c>
      <c r="D1106" s="2" t="s">
        <v>3</v>
      </c>
      <c r="E1106" s="2">
        <v>41011</v>
      </c>
      <c r="F1106" s="2" t="s">
        <v>3</v>
      </c>
      <c r="G1106" s="2" t="s">
        <v>3</v>
      </c>
      <c r="H1106" s="2">
        <v>319</v>
      </c>
      <c r="I1106" s="2">
        <v>-111</v>
      </c>
    </row>
    <row r="1107" spans="1:9" hidden="1" x14ac:dyDescent="0.3">
      <c r="A1107" t="s">
        <v>18</v>
      </c>
      <c r="B1107" s="1">
        <v>44256</v>
      </c>
      <c r="C1107" s="2">
        <v>40027</v>
      </c>
      <c r="D1107" s="2" t="s">
        <v>3</v>
      </c>
      <c r="E1107" s="2">
        <v>39597</v>
      </c>
      <c r="F1107" s="2" t="s">
        <v>3</v>
      </c>
      <c r="G1107" s="2" t="s">
        <v>3</v>
      </c>
      <c r="H1107" s="2">
        <v>430</v>
      </c>
      <c r="I1107" s="2">
        <v>123</v>
      </c>
    </row>
    <row r="1108" spans="1:9" hidden="1" x14ac:dyDescent="0.3">
      <c r="A1108" t="s">
        <v>18</v>
      </c>
      <c r="B1108" s="1">
        <v>44228</v>
      </c>
      <c r="C1108" s="2">
        <v>40750</v>
      </c>
      <c r="D1108" s="2" t="s">
        <v>3</v>
      </c>
      <c r="E1108" s="2">
        <v>40443</v>
      </c>
      <c r="F1108" s="2" t="s">
        <v>3</v>
      </c>
      <c r="G1108" s="2" t="s">
        <v>3</v>
      </c>
      <c r="H1108" s="2">
        <v>307</v>
      </c>
      <c r="I1108" s="2">
        <v>25</v>
      </c>
    </row>
    <row r="1109" spans="1:9" hidden="1" x14ac:dyDescent="0.3">
      <c r="A1109" t="s">
        <v>18</v>
      </c>
      <c r="B1109" s="1">
        <v>44197</v>
      </c>
      <c r="C1109" s="2">
        <v>42186</v>
      </c>
      <c r="D1109" s="2" t="s">
        <v>3</v>
      </c>
      <c r="E1109" s="2">
        <v>41904</v>
      </c>
      <c r="F1109" s="2" t="s">
        <v>3</v>
      </c>
      <c r="G1109" s="2" t="s">
        <v>3</v>
      </c>
      <c r="H1109" s="2">
        <v>282</v>
      </c>
      <c r="I1109" s="2">
        <v>-139</v>
      </c>
    </row>
    <row r="1110" spans="1:9" hidden="1" x14ac:dyDescent="0.3">
      <c r="A1110" t="s">
        <v>18</v>
      </c>
      <c r="B1110" s="1">
        <v>44166</v>
      </c>
      <c r="C1110" s="2">
        <v>40272</v>
      </c>
      <c r="D1110" s="2" t="s">
        <v>3</v>
      </c>
      <c r="E1110" s="2">
        <v>39851</v>
      </c>
      <c r="F1110" s="2" t="s">
        <v>3</v>
      </c>
      <c r="G1110" s="2" t="s">
        <v>3</v>
      </c>
      <c r="H1110" s="2">
        <v>421</v>
      </c>
      <c r="I1110" s="2">
        <v>70</v>
      </c>
    </row>
    <row r="1111" spans="1:9" hidden="1" x14ac:dyDescent="0.3">
      <c r="A1111" t="s">
        <v>18</v>
      </c>
      <c r="B1111" s="1">
        <v>44136</v>
      </c>
      <c r="C1111" s="2">
        <v>37686</v>
      </c>
      <c r="D1111" s="2" t="s">
        <v>3</v>
      </c>
      <c r="E1111" s="2">
        <v>37335</v>
      </c>
      <c r="F1111" s="2" t="s">
        <v>3</v>
      </c>
      <c r="G1111" s="2" t="s">
        <v>3</v>
      </c>
      <c r="H1111" s="2">
        <v>351</v>
      </c>
      <c r="I1111" s="2">
        <v>-49</v>
      </c>
    </row>
    <row r="1112" spans="1:9" hidden="1" x14ac:dyDescent="0.3">
      <c r="A1112" t="s">
        <v>18</v>
      </c>
      <c r="B1112" s="1">
        <v>44105</v>
      </c>
      <c r="C1112" s="2">
        <v>37749</v>
      </c>
      <c r="D1112" s="2" t="s">
        <v>3</v>
      </c>
      <c r="E1112" s="2">
        <v>37349</v>
      </c>
      <c r="F1112" s="2" t="s">
        <v>3</v>
      </c>
      <c r="G1112" s="2" t="s">
        <v>3</v>
      </c>
      <c r="H1112" s="2">
        <v>400</v>
      </c>
      <c r="I1112" s="2">
        <v>-111</v>
      </c>
    </row>
    <row r="1113" spans="1:9" hidden="1" x14ac:dyDescent="0.3">
      <c r="A1113" t="s">
        <v>18</v>
      </c>
      <c r="B1113" s="1">
        <v>44075</v>
      </c>
      <c r="C1113" s="2">
        <v>38190</v>
      </c>
      <c r="D1113" s="2" t="s">
        <v>3</v>
      </c>
      <c r="E1113" s="2">
        <v>37679</v>
      </c>
      <c r="F1113" s="2" t="s">
        <v>3</v>
      </c>
      <c r="G1113" s="2" t="s">
        <v>3</v>
      </c>
      <c r="H1113" s="2">
        <v>511</v>
      </c>
      <c r="I1113" s="2">
        <v>-92</v>
      </c>
    </row>
    <row r="1114" spans="1:9" hidden="1" x14ac:dyDescent="0.3">
      <c r="A1114" t="s">
        <v>18</v>
      </c>
      <c r="B1114" s="1">
        <v>44044</v>
      </c>
      <c r="C1114" s="2">
        <v>38328</v>
      </c>
      <c r="D1114" s="2" t="s">
        <v>3</v>
      </c>
      <c r="E1114" s="2">
        <v>37725</v>
      </c>
      <c r="F1114" s="2" t="s">
        <v>3</v>
      </c>
      <c r="G1114" s="2" t="s">
        <v>3</v>
      </c>
      <c r="H1114" s="2">
        <v>603</v>
      </c>
      <c r="I1114" s="2">
        <v>-132</v>
      </c>
    </row>
    <row r="1115" spans="1:9" hidden="1" x14ac:dyDescent="0.3">
      <c r="A1115" t="s">
        <v>18</v>
      </c>
      <c r="B1115" s="1">
        <v>44013</v>
      </c>
      <c r="C1115" s="2">
        <v>40006</v>
      </c>
      <c r="D1115" s="2" t="s">
        <v>3</v>
      </c>
      <c r="E1115" s="2">
        <v>39271</v>
      </c>
      <c r="F1115" s="2" t="s">
        <v>3</v>
      </c>
      <c r="G1115" s="2" t="s">
        <v>3</v>
      </c>
      <c r="H1115" s="2">
        <v>735</v>
      </c>
      <c r="I1115" s="2">
        <v>190</v>
      </c>
    </row>
    <row r="1116" spans="1:9" hidden="1" x14ac:dyDescent="0.3">
      <c r="A1116" t="s">
        <v>18</v>
      </c>
      <c r="B1116" s="1">
        <v>43983</v>
      </c>
      <c r="C1116" s="2">
        <v>39075</v>
      </c>
      <c r="D1116" s="2" t="s">
        <v>3</v>
      </c>
      <c r="E1116" s="2">
        <v>38530</v>
      </c>
      <c r="F1116" s="2" t="s">
        <v>3</v>
      </c>
      <c r="G1116" s="2" t="s">
        <v>3</v>
      </c>
      <c r="H1116" s="2">
        <v>545</v>
      </c>
      <c r="I1116" s="2">
        <v>140</v>
      </c>
    </row>
    <row r="1117" spans="1:9" hidden="1" x14ac:dyDescent="0.3">
      <c r="A1117" t="s">
        <v>18</v>
      </c>
      <c r="B1117" s="1">
        <v>43952</v>
      </c>
      <c r="C1117" s="2">
        <v>37141</v>
      </c>
      <c r="D1117" s="2" t="s">
        <v>3</v>
      </c>
      <c r="E1117" s="2">
        <v>36736</v>
      </c>
      <c r="F1117" s="2" t="s">
        <v>3</v>
      </c>
      <c r="G1117" s="2" t="s">
        <v>3</v>
      </c>
      <c r="H1117" s="2">
        <v>405</v>
      </c>
      <c r="I1117" s="2">
        <v>-33</v>
      </c>
    </row>
    <row r="1118" spans="1:9" hidden="1" x14ac:dyDescent="0.3">
      <c r="A1118" t="s">
        <v>18</v>
      </c>
      <c r="B1118" s="1">
        <v>43922</v>
      </c>
      <c r="C1118" s="2">
        <v>36547</v>
      </c>
      <c r="D1118" s="2" t="s">
        <v>3</v>
      </c>
      <c r="E1118" s="2">
        <v>36109</v>
      </c>
      <c r="F1118" s="2" t="s">
        <v>3</v>
      </c>
      <c r="G1118" s="2" t="s">
        <v>3</v>
      </c>
      <c r="H1118" s="2">
        <v>438</v>
      </c>
      <c r="I1118" s="2">
        <v>-35</v>
      </c>
    </row>
    <row r="1119" spans="1:9" hidden="1" x14ac:dyDescent="0.3">
      <c r="A1119" t="s">
        <v>18</v>
      </c>
      <c r="B1119" s="1">
        <v>43891</v>
      </c>
      <c r="C1119" s="2">
        <v>39480</v>
      </c>
      <c r="D1119" s="2" t="s">
        <v>3</v>
      </c>
      <c r="E1119" s="2">
        <v>39007</v>
      </c>
      <c r="F1119" s="2" t="s">
        <v>3</v>
      </c>
      <c r="G1119" s="2" t="s">
        <v>3</v>
      </c>
      <c r="H1119" s="2">
        <v>473</v>
      </c>
      <c r="I1119" s="2">
        <v>130</v>
      </c>
    </row>
    <row r="1120" spans="1:9" hidden="1" x14ac:dyDescent="0.3">
      <c r="A1120" t="s">
        <v>18</v>
      </c>
      <c r="B1120" s="1">
        <v>43862</v>
      </c>
      <c r="C1120" s="2">
        <v>45410</v>
      </c>
      <c r="D1120" s="2" t="s">
        <v>3</v>
      </c>
      <c r="E1120" s="2">
        <v>45067</v>
      </c>
      <c r="F1120" s="2" t="s">
        <v>3</v>
      </c>
      <c r="G1120" s="2" t="s">
        <v>3</v>
      </c>
      <c r="H1120" s="2">
        <v>343</v>
      </c>
      <c r="I1120" s="2">
        <v>36</v>
      </c>
    </row>
    <row r="1121" spans="1:9" hidden="1" x14ac:dyDescent="0.3">
      <c r="A1121" t="s">
        <v>18</v>
      </c>
      <c r="B1121" s="1">
        <v>43831</v>
      </c>
      <c r="C1121" s="2">
        <v>45022</v>
      </c>
      <c r="D1121" s="2" t="s">
        <v>3</v>
      </c>
      <c r="E1121" s="2">
        <v>44715</v>
      </c>
      <c r="F1121" s="2" t="s">
        <v>3</v>
      </c>
      <c r="G1121" s="2" t="s">
        <v>3</v>
      </c>
      <c r="H1121" s="2">
        <v>307</v>
      </c>
      <c r="I1121" s="2">
        <v>-133</v>
      </c>
    </row>
    <row r="1122" spans="1:9" x14ac:dyDescent="0.3">
      <c r="A1122" t="s">
        <v>19</v>
      </c>
      <c r="B1122" s="1">
        <v>45931</v>
      </c>
      <c r="C1122" s="2">
        <v>302253</v>
      </c>
      <c r="D1122" s="2">
        <v>1315</v>
      </c>
      <c r="E1122" s="2">
        <v>241159</v>
      </c>
      <c r="F1122" s="2">
        <v>-881</v>
      </c>
      <c r="G1122" s="2">
        <v>782</v>
      </c>
      <c r="H1122" s="2">
        <v>61094</v>
      </c>
      <c r="I1122" s="2">
        <v>2196</v>
      </c>
    </row>
    <row r="1123" spans="1:9" x14ac:dyDescent="0.3">
      <c r="A1123" t="s">
        <v>19</v>
      </c>
      <c r="B1123" s="1">
        <v>45901</v>
      </c>
      <c r="C1123" s="2">
        <v>302087</v>
      </c>
      <c r="D1123" s="2">
        <v>-87</v>
      </c>
      <c r="E1123" s="2">
        <v>243189</v>
      </c>
      <c r="F1123" s="2">
        <v>2494</v>
      </c>
      <c r="G1123" s="2">
        <v>973</v>
      </c>
      <c r="H1123" s="2">
        <v>58898</v>
      </c>
      <c r="I1123" s="2">
        <v>-2581</v>
      </c>
    </row>
    <row r="1124" spans="1:9" x14ac:dyDescent="0.3">
      <c r="A1124" t="s">
        <v>19</v>
      </c>
      <c r="B1124" s="1">
        <v>45870</v>
      </c>
      <c r="C1124" s="2">
        <v>303014</v>
      </c>
      <c r="D1124" s="2">
        <v>-2746</v>
      </c>
      <c r="E1124" s="2">
        <v>241535</v>
      </c>
      <c r="F1124" s="2">
        <v>-2470</v>
      </c>
      <c r="G1124" s="2">
        <v>2119</v>
      </c>
      <c r="H1124" s="2">
        <v>61479</v>
      </c>
      <c r="I1124" s="2">
        <v>-276</v>
      </c>
    </row>
    <row r="1125" spans="1:9" x14ac:dyDescent="0.3">
      <c r="A1125" t="s">
        <v>19</v>
      </c>
      <c r="B1125" s="1">
        <v>45839</v>
      </c>
      <c r="C1125" s="2">
        <v>303009</v>
      </c>
      <c r="D1125" s="2">
        <v>3886</v>
      </c>
      <c r="E1125" s="2">
        <v>241254</v>
      </c>
      <c r="F1125" s="2">
        <v>2895</v>
      </c>
      <c r="G1125" s="2">
        <v>-1387</v>
      </c>
      <c r="H1125" s="2">
        <v>61755</v>
      </c>
      <c r="I1125" s="2">
        <v>991</v>
      </c>
    </row>
    <row r="1126" spans="1:9" x14ac:dyDescent="0.3">
      <c r="A1126" t="s">
        <v>19</v>
      </c>
      <c r="B1126" s="1">
        <v>45809</v>
      </c>
      <c r="C1126" s="2">
        <v>300924</v>
      </c>
      <c r="D1126" s="2">
        <v>-4960</v>
      </c>
      <c r="E1126" s="2">
        <v>240160</v>
      </c>
      <c r="F1126" s="2">
        <v>-5273</v>
      </c>
      <c r="G1126" s="2">
        <v>1805</v>
      </c>
      <c r="H1126" s="2">
        <v>60764</v>
      </c>
      <c r="I1126" s="2">
        <v>313</v>
      </c>
    </row>
    <row r="1127" spans="1:9" x14ac:dyDescent="0.3">
      <c r="A1127" t="s">
        <v>19</v>
      </c>
      <c r="B1127" s="1">
        <v>45778</v>
      </c>
      <c r="C1127" s="2">
        <v>303719</v>
      </c>
      <c r="D1127" s="2">
        <v>-4712</v>
      </c>
      <c r="E1127" s="2">
        <v>243268</v>
      </c>
      <c r="F1127" s="2">
        <v>-4059</v>
      </c>
      <c r="G1127" s="2">
        <v>-1964</v>
      </c>
      <c r="H1127" s="2">
        <v>60451</v>
      </c>
      <c r="I1127" s="2">
        <v>-653</v>
      </c>
    </row>
    <row r="1128" spans="1:9" x14ac:dyDescent="0.3">
      <c r="A1128" t="s">
        <v>19</v>
      </c>
      <c r="B1128" s="1">
        <v>45748</v>
      </c>
      <c r="C1128" s="2">
        <v>310857</v>
      </c>
      <c r="D1128" s="2">
        <v>-1869</v>
      </c>
      <c r="E1128" s="2">
        <v>249753</v>
      </c>
      <c r="F1128" s="2">
        <v>3943</v>
      </c>
      <c r="G1128" s="2">
        <v>1247</v>
      </c>
      <c r="H1128" s="2">
        <v>61104</v>
      </c>
      <c r="I1128" s="2">
        <v>-5812</v>
      </c>
    </row>
    <row r="1129" spans="1:9" x14ac:dyDescent="0.3">
      <c r="A1129" t="s">
        <v>19</v>
      </c>
      <c r="B1129" s="1">
        <v>45717</v>
      </c>
      <c r="C1129" s="2">
        <v>311650</v>
      </c>
      <c r="D1129" s="2">
        <v>26660</v>
      </c>
      <c r="E1129" s="2">
        <v>244734</v>
      </c>
      <c r="F1129" s="2">
        <v>19707</v>
      </c>
      <c r="G1129" s="2">
        <v>471</v>
      </c>
      <c r="H1129" s="2">
        <v>66916</v>
      </c>
      <c r="I1129" s="2">
        <v>6953</v>
      </c>
    </row>
    <row r="1130" spans="1:9" x14ac:dyDescent="0.3">
      <c r="A1130" t="s">
        <v>19</v>
      </c>
      <c r="B1130" s="1">
        <v>45689</v>
      </c>
      <c r="C1130" s="2">
        <v>290767</v>
      </c>
      <c r="D1130" s="2">
        <v>-9702</v>
      </c>
      <c r="E1130" s="2">
        <v>230804</v>
      </c>
      <c r="F1130" s="2">
        <v>-7709</v>
      </c>
      <c r="G1130" s="2">
        <v>3343</v>
      </c>
      <c r="H1130" s="2">
        <v>59963</v>
      </c>
      <c r="I1130" s="2">
        <v>-1993</v>
      </c>
    </row>
    <row r="1131" spans="1:9" x14ac:dyDescent="0.3">
      <c r="A1131" t="s">
        <v>19</v>
      </c>
      <c r="B1131" s="1">
        <v>45658</v>
      </c>
      <c r="C1131" s="2">
        <v>301150</v>
      </c>
      <c r="D1131" s="2">
        <v>1174</v>
      </c>
      <c r="E1131" s="2">
        <v>239194</v>
      </c>
      <c r="F1131" s="2">
        <v>1012</v>
      </c>
      <c r="G1131" s="2">
        <v>1977</v>
      </c>
      <c r="H1131" s="2">
        <v>61956</v>
      </c>
      <c r="I1131" s="2">
        <v>162</v>
      </c>
    </row>
    <row r="1132" spans="1:9" x14ac:dyDescent="0.3">
      <c r="A1132" t="s">
        <v>19</v>
      </c>
      <c r="B1132" s="1">
        <v>45627</v>
      </c>
      <c r="C1132" s="2">
        <v>298748</v>
      </c>
      <c r="D1132" s="2">
        <v>4105</v>
      </c>
      <c r="E1132" s="2">
        <v>236954</v>
      </c>
      <c r="F1132" s="2">
        <v>6471</v>
      </c>
      <c r="G1132" s="2">
        <v>-3248</v>
      </c>
      <c r="H1132" s="2">
        <v>61794</v>
      </c>
      <c r="I1132" s="2">
        <v>-2366</v>
      </c>
    </row>
    <row r="1133" spans="1:9" x14ac:dyDescent="0.3">
      <c r="A1133" t="s">
        <v>19</v>
      </c>
      <c r="B1133" s="1">
        <v>45597</v>
      </c>
      <c r="C1133" s="2">
        <v>298706</v>
      </c>
      <c r="D1133" s="2">
        <v>-616</v>
      </c>
      <c r="E1133" s="2">
        <v>234546</v>
      </c>
      <c r="F1133" s="2">
        <v>-258</v>
      </c>
      <c r="G1133" s="2">
        <v>1223</v>
      </c>
      <c r="H1133" s="2">
        <v>64160</v>
      </c>
      <c r="I1133" s="2">
        <v>-358</v>
      </c>
    </row>
    <row r="1134" spans="1:9" x14ac:dyDescent="0.3">
      <c r="A1134" t="s">
        <v>19</v>
      </c>
      <c r="B1134" s="1">
        <v>45566</v>
      </c>
      <c r="C1134" s="2">
        <v>297924</v>
      </c>
      <c r="D1134" s="2">
        <v>-1542</v>
      </c>
      <c r="E1134" s="2">
        <v>233406</v>
      </c>
      <c r="F1134" s="2">
        <v>3029</v>
      </c>
      <c r="G1134" s="2">
        <v>-5188</v>
      </c>
      <c r="H1134" s="2">
        <v>64518</v>
      </c>
      <c r="I1134" s="2">
        <v>-4571</v>
      </c>
    </row>
    <row r="1135" spans="1:9" x14ac:dyDescent="0.3">
      <c r="A1135" t="s">
        <v>19</v>
      </c>
      <c r="B1135" s="1">
        <v>45536</v>
      </c>
      <c r="C1135" s="2">
        <v>305535</v>
      </c>
      <c r="D1135" s="2">
        <v>5675</v>
      </c>
      <c r="E1135" s="2">
        <v>236446</v>
      </c>
      <c r="F1135" s="2">
        <v>180</v>
      </c>
      <c r="G1135" s="2">
        <v>1686</v>
      </c>
      <c r="H1135" s="2">
        <v>69089</v>
      </c>
      <c r="I1135" s="2">
        <v>5495</v>
      </c>
    </row>
    <row r="1136" spans="1:9" x14ac:dyDescent="0.3">
      <c r="A1136" t="s">
        <v>19</v>
      </c>
      <c r="B1136" s="1">
        <v>45505</v>
      </c>
      <c r="C1136" s="2">
        <v>299339</v>
      </c>
      <c r="D1136" s="2">
        <v>8816</v>
      </c>
      <c r="E1136" s="2">
        <v>235745</v>
      </c>
      <c r="F1136" s="2">
        <v>890</v>
      </c>
      <c r="G1136" s="2">
        <v>952</v>
      </c>
      <c r="H1136" s="2">
        <v>63594</v>
      </c>
      <c r="I1136" s="2">
        <v>7926</v>
      </c>
    </row>
    <row r="1137" spans="1:9" x14ac:dyDescent="0.3">
      <c r="A1137" t="s">
        <v>19</v>
      </c>
      <c r="B1137" s="1">
        <v>45474</v>
      </c>
      <c r="C1137" s="2">
        <v>289365</v>
      </c>
      <c r="D1137" s="2">
        <v>557</v>
      </c>
      <c r="E1137" s="2">
        <v>233697</v>
      </c>
      <c r="F1137" s="2">
        <v>4107</v>
      </c>
      <c r="G1137" s="2">
        <v>335</v>
      </c>
      <c r="H1137" s="2">
        <v>55668</v>
      </c>
      <c r="I1137" s="2">
        <v>-3550</v>
      </c>
    </row>
    <row r="1138" spans="1:9" x14ac:dyDescent="0.3">
      <c r="A1138" t="s">
        <v>19</v>
      </c>
      <c r="B1138" s="1">
        <v>45444</v>
      </c>
      <c r="C1138" s="2">
        <v>287375</v>
      </c>
      <c r="D1138" s="2">
        <v>-4066</v>
      </c>
      <c r="E1138" s="2">
        <v>228157</v>
      </c>
      <c r="F1138" s="2">
        <v>-6261</v>
      </c>
      <c r="G1138" s="2">
        <v>1324</v>
      </c>
      <c r="H1138" s="2">
        <v>59218</v>
      </c>
      <c r="I1138" s="2">
        <v>2195</v>
      </c>
    </row>
    <row r="1139" spans="1:9" x14ac:dyDescent="0.3">
      <c r="A1139" t="s">
        <v>19</v>
      </c>
      <c r="B1139" s="1">
        <v>45413</v>
      </c>
      <c r="C1139" s="2">
        <v>290484</v>
      </c>
      <c r="D1139" s="2">
        <v>8015</v>
      </c>
      <c r="E1139" s="2">
        <v>233461</v>
      </c>
      <c r="F1139" s="2">
        <v>3619</v>
      </c>
      <c r="G1139" s="2">
        <v>-5330</v>
      </c>
      <c r="H1139" s="2">
        <v>57023</v>
      </c>
      <c r="I1139" s="2">
        <v>4396</v>
      </c>
    </row>
    <row r="1140" spans="1:9" x14ac:dyDescent="0.3">
      <c r="A1140" t="s">
        <v>19</v>
      </c>
      <c r="B1140" s="1">
        <v>45383</v>
      </c>
      <c r="C1140" s="2">
        <v>290517</v>
      </c>
      <c r="D1140" s="2">
        <v>7036</v>
      </c>
      <c r="E1140" s="2">
        <v>237890</v>
      </c>
      <c r="F1140" s="2">
        <v>7296</v>
      </c>
      <c r="G1140" s="2">
        <v>-2259</v>
      </c>
      <c r="H1140" s="2">
        <v>52627</v>
      </c>
      <c r="I1140" s="2">
        <v>-260</v>
      </c>
    </row>
    <row r="1141" spans="1:9" x14ac:dyDescent="0.3">
      <c r="A1141" t="s">
        <v>19</v>
      </c>
      <c r="B1141" s="1">
        <v>45352</v>
      </c>
      <c r="C1141" s="2">
        <v>286680</v>
      </c>
      <c r="D1141" s="2">
        <v>4276</v>
      </c>
      <c r="E1141" s="2">
        <v>233793</v>
      </c>
      <c r="F1141" s="2">
        <v>5029</v>
      </c>
      <c r="G1141" s="2">
        <v>2584</v>
      </c>
      <c r="H1141" s="2">
        <v>52887</v>
      </c>
      <c r="I1141" s="2">
        <v>-753</v>
      </c>
    </row>
    <row r="1142" spans="1:9" x14ac:dyDescent="0.3">
      <c r="A1142" t="s">
        <v>19</v>
      </c>
      <c r="B1142" s="1">
        <v>45323</v>
      </c>
      <c r="C1142" s="2">
        <v>281123</v>
      </c>
      <c r="D1142" s="2">
        <v>1236</v>
      </c>
      <c r="E1142" s="2">
        <v>227483</v>
      </c>
      <c r="F1142" s="2">
        <v>-1244</v>
      </c>
      <c r="G1142" s="2">
        <v>-1584</v>
      </c>
      <c r="H1142" s="2">
        <v>53640</v>
      </c>
      <c r="I1142" s="2">
        <v>2480</v>
      </c>
    </row>
    <row r="1143" spans="1:9" x14ac:dyDescent="0.3">
      <c r="A1143" t="s">
        <v>19</v>
      </c>
      <c r="B1143" s="1">
        <v>45292</v>
      </c>
      <c r="C1143" s="2">
        <v>284223</v>
      </c>
      <c r="D1143" s="2">
        <v>-1756</v>
      </c>
      <c r="E1143" s="2">
        <v>233063</v>
      </c>
      <c r="F1143" s="2">
        <v>2649</v>
      </c>
      <c r="G1143" s="2">
        <v>475</v>
      </c>
      <c r="H1143" s="2">
        <v>51160</v>
      </c>
      <c r="I1143" s="2">
        <v>-4405</v>
      </c>
    </row>
    <row r="1144" spans="1:9" x14ac:dyDescent="0.3">
      <c r="A1144" t="s">
        <v>19</v>
      </c>
      <c r="B1144" s="1">
        <v>45261</v>
      </c>
      <c r="C1144" s="2">
        <v>287375</v>
      </c>
      <c r="D1144" s="2">
        <v>5983</v>
      </c>
      <c r="E1144" s="2">
        <v>231810</v>
      </c>
      <c r="F1144" s="2">
        <v>4964</v>
      </c>
      <c r="G1144" s="2">
        <v>3792</v>
      </c>
      <c r="H1144" s="2">
        <v>55565</v>
      </c>
      <c r="I1144" s="2">
        <v>1019</v>
      </c>
    </row>
    <row r="1145" spans="1:9" x14ac:dyDescent="0.3">
      <c r="A1145" t="s">
        <v>19</v>
      </c>
      <c r="B1145" s="1">
        <v>45231</v>
      </c>
      <c r="C1145" s="2">
        <v>276435</v>
      </c>
      <c r="D1145" s="2">
        <v>-589</v>
      </c>
      <c r="E1145" s="2">
        <v>221889</v>
      </c>
      <c r="F1145" s="2">
        <v>-1231</v>
      </c>
      <c r="G1145" s="2">
        <v>3992</v>
      </c>
      <c r="H1145" s="2">
        <v>54546</v>
      </c>
      <c r="I1145" s="2">
        <v>642</v>
      </c>
    </row>
    <row r="1146" spans="1:9" x14ac:dyDescent="0.3">
      <c r="A1146" t="s">
        <v>19</v>
      </c>
      <c r="B1146" s="1">
        <v>45200</v>
      </c>
      <c r="C1146" s="2">
        <v>275739</v>
      </c>
      <c r="D1146" s="2">
        <v>-287</v>
      </c>
      <c r="E1146" s="2">
        <v>221835</v>
      </c>
      <c r="F1146" s="2">
        <v>518</v>
      </c>
      <c r="G1146" s="2">
        <v>-1289</v>
      </c>
      <c r="H1146" s="2">
        <v>53904</v>
      </c>
      <c r="I1146" s="2">
        <v>-805</v>
      </c>
    </row>
    <row r="1147" spans="1:9" x14ac:dyDescent="0.3">
      <c r="A1147" t="s">
        <v>19</v>
      </c>
      <c r="B1147" s="1">
        <v>45170</v>
      </c>
      <c r="C1147" s="2">
        <v>280066</v>
      </c>
      <c r="D1147" s="2">
        <v>-1631</v>
      </c>
      <c r="E1147" s="2">
        <v>225357</v>
      </c>
      <c r="F1147" s="2">
        <v>289</v>
      </c>
      <c r="G1147" s="2">
        <v>7545</v>
      </c>
      <c r="H1147" s="2">
        <v>54709</v>
      </c>
      <c r="I1147" s="2">
        <v>-1920</v>
      </c>
    </row>
    <row r="1148" spans="1:9" x14ac:dyDescent="0.3">
      <c r="A1148" t="s">
        <v>19</v>
      </c>
      <c r="B1148" s="1">
        <v>45139</v>
      </c>
      <c r="C1148" s="2">
        <v>283475</v>
      </c>
      <c r="D1148" s="2">
        <v>-27513</v>
      </c>
      <c r="E1148" s="2">
        <v>226846</v>
      </c>
      <c r="F1148" s="2">
        <v>-19243</v>
      </c>
      <c r="G1148" s="2">
        <v>-529</v>
      </c>
      <c r="H1148" s="2">
        <v>56629</v>
      </c>
      <c r="I1148" s="2">
        <v>-8270</v>
      </c>
    </row>
    <row r="1149" spans="1:9" x14ac:dyDescent="0.3">
      <c r="A1149" t="s">
        <v>19</v>
      </c>
      <c r="B1149" s="1">
        <v>45108</v>
      </c>
      <c r="C1149" s="2">
        <v>302180</v>
      </c>
      <c r="D1149" s="2">
        <v>-2480</v>
      </c>
      <c r="E1149" s="2">
        <v>237281</v>
      </c>
      <c r="F1149" s="2">
        <v>-4439</v>
      </c>
      <c r="G1149" s="2">
        <v>109</v>
      </c>
      <c r="H1149" s="2">
        <v>64899</v>
      </c>
      <c r="I1149" s="2">
        <v>1959</v>
      </c>
    </row>
    <row r="1150" spans="1:9" x14ac:dyDescent="0.3">
      <c r="A1150" t="s">
        <v>19</v>
      </c>
      <c r="B1150" s="1">
        <v>45078</v>
      </c>
      <c r="C1150" s="2">
        <v>306165</v>
      </c>
      <c r="D1150" s="2">
        <v>4500</v>
      </c>
      <c r="E1150" s="2">
        <v>243225</v>
      </c>
      <c r="F1150" s="2">
        <v>967</v>
      </c>
      <c r="G1150" s="2">
        <v>-1322</v>
      </c>
      <c r="H1150" s="2">
        <v>62940</v>
      </c>
      <c r="I1150" s="2">
        <v>3533</v>
      </c>
    </row>
    <row r="1151" spans="1:9" x14ac:dyDescent="0.3">
      <c r="A1151" t="s">
        <v>19</v>
      </c>
      <c r="B1151" s="1">
        <v>45047</v>
      </c>
      <c r="C1151" s="2">
        <v>304450</v>
      </c>
      <c r="D1151" s="2">
        <v>19151</v>
      </c>
      <c r="E1151" s="2">
        <v>245043</v>
      </c>
      <c r="F1151" s="2">
        <v>23871</v>
      </c>
      <c r="G1151" s="2">
        <v>-2128</v>
      </c>
      <c r="H1151" s="2">
        <v>59407</v>
      </c>
      <c r="I1151" s="2">
        <v>-4720</v>
      </c>
    </row>
    <row r="1152" spans="1:9" x14ac:dyDescent="0.3">
      <c r="A1152" t="s">
        <v>19</v>
      </c>
      <c r="B1152" s="1">
        <v>45017</v>
      </c>
      <c r="C1152" s="2">
        <v>298306</v>
      </c>
      <c r="D1152" s="2">
        <v>-13454</v>
      </c>
      <c r="E1152" s="2">
        <v>234179</v>
      </c>
      <c r="F1152" s="2">
        <v>-11422</v>
      </c>
      <c r="G1152" s="2">
        <v>2657</v>
      </c>
      <c r="H1152" s="2">
        <v>64127</v>
      </c>
      <c r="I1152" s="2">
        <v>-2032</v>
      </c>
    </row>
    <row r="1153" spans="1:9" x14ac:dyDescent="0.3">
      <c r="A1153" t="s">
        <v>19</v>
      </c>
      <c r="B1153" s="1">
        <v>44986</v>
      </c>
      <c r="C1153" s="2">
        <v>305394</v>
      </c>
      <c r="D1153" s="2">
        <v>11419</v>
      </c>
      <c r="E1153" s="2">
        <v>239235</v>
      </c>
      <c r="F1153" s="2">
        <v>1787</v>
      </c>
      <c r="G1153" s="2">
        <v>4603</v>
      </c>
      <c r="H1153" s="2">
        <v>66159</v>
      </c>
      <c r="I1153" s="2">
        <v>9632</v>
      </c>
    </row>
    <row r="1154" spans="1:9" x14ac:dyDescent="0.3">
      <c r="A1154" t="s">
        <v>19</v>
      </c>
      <c r="B1154" s="1">
        <v>44958</v>
      </c>
      <c r="C1154" s="2">
        <v>290146</v>
      </c>
      <c r="D1154" s="2">
        <v>2864</v>
      </c>
      <c r="E1154" s="2">
        <v>233619</v>
      </c>
      <c r="F1154" s="2">
        <v>688</v>
      </c>
      <c r="G1154" s="2">
        <v>-2765</v>
      </c>
      <c r="H1154" s="2">
        <v>56527</v>
      </c>
      <c r="I1154" s="2">
        <v>2176</v>
      </c>
    </row>
    <row r="1155" spans="1:9" hidden="1" x14ac:dyDescent="0.3">
      <c r="A1155" t="s">
        <v>19</v>
      </c>
      <c r="B1155" s="1">
        <v>44927</v>
      </c>
      <c r="C1155" s="2">
        <v>290470</v>
      </c>
      <c r="D1155" s="2" t="s">
        <v>3</v>
      </c>
      <c r="E1155" s="2">
        <v>236119</v>
      </c>
      <c r="F1155" s="2" t="s">
        <v>3</v>
      </c>
      <c r="G1155" s="2" t="s">
        <v>3</v>
      </c>
      <c r="H1155" s="2">
        <v>54351</v>
      </c>
      <c r="I1155" s="2">
        <v>4937</v>
      </c>
    </row>
    <row r="1156" spans="1:9" hidden="1" x14ac:dyDescent="0.3">
      <c r="A1156" t="s">
        <v>19</v>
      </c>
      <c r="B1156" s="1">
        <v>44896</v>
      </c>
      <c r="C1156" s="2">
        <v>269525</v>
      </c>
      <c r="D1156" s="2" t="s">
        <v>3</v>
      </c>
      <c r="E1156" s="2">
        <v>220111</v>
      </c>
      <c r="F1156" s="2" t="s">
        <v>3</v>
      </c>
      <c r="G1156" s="2" t="s">
        <v>3</v>
      </c>
      <c r="H1156" s="2">
        <v>49414</v>
      </c>
      <c r="I1156" s="2">
        <v>1326</v>
      </c>
    </row>
    <row r="1157" spans="1:9" hidden="1" x14ac:dyDescent="0.3">
      <c r="A1157" t="s">
        <v>19</v>
      </c>
      <c r="B1157" s="1">
        <v>44866</v>
      </c>
      <c r="C1157" s="2">
        <v>266577</v>
      </c>
      <c r="D1157" s="2" t="s">
        <v>3</v>
      </c>
      <c r="E1157" s="2">
        <v>218489</v>
      </c>
      <c r="F1157" s="2" t="s">
        <v>3</v>
      </c>
      <c r="G1157" s="2" t="s">
        <v>3</v>
      </c>
      <c r="H1157" s="2">
        <v>48088</v>
      </c>
      <c r="I1157" s="2">
        <v>903</v>
      </c>
    </row>
    <row r="1158" spans="1:9" hidden="1" x14ac:dyDescent="0.3">
      <c r="A1158" t="s">
        <v>19</v>
      </c>
      <c r="B1158" s="1">
        <v>44835</v>
      </c>
      <c r="C1158" s="2">
        <v>258360</v>
      </c>
      <c r="D1158" s="2" t="s">
        <v>3</v>
      </c>
      <c r="E1158" s="2">
        <v>211175</v>
      </c>
      <c r="F1158" s="2" t="s">
        <v>3</v>
      </c>
      <c r="G1158" s="2" t="s">
        <v>3</v>
      </c>
      <c r="H1158" s="2">
        <v>47185</v>
      </c>
      <c r="I1158" s="2">
        <v>9469</v>
      </c>
    </row>
    <row r="1159" spans="1:9" hidden="1" x14ac:dyDescent="0.3">
      <c r="A1159" t="s">
        <v>19</v>
      </c>
      <c r="B1159" s="1">
        <v>44805</v>
      </c>
      <c r="C1159" s="2">
        <v>273252</v>
      </c>
      <c r="D1159" s="2" t="s">
        <v>3</v>
      </c>
      <c r="E1159" s="2">
        <v>235536</v>
      </c>
      <c r="F1159" s="2" t="s">
        <v>3</v>
      </c>
      <c r="G1159" s="2" t="s">
        <v>3</v>
      </c>
      <c r="H1159" s="2">
        <v>37716</v>
      </c>
      <c r="I1159" s="2">
        <v>2751</v>
      </c>
    </row>
    <row r="1160" spans="1:9" hidden="1" x14ac:dyDescent="0.3">
      <c r="A1160" t="s">
        <v>19</v>
      </c>
      <c r="B1160" s="1">
        <v>44774</v>
      </c>
      <c r="C1160" s="2">
        <v>290619</v>
      </c>
      <c r="D1160" s="2" t="s">
        <v>3</v>
      </c>
      <c r="E1160" s="2">
        <v>255654</v>
      </c>
      <c r="F1160" s="2" t="s">
        <v>3</v>
      </c>
      <c r="G1160" s="2" t="s">
        <v>3</v>
      </c>
      <c r="H1160" s="2">
        <v>34965</v>
      </c>
      <c r="I1160" s="2">
        <v>2201</v>
      </c>
    </row>
    <row r="1161" spans="1:9" hidden="1" x14ac:dyDescent="0.3">
      <c r="A1161" t="s">
        <v>19</v>
      </c>
      <c r="B1161" s="1">
        <v>44743</v>
      </c>
      <c r="C1161" s="2">
        <v>283128</v>
      </c>
      <c r="D1161" s="2" t="s">
        <v>3</v>
      </c>
      <c r="E1161" s="2">
        <v>250364</v>
      </c>
      <c r="F1161" s="2" t="s">
        <v>3</v>
      </c>
      <c r="G1161" s="2" t="s">
        <v>3</v>
      </c>
      <c r="H1161" s="2">
        <v>32764</v>
      </c>
      <c r="I1161" s="2">
        <v>2046</v>
      </c>
    </row>
    <row r="1162" spans="1:9" hidden="1" x14ac:dyDescent="0.3">
      <c r="A1162" t="s">
        <v>19</v>
      </c>
      <c r="B1162" s="1">
        <v>44713</v>
      </c>
      <c r="C1162" s="2">
        <v>291465</v>
      </c>
      <c r="D1162" s="2" t="s">
        <v>3</v>
      </c>
      <c r="E1162" s="2">
        <v>260747</v>
      </c>
      <c r="F1162" s="2" t="s">
        <v>3</v>
      </c>
      <c r="G1162" s="2" t="s">
        <v>3</v>
      </c>
      <c r="H1162" s="2">
        <v>30718</v>
      </c>
      <c r="I1162" s="2">
        <v>-2222</v>
      </c>
    </row>
    <row r="1163" spans="1:9" hidden="1" x14ac:dyDescent="0.3">
      <c r="A1163" t="s">
        <v>19</v>
      </c>
      <c r="B1163" s="1">
        <v>44682</v>
      </c>
      <c r="C1163" s="2">
        <v>287146</v>
      </c>
      <c r="D1163" s="2" t="s">
        <v>3</v>
      </c>
      <c r="E1163" s="2">
        <v>254206</v>
      </c>
      <c r="F1163" s="2" t="s">
        <v>3</v>
      </c>
      <c r="G1163" s="2" t="s">
        <v>3</v>
      </c>
      <c r="H1163" s="2">
        <v>32940</v>
      </c>
      <c r="I1163" s="2">
        <v>2552</v>
      </c>
    </row>
    <row r="1164" spans="1:9" hidden="1" x14ac:dyDescent="0.3">
      <c r="A1164" t="s">
        <v>19</v>
      </c>
      <c r="B1164" s="1">
        <v>44652</v>
      </c>
      <c r="C1164" s="2">
        <v>268041</v>
      </c>
      <c r="D1164" s="2" t="s">
        <v>3</v>
      </c>
      <c r="E1164" s="2">
        <v>237653</v>
      </c>
      <c r="F1164" s="2" t="s">
        <v>3</v>
      </c>
      <c r="G1164" s="2" t="s">
        <v>3</v>
      </c>
      <c r="H1164" s="2">
        <v>30388</v>
      </c>
      <c r="I1164" s="2">
        <v>-1416</v>
      </c>
    </row>
    <row r="1165" spans="1:9" hidden="1" x14ac:dyDescent="0.3">
      <c r="A1165" t="s">
        <v>19</v>
      </c>
      <c r="B1165" s="1">
        <v>44621</v>
      </c>
      <c r="C1165" s="2">
        <v>270726</v>
      </c>
      <c r="D1165" s="2" t="s">
        <v>3</v>
      </c>
      <c r="E1165" s="2">
        <v>238922</v>
      </c>
      <c r="F1165" s="2" t="s">
        <v>3</v>
      </c>
      <c r="G1165" s="2" t="s">
        <v>3</v>
      </c>
      <c r="H1165" s="2">
        <v>31804</v>
      </c>
      <c r="I1165" s="2">
        <v>5982</v>
      </c>
    </row>
    <row r="1166" spans="1:9" hidden="1" x14ac:dyDescent="0.3">
      <c r="A1166" t="s">
        <v>19</v>
      </c>
      <c r="B1166" s="1">
        <v>44593</v>
      </c>
      <c r="C1166" s="2">
        <v>278043</v>
      </c>
      <c r="D1166" s="2" t="s">
        <v>3</v>
      </c>
      <c r="E1166" s="2">
        <v>252221</v>
      </c>
      <c r="F1166" s="2" t="s">
        <v>3</v>
      </c>
      <c r="G1166" s="2" t="s">
        <v>3</v>
      </c>
      <c r="H1166" s="2">
        <v>25822</v>
      </c>
      <c r="I1166" s="2">
        <v>-6681</v>
      </c>
    </row>
    <row r="1167" spans="1:9" hidden="1" x14ac:dyDescent="0.3">
      <c r="A1167" t="s">
        <v>19</v>
      </c>
      <c r="B1167" s="1">
        <v>44562</v>
      </c>
      <c r="C1167" s="2">
        <v>295388</v>
      </c>
      <c r="D1167" s="2" t="s">
        <v>3</v>
      </c>
      <c r="E1167" s="2">
        <v>262885</v>
      </c>
      <c r="F1167" s="2" t="s">
        <v>3</v>
      </c>
      <c r="G1167" s="2" t="s">
        <v>3</v>
      </c>
      <c r="H1167" s="2">
        <v>32503</v>
      </c>
      <c r="I1167" s="2">
        <v>1769</v>
      </c>
    </row>
    <row r="1168" spans="1:9" hidden="1" x14ac:dyDescent="0.3">
      <c r="A1168" t="s">
        <v>19</v>
      </c>
      <c r="B1168" s="1">
        <v>44531</v>
      </c>
      <c r="C1168" s="2">
        <v>284046</v>
      </c>
      <c r="D1168" s="2" t="s">
        <v>3</v>
      </c>
      <c r="E1168" s="2">
        <v>253312</v>
      </c>
      <c r="F1168" s="2" t="s">
        <v>3</v>
      </c>
      <c r="G1168" s="2" t="s">
        <v>3</v>
      </c>
      <c r="H1168" s="2">
        <v>30734</v>
      </c>
      <c r="I1168" s="2">
        <v>229</v>
      </c>
    </row>
    <row r="1169" spans="1:9" hidden="1" x14ac:dyDescent="0.3">
      <c r="A1169" t="s">
        <v>19</v>
      </c>
      <c r="B1169" s="1">
        <v>44501</v>
      </c>
      <c r="C1169" s="2">
        <v>288383</v>
      </c>
      <c r="D1169" s="2" t="s">
        <v>3</v>
      </c>
      <c r="E1169" s="2">
        <v>257878</v>
      </c>
      <c r="F1169" s="2" t="s">
        <v>3</v>
      </c>
      <c r="G1169" s="2" t="s">
        <v>3</v>
      </c>
      <c r="H1169" s="2">
        <v>30505</v>
      </c>
      <c r="I1169" s="2">
        <v>-1823</v>
      </c>
    </row>
    <row r="1170" spans="1:9" hidden="1" x14ac:dyDescent="0.3">
      <c r="A1170" t="s">
        <v>19</v>
      </c>
      <c r="B1170" s="1">
        <v>44470</v>
      </c>
      <c r="C1170" s="2">
        <v>289939</v>
      </c>
      <c r="D1170" s="2" t="s">
        <v>3</v>
      </c>
      <c r="E1170" s="2">
        <v>257611</v>
      </c>
      <c r="F1170" s="2" t="s">
        <v>3</v>
      </c>
      <c r="G1170" s="2" t="s">
        <v>3</v>
      </c>
      <c r="H1170" s="2">
        <v>32328</v>
      </c>
      <c r="I1170" s="2">
        <v>1778</v>
      </c>
    </row>
    <row r="1171" spans="1:9" hidden="1" x14ac:dyDescent="0.3">
      <c r="A1171" t="s">
        <v>19</v>
      </c>
      <c r="B1171" s="1">
        <v>44440</v>
      </c>
      <c r="C1171" s="2">
        <v>294388</v>
      </c>
      <c r="D1171" s="2" t="s">
        <v>3</v>
      </c>
      <c r="E1171" s="2">
        <v>263838</v>
      </c>
      <c r="F1171" s="2" t="s">
        <v>3</v>
      </c>
      <c r="G1171" s="2" t="s">
        <v>3</v>
      </c>
      <c r="H1171" s="2">
        <v>30550</v>
      </c>
      <c r="I1171" s="2">
        <v>-2627</v>
      </c>
    </row>
    <row r="1172" spans="1:9" hidden="1" x14ac:dyDescent="0.3">
      <c r="A1172" t="s">
        <v>19</v>
      </c>
      <c r="B1172" s="1">
        <v>44409</v>
      </c>
      <c r="C1172" s="2">
        <v>292591</v>
      </c>
      <c r="D1172" s="2" t="s">
        <v>3</v>
      </c>
      <c r="E1172" s="2">
        <v>259414</v>
      </c>
      <c r="F1172" s="2" t="s">
        <v>3</v>
      </c>
      <c r="G1172" s="2" t="s">
        <v>3</v>
      </c>
      <c r="H1172" s="2">
        <v>33177</v>
      </c>
      <c r="I1172" s="2">
        <v>1522</v>
      </c>
    </row>
    <row r="1173" spans="1:9" hidden="1" x14ac:dyDescent="0.3">
      <c r="A1173" t="s">
        <v>19</v>
      </c>
      <c r="B1173" s="1">
        <v>44378</v>
      </c>
      <c r="C1173" s="2">
        <v>296203</v>
      </c>
      <c r="D1173" s="2" t="s">
        <v>3</v>
      </c>
      <c r="E1173" s="2">
        <v>264548</v>
      </c>
      <c r="F1173" s="2" t="s">
        <v>3</v>
      </c>
      <c r="G1173" s="2" t="s">
        <v>3</v>
      </c>
      <c r="H1173" s="2">
        <v>31655</v>
      </c>
      <c r="I1173" s="2">
        <v>471</v>
      </c>
    </row>
    <row r="1174" spans="1:9" hidden="1" x14ac:dyDescent="0.3">
      <c r="A1174" t="s">
        <v>19</v>
      </c>
      <c r="B1174" s="1">
        <v>44348</v>
      </c>
      <c r="C1174" s="2">
        <v>302013</v>
      </c>
      <c r="D1174" s="2" t="s">
        <v>3</v>
      </c>
      <c r="E1174" s="2">
        <v>270829</v>
      </c>
      <c r="F1174" s="2" t="s">
        <v>3</v>
      </c>
      <c r="G1174" s="2" t="s">
        <v>3</v>
      </c>
      <c r="H1174" s="2">
        <v>31184</v>
      </c>
      <c r="I1174" s="2">
        <v>4628</v>
      </c>
    </row>
    <row r="1175" spans="1:9" hidden="1" x14ac:dyDescent="0.3">
      <c r="A1175" t="s">
        <v>19</v>
      </c>
      <c r="B1175" s="1">
        <v>44317</v>
      </c>
      <c r="C1175" s="2">
        <v>264817</v>
      </c>
      <c r="D1175" s="2" t="s">
        <v>3</v>
      </c>
      <c r="E1175" s="2">
        <v>238261</v>
      </c>
      <c r="F1175" s="2" t="s">
        <v>3</v>
      </c>
      <c r="G1175" s="2" t="s">
        <v>3</v>
      </c>
      <c r="H1175" s="2">
        <v>26556</v>
      </c>
      <c r="I1175" s="2">
        <v>866</v>
      </c>
    </row>
    <row r="1176" spans="1:9" hidden="1" x14ac:dyDescent="0.3">
      <c r="A1176" t="s">
        <v>19</v>
      </c>
      <c r="B1176" s="1">
        <v>44287</v>
      </c>
      <c r="C1176" s="2">
        <v>260931</v>
      </c>
      <c r="D1176" s="2" t="s">
        <v>3</v>
      </c>
      <c r="E1176" s="2">
        <v>235241</v>
      </c>
      <c r="F1176" s="2" t="s">
        <v>3</v>
      </c>
      <c r="G1176" s="2" t="s">
        <v>3</v>
      </c>
      <c r="H1176" s="2">
        <v>25690</v>
      </c>
      <c r="I1176" s="2">
        <v>2255</v>
      </c>
    </row>
    <row r="1177" spans="1:9" hidden="1" x14ac:dyDescent="0.3">
      <c r="A1177" t="s">
        <v>19</v>
      </c>
      <c r="B1177" s="1">
        <v>44256</v>
      </c>
      <c r="C1177" s="2">
        <v>254746</v>
      </c>
      <c r="D1177" s="2" t="s">
        <v>3</v>
      </c>
      <c r="E1177" s="2">
        <v>231311</v>
      </c>
      <c r="F1177" s="2" t="s">
        <v>3</v>
      </c>
      <c r="G1177" s="2" t="s">
        <v>3</v>
      </c>
      <c r="H1177" s="2">
        <v>23435</v>
      </c>
      <c r="I1177" s="2">
        <v>-535</v>
      </c>
    </row>
    <row r="1178" spans="1:9" hidden="1" x14ac:dyDescent="0.3">
      <c r="A1178" t="s">
        <v>19</v>
      </c>
      <c r="B1178" s="1">
        <v>44228</v>
      </c>
      <c r="C1178" s="2">
        <v>257749</v>
      </c>
      <c r="D1178" s="2" t="s">
        <v>3</v>
      </c>
      <c r="E1178" s="2">
        <v>233779</v>
      </c>
      <c r="F1178" s="2" t="s">
        <v>3</v>
      </c>
      <c r="G1178" s="2" t="s">
        <v>3</v>
      </c>
      <c r="H1178" s="2">
        <v>23970</v>
      </c>
      <c r="I1178" s="2">
        <v>-383</v>
      </c>
    </row>
    <row r="1179" spans="1:9" hidden="1" x14ac:dyDescent="0.3">
      <c r="A1179" t="s">
        <v>19</v>
      </c>
      <c r="B1179" s="1">
        <v>44197</v>
      </c>
      <c r="C1179" s="2">
        <v>254007</v>
      </c>
      <c r="D1179" s="2" t="s">
        <v>3</v>
      </c>
      <c r="E1179" s="2">
        <v>229654</v>
      </c>
      <c r="F1179" s="2" t="s">
        <v>3</v>
      </c>
      <c r="G1179" s="2" t="s">
        <v>3</v>
      </c>
      <c r="H1179" s="2">
        <v>24353</v>
      </c>
      <c r="I1179" s="2">
        <v>-2091</v>
      </c>
    </row>
    <row r="1180" spans="1:9" hidden="1" x14ac:dyDescent="0.3">
      <c r="A1180" t="s">
        <v>19</v>
      </c>
      <c r="B1180" s="1">
        <v>44166</v>
      </c>
      <c r="C1180" s="2">
        <v>255547</v>
      </c>
      <c r="D1180" s="2" t="s">
        <v>3</v>
      </c>
      <c r="E1180" s="2">
        <v>229103</v>
      </c>
      <c r="F1180" s="2" t="s">
        <v>3</v>
      </c>
      <c r="G1180" s="2" t="s">
        <v>3</v>
      </c>
      <c r="H1180" s="2">
        <v>26444</v>
      </c>
      <c r="I1180" s="2">
        <v>-683</v>
      </c>
    </row>
    <row r="1181" spans="1:9" hidden="1" x14ac:dyDescent="0.3">
      <c r="A1181" t="s">
        <v>19</v>
      </c>
      <c r="B1181" s="1">
        <v>44136</v>
      </c>
      <c r="C1181" s="2">
        <v>253255</v>
      </c>
      <c r="D1181" s="2" t="s">
        <v>3</v>
      </c>
      <c r="E1181" s="2">
        <v>226128</v>
      </c>
      <c r="F1181" s="2" t="s">
        <v>3</v>
      </c>
      <c r="G1181" s="2" t="s">
        <v>3</v>
      </c>
      <c r="H1181" s="2">
        <v>27127</v>
      </c>
      <c r="I1181" s="2">
        <v>-543</v>
      </c>
    </row>
    <row r="1182" spans="1:9" hidden="1" x14ac:dyDescent="0.3">
      <c r="A1182" t="s">
        <v>19</v>
      </c>
      <c r="B1182" s="1">
        <v>44105</v>
      </c>
      <c r="C1182" s="2">
        <v>255491</v>
      </c>
      <c r="D1182" s="2" t="s">
        <v>3</v>
      </c>
      <c r="E1182" s="2">
        <v>227821</v>
      </c>
      <c r="F1182" s="2" t="s">
        <v>3</v>
      </c>
      <c r="G1182" s="2" t="s">
        <v>3</v>
      </c>
      <c r="H1182" s="2">
        <v>27670</v>
      </c>
      <c r="I1182" s="2">
        <v>-1141</v>
      </c>
    </row>
    <row r="1183" spans="1:9" hidden="1" x14ac:dyDescent="0.3">
      <c r="A1183" t="s">
        <v>19</v>
      </c>
      <c r="B1183" s="1">
        <v>44075</v>
      </c>
      <c r="C1183" s="2">
        <v>255397</v>
      </c>
      <c r="D1183" s="2" t="s">
        <v>3</v>
      </c>
      <c r="E1183" s="2">
        <v>226586</v>
      </c>
      <c r="F1183" s="2" t="s">
        <v>3</v>
      </c>
      <c r="G1183" s="2" t="s">
        <v>3</v>
      </c>
      <c r="H1183" s="2">
        <v>28811</v>
      </c>
      <c r="I1183" s="2">
        <v>-3028</v>
      </c>
    </row>
    <row r="1184" spans="1:9" hidden="1" x14ac:dyDescent="0.3">
      <c r="A1184" t="s">
        <v>19</v>
      </c>
      <c r="B1184" s="1">
        <v>44044</v>
      </c>
      <c r="C1184" s="2">
        <v>253360</v>
      </c>
      <c r="D1184" s="2" t="s">
        <v>3</v>
      </c>
      <c r="E1184" s="2">
        <v>221521</v>
      </c>
      <c r="F1184" s="2" t="s">
        <v>3</v>
      </c>
      <c r="G1184" s="2" t="s">
        <v>3</v>
      </c>
      <c r="H1184" s="2">
        <v>31839</v>
      </c>
      <c r="I1184" s="2">
        <v>16</v>
      </c>
    </row>
    <row r="1185" spans="1:9" hidden="1" x14ac:dyDescent="0.3">
      <c r="A1185" t="s">
        <v>19</v>
      </c>
      <c r="B1185" s="1">
        <v>44013</v>
      </c>
      <c r="C1185" s="2">
        <v>250352</v>
      </c>
      <c r="D1185" s="2" t="s">
        <v>3</v>
      </c>
      <c r="E1185" s="2">
        <v>218529</v>
      </c>
      <c r="F1185" s="2" t="s">
        <v>3</v>
      </c>
      <c r="G1185" s="2" t="s">
        <v>3</v>
      </c>
      <c r="H1185" s="2">
        <v>31823</v>
      </c>
      <c r="I1185" s="2">
        <v>-1241</v>
      </c>
    </row>
    <row r="1186" spans="1:9" hidden="1" x14ac:dyDescent="0.3">
      <c r="A1186" t="s">
        <v>19</v>
      </c>
      <c r="B1186" s="1">
        <v>43983</v>
      </c>
      <c r="C1186" s="2">
        <v>247346</v>
      </c>
      <c r="D1186" s="2" t="s">
        <v>3</v>
      </c>
      <c r="E1186" s="2">
        <v>214282</v>
      </c>
      <c r="F1186" s="2" t="s">
        <v>3</v>
      </c>
      <c r="G1186" s="2" t="s">
        <v>3</v>
      </c>
      <c r="H1186" s="2">
        <v>33064</v>
      </c>
      <c r="I1186" s="2">
        <v>81</v>
      </c>
    </row>
    <row r="1187" spans="1:9" hidden="1" x14ac:dyDescent="0.3">
      <c r="A1187" t="s">
        <v>19</v>
      </c>
      <c r="B1187" s="1">
        <v>43952</v>
      </c>
      <c r="C1187" s="2">
        <v>243080</v>
      </c>
      <c r="D1187" s="2" t="s">
        <v>3</v>
      </c>
      <c r="E1187" s="2">
        <v>210097</v>
      </c>
      <c r="F1187" s="2" t="s">
        <v>3</v>
      </c>
      <c r="G1187" s="2" t="s">
        <v>3</v>
      </c>
      <c r="H1187" s="2">
        <v>32983</v>
      </c>
      <c r="I1187" s="2">
        <v>-158</v>
      </c>
    </row>
    <row r="1188" spans="1:9" hidden="1" x14ac:dyDescent="0.3">
      <c r="A1188" t="s">
        <v>19</v>
      </c>
      <c r="B1188" s="1">
        <v>43922</v>
      </c>
      <c r="C1188" s="2">
        <v>241300</v>
      </c>
      <c r="D1188" s="2" t="s">
        <v>3</v>
      </c>
      <c r="E1188" s="2">
        <v>208159</v>
      </c>
      <c r="F1188" s="2" t="s">
        <v>3</v>
      </c>
      <c r="G1188" s="2" t="s">
        <v>3</v>
      </c>
      <c r="H1188" s="2">
        <v>33141</v>
      </c>
      <c r="I1188" s="2">
        <v>-1144</v>
      </c>
    </row>
    <row r="1189" spans="1:9" hidden="1" x14ac:dyDescent="0.3">
      <c r="A1189" t="s">
        <v>19</v>
      </c>
      <c r="B1189" s="1">
        <v>43891</v>
      </c>
      <c r="C1189" s="2">
        <v>244642</v>
      </c>
      <c r="D1189" s="2" t="s">
        <v>3</v>
      </c>
      <c r="E1189" s="2">
        <v>210357</v>
      </c>
      <c r="F1189" s="2" t="s">
        <v>3</v>
      </c>
      <c r="G1189" s="2" t="s">
        <v>3</v>
      </c>
      <c r="H1189" s="2">
        <v>34285</v>
      </c>
      <c r="I1189" s="2">
        <v>-750</v>
      </c>
    </row>
    <row r="1190" spans="1:9" hidden="1" x14ac:dyDescent="0.3">
      <c r="A1190" t="s">
        <v>19</v>
      </c>
      <c r="B1190" s="1">
        <v>43862</v>
      </c>
      <c r="C1190" s="2">
        <v>243698</v>
      </c>
      <c r="D1190" s="2" t="s">
        <v>3</v>
      </c>
      <c r="E1190" s="2">
        <v>208663</v>
      </c>
      <c r="F1190" s="2" t="s">
        <v>3</v>
      </c>
      <c r="G1190" s="2" t="s">
        <v>3</v>
      </c>
      <c r="H1190" s="2">
        <v>35035</v>
      </c>
      <c r="I1190" s="2">
        <v>1746</v>
      </c>
    </row>
    <row r="1191" spans="1:9" hidden="1" x14ac:dyDescent="0.3">
      <c r="A1191" t="s">
        <v>19</v>
      </c>
      <c r="B1191" s="1">
        <v>43831</v>
      </c>
      <c r="C1191" s="2">
        <v>238065</v>
      </c>
      <c r="D1191" s="2" t="s">
        <v>3</v>
      </c>
      <c r="E1191" s="2">
        <v>204776</v>
      </c>
      <c r="F1191" s="2" t="s">
        <v>3</v>
      </c>
      <c r="G1191" s="2" t="s">
        <v>3</v>
      </c>
      <c r="H1191" s="2">
        <v>33289</v>
      </c>
      <c r="I1191" s="2">
        <v>757</v>
      </c>
    </row>
    <row r="1192" spans="1:9" x14ac:dyDescent="0.3">
      <c r="A1192" t="s">
        <v>20</v>
      </c>
      <c r="B1192" s="1">
        <v>45931</v>
      </c>
      <c r="C1192" s="2">
        <v>14606</v>
      </c>
      <c r="D1192" s="2">
        <v>1335</v>
      </c>
      <c r="E1192" s="2">
        <v>8083</v>
      </c>
      <c r="F1192" s="2">
        <v>444</v>
      </c>
      <c r="G1192" s="2">
        <v>-6</v>
      </c>
      <c r="H1192" s="2">
        <v>6523</v>
      </c>
      <c r="I1192" s="2">
        <v>891</v>
      </c>
    </row>
    <row r="1193" spans="1:9" x14ac:dyDescent="0.3">
      <c r="A1193" t="s">
        <v>20</v>
      </c>
      <c r="B1193" s="1">
        <v>45901</v>
      </c>
      <c r="C1193" s="2">
        <v>13277</v>
      </c>
      <c r="D1193" s="2">
        <v>-6144</v>
      </c>
      <c r="E1193" s="2">
        <v>7645</v>
      </c>
      <c r="F1193" s="2">
        <v>305</v>
      </c>
      <c r="G1193" s="2">
        <v>-1</v>
      </c>
      <c r="H1193" s="2">
        <v>5632</v>
      </c>
      <c r="I1193" s="2">
        <v>-6449</v>
      </c>
    </row>
    <row r="1194" spans="1:9" x14ac:dyDescent="0.3">
      <c r="A1194" t="s">
        <v>20</v>
      </c>
      <c r="B1194" s="1">
        <v>45870</v>
      </c>
      <c r="C1194" s="2">
        <v>19421</v>
      </c>
      <c r="D1194" s="2">
        <v>9467</v>
      </c>
      <c r="E1194" s="2">
        <v>7340</v>
      </c>
      <c r="F1194" s="2">
        <v>1568</v>
      </c>
      <c r="G1194" s="2">
        <v>24</v>
      </c>
      <c r="H1194" s="2">
        <v>12081</v>
      </c>
      <c r="I1194" s="2">
        <v>7899</v>
      </c>
    </row>
    <row r="1195" spans="1:9" x14ac:dyDescent="0.3">
      <c r="A1195" t="s">
        <v>20</v>
      </c>
      <c r="B1195" s="1">
        <v>45839</v>
      </c>
      <c r="C1195" s="2">
        <v>9935</v>
      </c>
      <c r="D1195" s="2">
        <v>2267</v>
      </c>
      <c r="E1195" s="2">
        <v>5753</v>
      </c>
      <c r="F1195" s="2">
        <v>251</v>
      </c>
      <c r="G1195" s="2">
        <v>-21</v>
      </c>
      <c r="H1195" s="2">
        <v>4182</v>
      </c>
      <c r="I1195" s="2">
        <v>2016</v>
      </c>
    </row>
    <row r="1196" spans="1:9" x14ac:dyDescent="0.3">
      <c r="A1196" t="s">
        <v>20</v>
      </c>
      <c r="B1196" s="1">
        <v>45809</v>
      </c>
      <c r="C1196" s="2">
        <v>7691</v>
      </c>
      <c r="D1196" s="2">
        <v>680</v>
      </c>
      <c r="E1196" s="2">
        <v>5525</v>
      </c>
      <c r="F1196" s="2">
        <v>97</v>
      </c>
      <c r="G1196" s="2">
        <v>16</v>
      </c>
      <c r="H1196" s="2">
        <v>2166</v>
      </c>
      <c r="I1196" s="2">
        <v>583</v>
      </c>
    </row>
    <row r="1197" spans="1:9" x14ac:dyDescent="0.3">
      <c r="A1197" t="s">
        <v>20</v>
      </c>
      <c r="B1197" s="1">
        <v>45778</v>
      </c>
      <c r="C1197" s="2">
        <v>7043</v>
      </c>
      <c r="D1197" s="2">
        <v>-71</v>
      </c>
      <c r="E1197" s="2">
        <v>5460</v>
      </c>
      <c r="F1197" s="2">
        <v>431</v>
      </c>
      <c r="G1197" s="2">
        <v>-26</v>
      </c>
      <c r="H1197" s="2">
        <v>1583</v>
      </c>
      <c r="I1197" s="2">
        <v>-502</v>
      </c>
    </row>
    <row r="1198" spans="1:9" x14ac:dyDescent="0.3">
      <c r="A1198" t="s">
        <v>20</v>
      </c>
      <c r="B1198" s="1">
        <v>45748</v>
      </c>
      <c r="C1198" s="2">
        <v>7137</v>
      </c>
      <c r="D1198" s="2">
        <v>-8873</v>
      </c>
      <c r="E1198" s="2">
        <v>5052</v>
      </c>
      <c r="F1198" s="2">
        <v>-7264</v>
      </c>
      <c r="G1198" s="2">
        <v>92</v>
      </c>
      <c r="H1198" s="2">
        <v>2085</v>
      </c>
      <c r="I1198" s="2">
        <v>-1609</v>
      </c>
    </row>
    <row r="1199" spans="1:9" x14ac:dyDescent="0.3">
      <c r="A1199" t="s">
        <v>20</v>
      </c>
      <c r="B1199" s="1">
        <v>45717</v>
      </c>
      <c r="C1199" s="2">
        <v>15918</v>
      </c>
      <c r="D1199" s="2">
        <v>-4570</v>
      </c>
      <c r="E1199" s="2">
        <v>12224</v>
      </c>
      <c r="F1199" s="2">
        <v>-634</v>
      </c>
      <c r="G1199" s="2">
        <v>19</v>
      </c>
      <c r="H1199" s="2">
        <v>3694</v>
      </c>
      <c r="I1199" s="2">
        <v>-3936</v>
      </c>
    </row>
    <row r="1200" spans="1:9" x14ac:dyDescent="0.3">
      <c r="A1200" t="s">
        <v>20</v>
      </c>
      <c r="B1200" s="1">
        <v>45689</v>
      </c>
      <c r="C1200" s="2">
        <v>20471</v>
      </c>
      <c r="D1200" s="2">
        <v>2214</v>
      </c>
      <c r="E1200" s="2">
        <v>12841</v>
      </c>
      <c r="F1200" s="2">
        <v>932</v>
      </c>
      <c r="G1200" s="2">
        <v>44</v>
      </c>
      <c r="H1200" s="2">
        <v>7630</v>
      </c>
      <c r="I1200" s="2">
        <v>1282</v>
      </c>
    </row>
    <row r="1201" spans="1:9" x14ac:dyDescent="0.3">
      <c r="A1201" t="s">
        <v>20</v>
      </c>
      <c r="B1201" s="1">
        <v>45658</v>
      </c>
      <c r="C1201" s="2">
        <v>18210</v>
      </c>
      <c r="D1201" s="2">
        <v>5376</v>
      </c>
      <c r="E1201" s="2">
        <v>11862</v>
      </c>
      <c r="F1201" s="2">
        <v>2315</v>
      </c>
      <c r="G1201" s="2">
        <v>-12</v>
      </c>
      <c r="H1201" s="2">
        <v>6348</v>
      </c>
      <c r="I1201" s="2">
        <v>3061</v>
      </c>
    </row>
    <row r="1202" spans="1:9" x14ac:dyDescent="0.3">
      <c r="A1202" t="s">
        <v>20</v>
      </c>
      <c r="B1202" s="1">
        <v>45627</v>
      </c>
      <c r="C1202" s="2">
        <v>12852</v>
      </c>
      <c r="D1202" s="2">
        <v>818</v>
      </c>
      <c r="E1202" s="2">
        <v>9565</v>
      </c>
      <c r="F1202" s="2">
        <v>376</v>
      </c>
      <c r="G1202" s="2">
        <v>-14</v>
      </c>
      <c r="H1202" s="2">
        <v>3287</v>
      </c>
      <c r="I1202" s="2">
        <v>442</v>
      </c>
    </row>
    <row r="1203" spans="1:9" x14ac:dyDescent="0.3">
      <c r="A1203" t="s">
        <v>20</v>
      </c>
      <c r="B1203" s="1">
        <v>45597</v>
      </c>
      <c r="C1203" s="2">
        <v>12095</v>
      </c>
      <c r="D1203" s="2">
        <v>127</v>
      </c>
      <c r="E1203" s="2">
        <v>9250</v>
      </c>
      <c r="F1203" s="2">
        <v>213</v>
      </c>
      <c r="G1203" s="2">
        <v>10</v>
      </c>
      <c r="H1203" s="2">
        <v>2845</v>
      </c>
      <c r="I1203" s="2">
        <v>-86</v>
      </c>
    </row>
    <row r="1204" spans="1:9" x14ac:dyDescent="0.3">
      <c r="A1204" t="s">
        <v>20</v>
      </c>
      <c r="B1204" s="1">
        <v>45566</v>
      </c>
      <c r="C1204" s="2">
        <v>11965</v>
      </c>
      <c r="D1204" s="2">
        <v>5746</v>
      </c>
      <c r="E1204" s="2">
        <v>9034</v>
      </c>
      <c r="F1204" s="2">
        <v>4116</v>
      </c>
      <c r="G1204" s="2">
        <v>-75</v>
      </c>
      <c r="H1204" s="2">
        <v>2931</v>
      </c>
      <c r="I1204" s="2">
        <v>1630</v>
      </c>
    </row>
    <row r="1205" spans="1:9" x14ac:dyDescent="0.3">
      <c r="A1205" t="s">
        <v>20</v>
      </c>
      <c r="B1205" s="1">
        <v>45536</v>
      </c>
      <c r="C1205" s="2">
        <v>6295</v>
      </c>
      <c r="D1205" s="2">
        <v>127</v>
      </c>
      <c r="E1205" s="2">
        <v>4994</v>
      </c>
      <c r="F1205" s="2">
        <v>92</v>
      </c>
      <c r="G1205" s="2">
        <v>19</v>
      </c>
      <c r="H1205" s="2">
        <v>1301</v>
      </c>
      <c r="I1205" s="2">
        <v>35</v>
      </c>
    </row>
    <row r="1206" spans="1:9" x14ac:dyDescent="0.3">
      <c r="A1206" t="s">
        <v>20</v>
      </c>
      <c r="B1206" s="1">
        <v>45505</v>
      </c>
      <c r="C1206" s="2">
        <v>6149</v>
      </c>
      <c r="D1206" s="2">
        <v>34</v>
      </c>
      <c r="E1206" s="2">
        <v>4883</v>
      </c>
      <c r="F1206" s="2">
        <v>51</v>
      </c>
      <c r="G1206" s="2">
        <v>23</v>
      </c>
      <c r="H1206" s="2">
        <v>1266</v>
      </c>
      <c r="I1206" s="2">
        <v>-17</v>
      </c>
    </row>
    <row r="1207" spans="1:9" x14ac:dyDescent="0.3">
      <c r="A1207" t="s">
        <v>20</v>
      </c>
      <c r="B1207" s="1">
        <v>45474</v>
      </c>
      <c r="C1207" s="2">
        <v>6092</v>
      </c>
      <c r="D1207" s="2">
        <v>2628</v>
      </c>
      <c r="E1207" s="2">
        <v>4809</v>
      </c>
      <c r="F1207" s="2">
        <v>1582</v>
      </c>
      <c r="G1207" s="2">
        <v>23</v>
      </c>
      <c r="H1207" s="2">
        <v>1283</v>
      </c>
      <c r="I1207" s="2">
        <v>1046</v>
      </c>
    </row>
    <row r="1208" spans="1:9" x14ac:dyDescent="0.3">
      <c r="A1208" t="s">
        <v>20</v>
      </c>
      <c r="B1208" s="1">
        <v>45444</v>
      </c>
      <c r="C1208" s="2">
        <v>3438</v>
      </c>
      <c r="D1208" s="2">
        <v>169</v>
      </c>
      <c r="E1208" s="2">
        <v>3201</v>
      </c>
      <c r="F1208" s="2">
        <v>153</v>
      </c>
      <c r="G1208" s="2">
        <v>5</v>
      </c>
      <c r="H1208" s="2">
        <v>237</v>
      </c>
      <c r="I1208" s="2">
        <v>16</v>
      </c>
    </row>
    <row r="1209" spans="1:9" x14ac:dyDescent="0.3">
      <c r="A1209" t="s">
        <v>20</v>
      </c>
      <c r="B1209" s="1">
        <v>45413</v>
      </c>
      <c r="C1209" s="2">
        <v>3262</v>
      </c>
      <c r="D1209" s="2">
        <v>139</v>
      </c>
      <c r="E1209" s="2">
        <v>3041</v>
      </c>
      <c r="F1209" s="2">
        <v>133</v>
      </c>
      <c r="G1209" s="2">
        <v>9</v>
      </c>
      <c r="H1209" s="2">
        <v>221</v>
      </c>
      <c r="I1209" s="2">
        <v>6</v>
      </c>
    </row>
    <row r="1210" spans="1:9" x14ac:dyDescent="0.3">
      <c r="A1210" t="s">
        <v>20</v>
      </c>
      <c r="B1210" s="1">
        <v>45383</v>
      </c>
      <c r="C1210" s="2">
        <v>3115</v>
      </c>
      <c r="D1210" s="2">
        <v>17</v>
      </c>
      <c r="E1210" s="2">
        <v>2900</v>
      </c>
      <c r="F1210" s="2">
        <v>19</v>
      </c>
      <c r="G1210" s="2">
        <v>-11</v>
      </c>
      <c r="H1210" s="2">
        <v>215</v>
      </c>
      <c r="I1210" s="2">
        <v>-2</v>
      </c>
    </row>
    <row r="1211" spans="1:9" x14ac:dyDescent="0.3">
      <c r="A1211" t="s">
        <v>20</v>
      </c>
      <c r="B1211" s="1">
        <v>45352</v>
      </c>
      <c r="C1211" s="2">
        <v>3111</v>
      </c>
      <c r="D1211" s="2">
        <v>29</v>
      </c>
      <c r="E1211" s="2">
        <v>2894</v>
      </c>
      <c r="F1211" s="2">
        <v>26</v>
      </c>
      <c r="G1211" s="2">
        <v>2</v>
      </c>
      <c r="H1211" s="2">
        <v>217</v>
      </c>
      <c r="I1211" s="2">
        <v>3</v>
      </c>
    </row>
    <row r="1212" spans="1:9" x14ac:dyDescent="0.3">
      <c r="A1212" t="s">
        <v>20</v>
      </c>
      <c r="B1212" s="1">
        <v>45323</v>
      </c>
      <c r="C1212" s="2">
        <v>3086</v>
      </c>
      <c r="D1212" s="2">
        <v>1</v>
      </c>
      <c r="E1212" s="2">
        <v>2872</v>
      </c>
      <c r="F1212" s="2">
        <v>-1</v>
      </c>
      <c r="G1212" s="2">
        <v>-11</v>
      </c>
      <c r="H1212" s="2">
        <v>214</v>
      </c>
      <c r="I1212" s="2">
        <v>2</v>
      </c>
    </row>
    <row r="1213" spans="1:9" x14ac:dyDescent="0.3">
      <c r="A1213" t="s">
        <v>20</v>
      </c>
      <c r="B1213" s="1">
        <v>45292</v>
      </c>
      <c r="C1213" s="2">
        <v>3096</v>
      </c>
      <c r="D1213" s="2">
        <v>938</v>
      </c>
      <c r="E1213" s="2">
        <v>2884</v>
      </c>
      <c r="F1213" s="2">
        <v>951</v>
      </c>
      <c r="G1213" s="2">
        <v>-4</v>
      </c>
      <c r="H1213" s="2">
        <v>212</v>
      </c>
      <c r="I1213" s="2">
        <v>-13</v>
      </c>
    </row>
    <row r="1214" spans="1:9" x14ac:dyDescent="0.3">
      <c r="A1214" t="s">
        <v>20</v>
      </c>
      <c r="B1214" s="1">
        <v>45261</v>
      </c>
      <c r="C1214" s="2">
        <v>2166</v>
      </c>
      <c r="D1214" s="2">
        <v>-230</v>
      </c>
      <c r="E1214" s="2">
        <v>1941</v>
      </c>
      <c r="F1214" s="2">
        <v>33</v>
      </c>
      <c r="G1214" s="2">
        <v>11</v>
      </c>
      <c r="H1214" s="2">
        <v>225</v>
      </c>
      <c r="I1214" s="2">
        <v>-263</v>
      </c>
    </row>
    <row r="1215" spans="1:9" x14ac:dyDescent="0.3">
      <c r="A1215" t="s">
        <v>20</v>
      </c>
      <c r="B1215" s="1">
        <v>45231</v>
      </c>
      <c r="C1215" s="2">
        <v>2359</v>
      </c>
      <c r="D1215" s="2">
        <v>6</v>
      </c>
      <c r="E1215" s="2">
        <v>1871</v>
      </c>
      <c r="F1215" s="2">
        <v>-1</v>
      </c>
      <c r="G1215" s="2">
        <v>11</v>
      </c>
      <c r="H1215" s="2">
        <v>488</v>
      </c>
      <c r="I1215" s="2">
        <v>7</v>
      </c>
    </row>
    <row r="1216" spans="1:9" x14ac:dyDescent="0.3">
      <c r="A1216" t="s">
        <v>20</v>
      </c>
      <c r="B1216" s="1">
        <v>45200</v>
      </c>
      <c r="C1216" s="2">
        <v>2346</v>
      </c>
      <c r="D1216" s="2">
        <v>246</v>
      </c>
      <c r="E1216" s="2">
        <v>1865</v>
      </c>
      <c r="F1216" s="2">
        <v>-5</v>
      </c>
      <c r="G1216" s="2">
        <v>2</v>
      </c>
      <c r="H1216" s="2">
        <v>481</v>
      </c>
      <c r="I1216" s="2">
        <v>251</v>
      </c>
    </row>
    <row r="1217" spans="1:9" x14ac:dyDescent="0.3">
      <c r="A1217" t="s">
        <v>20</v>
      </c>
      <c r="B1217" s="1">
        <v>45170</v>
      </c>
      <c r="C1217" s="2">
        <v>2102</v>
      </c>
      <c r="D1217" s="2">
        <v>37</v>
      </c>
      <c r="E1217" s="2">
        <v>1872</v>
      </c>
      <c r="F1217" s="2">
        <v>32</v>
      </c>
      <c r="G1217" s="2">
        <v>2</v>
      </c>
      <c r="H1217" s="2">
        <v>230</v>
      </c>
      <c r="I1217" s="2">
        <v>5</v>
      </c>
    </row>
    <row r="1218" spans="1:9" x14ac:dyDescent="0.3">
      <c r="A1218" t="s">
        <v>20</v>
      </c>
      <c r="B1218" s="1">
        <v>45139</v>
      </c>
      <c r="C1218" s="2">
        <v>2064</v>
      </c>
      <c r="D1218" s="2">
        <v>-288</v>
      </c>
      <c r="E1218" s="2">
        <v>1839</v>
      </c>
      <c r="F1218" s="2">
        <v>67</v>
      </c>
      <c r="G1218" s="2">
        <v>6</v>
      </c>
      <c r="H1218" s="2">
        <v>225</v>
      </c>
      <c r="I1218" s="2">
        <v>-355</v>
      </c>
    </row>
    <row r="1219" spans="1:9" x14ac:dyDescent="0.3">
      <c r="A1219" t="s">
        <v>20</v>
      </c>
      <c r="B1219" s="1">
        <v>45108</v>
      </c>
      <c r="C1219" s="2">
        <v>2352</v>
      </c>
      <c r="D1219" s="2">
        <v>100</v>
      </c>
      <c r="E1219" s="2">
        <v>1772</v>
      </c>
      <c r="F1219" s="2">
        <v>111</v>
      </c>
      <c r="G1219" s="2">
        <v>2</v>
      </c>
      <c r="H1219" s="2">
        <v>580</v>
      </c>
      <c r="I1219" s="2">
        <v>-11</v>
      </c>
    </row>
    <row r="1220" spans="1:9" x14ac:dyDescent="0.3">
      <c r="A1220" t="s">
        <v>20</v>
      </c>
      <c r="B1220" s="1">
        <v>45078</v>
      </c>
      <c r="C1220" s="2">
        <v>2255</v>
      </c>
      <c r="D1220" s="2">
        <v>185</v>
      </c>
      <c r="E1220" s="2">
        <v>1664</v>
      </c>
      <c r="F1220" s="2">
        <v>48</v>
      </c>
      <c r="G1220" s="2">
        <v>-2</v>
      </c>
      <c r="H1220" s="2">
        <v>591</v>
      </c>
      <c r="I1220" s="2">
        <v>137</v>
      </c>
    </row>
    <row r="1221" spans="1:9" x14ac:dyDescent="0.3">
      <c r="A1221" t="s">
        <v>20</v>
      </c>
      <c r="B1221" s="1">
        <v>45047</v>
      </c>
      <c r="C1221" s="2">
        <v>2075</v>
      </c>
      <c r="D1221" s="2">
        <v>-43</v>
      </c>
      <c r="E1221" s="2">
        <v>1621</v>
      </c>
      <c r="F1221" s="2">
        <v>-48</v>
      </c>
      <c r="G1221" s="2">
        <v>-3</v>
      </c>
      <c r="H1221" s="2">
        <v>454</v>
      </c>
      <c r="I1221" s="2">
        <v>5</v>
      </c>
    </row>
    <row r="1222" spans="1:9" x14ac:dyDescent="0.3">
      <c r="A1222" t="s">
        <v>20</v>
      </c>
      <c r="B1222" s="1">
        <v>45017</v>
      </c>
      <c r="C1222" s="2">
        <v>2126</v>
      </c>
      <c r="D1222" s="2">
        <v>-26</v>
      </c>
      <c r="E1222" s="2">
        <v>1677</v>
      </c>
      <c r="F1222" s="2">
        <v>252</v>
      </c>
      <c r="G1222" s="2">
        <v>1</v>
      </c>
      <c r="H1222" s="2">
        <v>449</v>
      </c>
      <c r="I1222" s="2">
        <v>-278</v>
      </c>
    </row>
    <row r="1223" spans="1:9" x14ac:dyDescent="0.3">
      <c r="A1223" t="s">
        <v>20</v>
      </c>
      <c r="B1223" s="1">
        <v>44986</v>
      </c>
      <c r="C1223" s="2">
        <v>2151</v>
      </c>
      <c r="D1223" s="2">
        <v>150</v>
      </c>
      <c r="E1223" s="2">
        <v>1424</v>
      </c>
      <c r="F1223" s="2">
        <v>151</v>
      </c>
      <c r="G1223" s="2">
        <v>16</v>
      </c>
      <c r="H1223" s="2">
        <v>727</v>
      </c>
      <c r="I1223" s="2">
        <v>-1</v>
      </c>
    </row>
    <row r="1224" spans="1:9" x14ac:dyDescent="0.3">
      <c r="A1224" t="s">
        <v>20</v>
      </c>
      <c r="B1224" s="1">
        <v>44958</v>
      </c>
      <c r="C1224" s="2">
        <v>1988</v>
      </c>
      <c r="D1224" s="2">
        <v>-163</v>
      </c>
      <c r="E1224" s="2">
        <v>1260</v>
      </c>
      <c r="F1224" s="2">
        <v>-137</v>
      </c>
      <c r="G1224" s="2">
        <v>-5</v>
      </c>
      <c r="H1224" s="2">
        <v>728</v>
      </c>
      <c r="I1224" s="2">
        <v>-26</v>
      </c>
    </row>
    <row r="1225" spans="1:9" hidden="1" x14ac:dyDescent="0.3">
      <c r="A1225" t="s">
        <v>20</v>
      </c>
      <c r="B1225" s="1">
        <v>44927</v>
      </c>
      <c r="C1225" s="2">
        <v>2154</v>
      </c>
      <c r="D1225" s="2" t="s">
        <v>3</v>
      </c>
      <c r="E1225" s="2">
        <v>1400</v>
      </c>
      <c r="F1225" s="2" t="s">
        <v>3</v>
      </c>
      <c r="G1225" s="2" t="s">
        <v>3</v>
      </c>
      <c r="H1225" s="2">
        <v>754</v>
      </c>
      <c r="I1225" s="2">
        <v>95</v>
      </c>
    </row>
    <row r="1226" spans="1:9" hidden="1" x14ac:dyDescent="0.3">
      <c r="A1226" t="s">
        <v>20</v>
      </c>
      <c r="B1226" s="1">
        <v>44896</v>
      </c>
      <c r="C1226" s="2">
        <v>2027</v>
      </c>
      <c r="D1226" s="2" t="s">
        <v>3</v>
      </c>
      <c r="E1226" s="2">
        <v>1368</v>
      </c>
      <c r="F1226" s="2" t="s">
        <v>3</v>
      </c>
      <c r="G1226" s="2" t="s">
        <v>3</v>
      </c>
      <c r="H1226" s="2">
        <v>659</v>
      </c>
      <c r="I1226" s="2">
        <v>-25</v>
      </c>
    </row>
    <row r="1227" spans="1:9" hidden="1" x14ac:dyDescent="0.3">
      <c r="A1227" t="s">
        <v>20</v>
      </c>
      <c r="B1227" s="1">
        <v>44866</v>
      </c>
      <c r="C1227" s="2">
        <v>1993</v>
      </c>
      <c r="D1227" s="2" t="s">
        <v>3</v>
      </c>
      <c r="E1227" s="2">
        <v>1309</v>
      </c>
      <c r="F1227" s="2" t="s">
        <v>3</v>
      </c>
      <c r="G1227" s="2" t="s">
        <v>3</v>
      </c>
      <c r="H1227" s="2">
        <v>684</v>
      </c>
      <c r="I1227" s="2">
        <v>60</v>
      </c>
    </row>
    <row r="1228" spans="1:9" hidden="1" x14ac:dyDescent="0.3">
      <c r="A1228" t="s">
        <v>20</v>
      </c>
      <c r="B1228" s="1">
        <v>44835</v>
      </c>
      <c r="C1228" s="2">
        <v>1834</v>
      </c>
      <c r="D1228" s="2" t="s">
        <v>3</v>
      </c>
      <c r="E1228" s="2">
        <v>1210</v>
      </c>
      <c r="F1228" s="2" t="s">
        <v>3</v>
      </c>
      <c r="G1228" s="2" t="s">
        <v>3</v>
      </c>
      <c r="H1228" s="2">
        <v>624</v>
      </c>
      <c r="I1228" s="2">
        <v>3</v>
      </c>
    </row>
    <row r="1229" spans="1:9" hidden="1" x14ac:dyDescent="0.3">
      <c r="A1229" t="s">
        <v>20</v>
      </c>
      <c r="B1229" s="1">
        <v>44805</v>
      </c>
      <c r="C1229" s="2">
        <v>1814</v>
      </c>
      <c r="D1229" s="2" t="s">
        <v>3</v>
      </c>
      <c r="E1229" s="2">
        <v>1193</v>
      </c>
      <c r="F1229" s="2" t="s">
        <v>3</v>
      </c>
      <c r="G1229" s="2" t="s">
        <v>3</v>
      </c>
      <c r="H1229" s="2">
        <v>621</v>
      </c>
      <c r="I1229" s="2">
        <v>10</v>
      </c>
    </row>
    <row r="1230" spans="1:9" hidden="1" x14ac:dyDescent="0.3">
      <c r="A1230" t="s">
        <v>20</v>
      </c>
      <c r="B1230" s="1">
        <v>44774</v>
      </c>
      <c r="C1230" s="2">
        <v>1888</v>
      </c>
      <c r="D1230" s="2" t="s">
        <v>3</v>
      </c>
      <c r="E1230" s="2">
        <v>1277</v>
      </c>
      <c r="F1230" s="2" t="s">
        <v>3</v>
      </c>
      <c r="G1230" s="2" t="s">
        <v>3</v>
      </c>
      <c r="H1230" s="2">
        <v>611</v>
      </c>
      <c r="I1230" s="2">
        <v>110</v>
      </c>
    </row>
    <row r="1231" spans="1:9" hidden="1" x14ac:dyDescent="0.3">
      <c r="A1231" t="s">
        <v>20</v>
      </c>
      <c r="B1231" s="1">
        <v>44743</v>
      </c>
      <c r="C1231" s="2">
        <v>1803</v>
      </c>
      <c r="D1231" s="2" t="s">
        <v>3</v>
      </c>
      <c r="E1231" s="2">
        <v>1302</v>
      </c>
      <c r="F1231" s="2" t="s">
        <v>3</v>
      </c>
      <c r="G1231" s="2" t="s">
        <v>3</v>
      </c>
      <c r="H1231" s="2">
        <v>501</v>
      </c>
      <c r="I1231" s="2">
        <v>45</v>
      </c>
    </row>
    <row r="1232" spans="1:9" hidden="1" x14ac:dyDescent="0.3">
      <c r="A1232" t="s">
        <v>20</v>
      </c>
      <c r="B1232" s="1">
        <v>44713</v>
      </c>
      <c r="C1232" s="2">
        <v>1674</v>
      </c>
      <c r="D1232" s="2" t="s">
        <v>3</v>
      </c>
      <c r="E1232" s="2">
        <v>1218</v>
      </c>
      <c r="F1232" s="2" t="s">
        <v>3</v>
      </c>
      <c r="G1232" s="2" t="s">
        <v>3</v>
      </c>
      <c r="H1232" s="2">
        <v>456</v>
      </c>
      <c r="I1232" s="2">
        <v>-48</v>
      </c>
    </row>
    <row r="1233" spans="1:9" hidden="1" x14ac:dyDescent="0.3">
      <c r="A1233" t="s">
        <v>20</v>
      </c>
      <c r="B1233" s="1">
        <v>44682</v>
      </c>
      <c r="C1233" s="2">
        <v>1666</v>
      </c>
      <c r="D1233" s="2" t="s">
        <v>3</v>
      </c>
      <c r="E1233" s="2">
        <v>1162</v>
      </c>
      <c r="F1233" s="2" t="s">
        <v>3</v>
      </c>
      <c r="G1233" s="2" t="s">
        <v>3</v>
      </c>
      <c r="H1233" s="2">
        <v>504</v>
      </c>
      <c r="I1233" s="2">
        <v>30</v>
      </c>
    </row>
    <row r="1234" spans="1:9" hidden="1" x14ac:dyDescent="0.3">
      <c r="A1234" t="s">
        <v>20</v>
      </c>
      <c r="B1234" s="1">
        <v>44652</v>
      </c>
      <c r="C1234" s="2">
        <v>1603</v>
      </c>
      <c r="D1234" s="2" t="s">
        <v>3</v>
      </c>
      <c r="E1234" s="2">
        <v>1129</v>
      </c>
      <c r="F1234" s="2" t="s">
        <v>3</v>
      </c>
      <c r="G1234" s="2" t="s">
        <v>3</v>
      </c>
      <c r="H1234" s="2">
        <v>474</v>
      </c>
      <c r="I1234" s="2">
        <v>-13</v>
      </c>
    </row>
    <row r="1235" spans="1:9" hidden="1" x14ac:dyDescent="0.3">
      <c r="A1235" t="s">
        <v>20</v>
      </c>
      <c r="B1235" s="1">
        <v>44621</v>
      </c>
      <c r="C1235" s="2">
        <v>1595</v>
      </c>
      <c r="D1235" s="2" t="s">
        <v>3</v>
      </c>
      <c r="E1235" s="2">
        <v>1108</v>
      </c>
      <c r="F1235" s="2" t="s">
        <v>3</v>
      </c>
      <c r="G1235" s="2" t="s">
        <v>3</v>
      </c>
      <c r="H1235" s="2">
        <v>487</v>
      </c>
      <c r="I1235" s="2">
        <v>-3</v>
      </c>
    </row>
    <row r="1236" spans="1:9" hidden="1" x14ac:dyDescent="0.3">
      <c r="A1236" t="s">
        <v>20</v>
      </c>
      <c r="B1236" s="1">
        <v>44593</v>
      </c>
      <c r="C1236" s="2">
        <v>1574</v>
      </c>
      <c r="D1236" s="2" t="s">
        <v>3</v>
      </c>
      <c r="E1236" s="2">
        <v>1084</v>
      </c>
      <c r="F1236" s="2" t="s">
        <v>3</v>
      </c>
      <c r="G1236" s="2" t="s">
        <v>3</v>
      </c>
      <c r="H1236" s="2">
        <v>490</v>
      </c>
      <c r="I1236" s="2">
        <v>1</v>
      </c>
    </row>
    <row r="1237" spans="1:9" hidden="1" x14ac:dyDescent="0.3">
      <c r="A1237" t="s">
        <v>20</v>
      </c>
      <c r="B1237" s="1">
        <v>44562</v>
      </c>
      <c r="C1237" s="2">
        <v>1510</v>
      </c>
      <c r="D1237" s="2" t="s">
        <v>3</v>
      </c>
      <c r="E1237" s="2">
        <v>1021</v>
      </c>
      <c r="F1237" s="2" t="s">
        <v>3</v>
      </c>
      <c r="G1237" s="2" t="s">
        <v>3</v>
      </c>
      <c r="H1237" s="2">
        <v>489</v>
      </c>
      <c r="I1237" s="2">
        <v>-112</v>
      </c>
    </row>
    <row r="1238" spans="1:9" hidden="1" x14ac:dyDescent="0.3">
      <c r="A1238" t="s">
        <v>20</v>
      </c>
      <c r="B1238" s="1">
        <v>44531</v>
      </c>
      <c r="C1238" s="2">
        <v>1903</v>
      </c>
      <c r="D1238" s="2" t="s">
        <v>3</v>
      </c>
      <c r="E1238" s="2">
        <v>1302</v>
      </c>
      <c r="F1238" s="2" t="s">
        <v>3</v>
      </c>
      <c r="G1238" s="2" t="s">
        <v>3</v>
      </c>
      <c r="H1238" s="2">
        <v>601</v>
      </c>
      <c r="I1238" s="2">
        <v>99</v>
      </c>
    </row>
    <row r="1239" spans="1:9" hidden="1" x14ac:dyDescent="0.3">
      <c r="A1239" t="s">
        <v>20</v>
      </c>
      <c r="B1239" s="1">
        <v>44501</v>
      </c>
      <c r="C1239" s="2">
        <v>1893</v>
      </c>
      <c r="D1239" s="2" t="s">
        <v>3</v>
      </c>
      <c r="E1239" s="2">
        <v>1391</v>
      </c>
      <c r="F1239" s="2" t="s">
        <v>3</v>
      </c>
      <c r="G1239" s="2" t="s">
        <v>3</v>
      </c>
      <c r="H1239" s="2">
        <v>502</v>
      </c>
      <c r="I1239" s="2">
        <v>-1</v>
      </c>
    </row>
    <row r="1240" spans="1:9" hidden="1" x14ac:dyDescent="0.3">
      <c r="A1240" t="s">
        <v>20</v>
      </c>
      <c r="B1240" s="1">
        <v>44470</v>
      </c>
      <c r="C1240" s="2">
        <v>1761</v>
      </c>
      <c r="D1240" s="2" t="s">
        <v>3</v>
      </c>
      <c r="E1240" s="2">
        <v>1258</v>
      </c>
      <c r="F1240" s="2" t="s">
        <v>3</v>
      </c>
      <c r="G1240" s="2" t="s">
        <v>3</v>
      </c>
      <c r="H1240" s="2">
        <v>503</v>
      </c>
      <c r="I1240" s="2">
        <v>0</v>
      </c>
    </row>
    <row r="1241" spans="1:9" hidden="1" x14ac:dyDescent="0.3">
      <c r="A1241" t="s">
        <v>20</v>
      </c>
      <c r="B1241" s="1">
        <v>44440</v>
      </c>
      <c r="C1241" s="2">
        <v>1757</v>
      </c>
      <c r="D1241" s="2" t="s">
        <v>3</v>
      </c>
      <c r="E1241" s="2">
        <v>1254</v>
      </c>
      <c r="F1241" s="2" t="s">
        <v>3</v>
      </c>
      <c r="G1241" s="2" t="s">
        <v>3</v>
      </c>
      <c r="H1241" s="2">
        <v>503</v>
      </c>
      <c r="I1241" s="2">
        <v>17</v>
      </c>
    </row>
    <row r="1242" spans="1:9" hidden="1" x14ac:dyDescent="0.3">
      <c r="A1242" t="s">
        <v>20</v>
      </c>
      <c r="B1242" s="1">
        <v>44409</v>
      </c>
      <c r="C1242" s="2">
        <v>1751</v>
      </c>
      <c r="D1242" s="2" t="s">
        <v>3</v>
      </c>
      <c r="E1242" s="2">
        <v>1265</v>
      </c>
      <c r="F1242" s="2" t="s">
        <v>3</v>
      </c>
      <c r="G1242" s="2" t="s">
        <v>3</v>
      </c>
      <c r="H1242" s="2">
        <v>486</v>
      </c>
      <c r="I1242" s="2">
        <v>-225</v>
      </c>
    </row>
    <row r="1243" spans="1:9" hidden="1" x14ac:dyDescent="0.3">
      <c r="A1243" t="s">
        <v>20</v>
      </c>
      <c r="B1243" s="1">
        <v>44378</v>
      </c>
      <c r="C1243" s="2">
        <v>2025</v>
      </c>
      <c r="D1243" s="2" t="s">
        <v>3</v>
      </c>
      <c r="E1243" s="2">
        <v>1314</v>
      </c>
      <c r="F1243" s="2" t="s">
        <v>3</v>
      </c>
      <c r="G1243" s="2" t="s">
        <v>3</v>
      </c>
      <c r="H1243" s="2">
        <v>711</v>
      </c>
      <c r="I1243" s="2">
        <v>-137</v>
      </c>
    </row>
    <row r="1244" spans="1:9" hidden="1" x14ac:dyDescent="0.3">
      <c r="A1244" t="s">
        <v>20</v>
      </c>
      <c r="B1244" s="1">
        <v>44348</v>
      </c>
      <c r="C1244" s="2">
        <v>2128</v>
      </c>
      <c r="D1244" s="2" t="s">
        <v>3</v>
      </c>
      <c r="E1244" s="2">
        <v>1280</v>
      </c>
      <c r="F1244" s="2" t="s">
        <v>3</v>
      </c>
      <c r="G1244" s="2" t="s">
        <v>3</v>
      </c>
      <c r="H1244" s="2">
        <v>848</v>
      </c>
      <c r="I1244" s="2">
        <v>52</v>
      </c>
    </row>
    <row r="1245" spans="1:9" hidden="1" x14ac:dyDescent="0.3">
      <c r="A1245" t="s">
        <v>20</v>
      </c>
      <c r="B1245" s="1">
        <v>44317</v>
      </c>
      <c r="C1245" s="2">
        <v>2371</v>
      </c>
      <c r="D1245" s="2" t="s">
        <v>3</v>
      </c>
      <c r="E1245" s="2">
        <v>1575</v>
      </c>
      <c r="F1245" s="2" t="s">
        <v>3</v>
      </c>
      <c r="G1245" s="2" t="s">
        <v>3</v>
      </c>
      <c r="H1245" s="2">
        <v>796</v>
      </c>
      <c r="I1245" s="2">
        <v>-77</v>
      </c>
    </row>
    <row r="1246" spans="1:9" hidden="1" x14ac:dyDescent="0.3">
      <c r="A1246" t="s">
        <v>20</v>
      </c>
      <c r="B1246" s="1">
        <v>44287</v>
      </c>
      <c r="C1246" s="2">
        <v>2445</v>
      </c>
      <c r="D1246" s="2" t="s">
        <v>3</v>
      </c>
      <c r="E1246" s="2">
        <v>1572</v>
      </c>
      <c r="F1246" s="2" t="s">
        <v>3</v>
      </c>
      <c r="G1246" s="2" t="s">
        <v>3</v>
      </c>
      <c r="H1246" s="2">
        <v>873</v>
      </c>
      <c r="I1246" s="2">
        <v>89</v>
      </c>
    </row>
    <row r="1247" spans="1:9" hidden="1" x14ac:dyDescent="0.3">
      <c r="A1247" t="s">
        <v>20</v>
      </c>
      <c r="B1247" s="1">
        <v>44256</v>
      </c>
      <c r="C1247" s="2">
        <v>2331</v>
      </c>
      <c r="D1247" s="2" t="s">
        <v>3</v>
      </c>
      <c r="E1247" s="2">
        <v>1547</v>
      </c>
      <c r="F1247" s="2" t="s">
        <v>3</v>
      </c>
      <c r="G1247" s="2" t="s">
        <v>3</v>
      </c>
      <c r="H1247" s="2">
        <v>784</v>
      </c>
      <c r="I1247" s="2">
        <v>-131</v>
      </c>
    </row>
    <row r="1248" spans="1:9" hidden="1" x14ac:dyDescent="0.3">
      <c r="A1248" t="s">
        <v>20</v>
      </c>
      <c r="B1248" s="1">
        <v>44228</v>
      </c>
      <c r="C1248" s="2">
        <v>2464</v>
      </c>
      <c r="D1248" s="2" t="s">
        <v>3</v>
      </c>
      <c r="E1248" s="2">
        <v>1549</v>
      </c>
      <c r="F1248" s="2" t="s">
        <v>3</v>
      </c>
      <c r="G1248" s="2" t="s">
        <v>3</v>
      </c>
      <c r="H1248" s="2">
        <v>915</v>
      </c>
      <c r="I1248" s="2">
        <v>151</v>
      </c>
    </row>
    <row r="1249" spans="1:9" hidden="1" x14ac:dyDescent="0.3">
      <c r="A1249" t="s">
        <v>20</v>
      </c>
      <c r="B1249" s="1">
        <v>44197</v>
      </c>
      <c r="C1249" s="2">
        <v>2280</v>
      </c>
      <c r="D1249" s="2" t="s">
        <v>3</v>
      </c>
      <c r="E1249" s="2">
        <v>1516</v>
      </c>
      <c r="F1249" s="2" t="s">
        <v>3</v>
      </c>
      <c r="G1249" s="2" t="s">
        <v>3</v>
      </c>
      <c r="H1249" s="2">
        <v>764</v>
      </c>
      <c r="I1249" s="2">
        <v>313</v>
      </c>
    </row>
    <row r="1250" spans="1:9" hidden="1" x14ac:dyDescent="0.3">
      <c r="A1250" t="s">
        <v>20</v>
      </c>
      <c r="B1250" s="1">
        <v>44166</v>
      </c>
      <c r="C1250" s="2">
        <v>1945</v>
      </c>
      <c r="D1250" s="2" t="s">
        <v>3</v>
      </c>
      <c r="E1250" s="2">
        <v>1494</v>
      </c>
      <c r="F1250" s="2" t="s">
        <v>3</v>
      </c>
      <c r="G1250" s="2" t="s">
        <v>3</v>
      </c>
      <c r="H1250" s="2">
        <v>451</v>
      </c>
      <c r="I1250" s="2">
        <v>-66</v>
      </c>
    </row>
    <row r="1251" spans="1:9" hidden="1" x14ac:dyDescent="0.3">
      <c r="A1251" t="s">
        <v>20</v>
      </c>
      <c r="B1251" s="1">
        <v>44136</v>
      </c>
      <c r="C1251" s="2">
        <v>2013</v>
      </c>
      <c r="D1251" s="2" t="s">
        <v>3</v>
      </c>
      <c r="E1251" s="2">
        <v>1496</v>
      </c>
      <c r="F1251" s="2" t="s">
        <v>3</v>
      </c>
      <c r="G1251" s="2" t="s">
        <v>3</v>
      </c>
      <c r="H1251" s="2">
        <v>517</v>
      </c>
      <c r="I1251" s="2">
        <v>148</v>
      </c>
    </row>
    <row r="1252" spans="1:9" hidden="1" x14ac:dyDescent="0.3">
      <c r="A1252" t="s">
        <v>20</v>
      </c>
      <c r="B1252" s="1">
        <v>44105</v>
      </c>
      <c r="C1252" s="2">
        <v>1868</v>
      </c>
      <c r="D1252" s="2" t="s">
        <v>3</v>
      </c>
      <c r="E1252" s="2">
        <v>1499</v>
      </c>
      <c r="F1252" s="2" t="s">
        <v>3</v>
      </c>
      <c r="G1252" s="2" t="s">
        <v>3</v>
      </c>
      <c r="H1252" s="2">
        <v>369</v>
      </c>
      <c r="I1252" s="2">
        <v>-42</v>
      </c>
    </row>
    <row r="1253" spans="1:9" hidden="1" x14ac:dyDescent="0.3">
      <c r="A1253" t="s">
        <v>20</v>
      </c>
      <c r="B1253" s="1">
        <v>44075</v>
      </c>
      <c r="C1253" s="2">
        <v>1908</v>
      </c>
      <c r="D1253" s="2" t="s">
        <v>3</v>
      </c>
      <c r="E1253" s="2">
        <v>1497</v>
      </c>
      <c r="F1253" s="2" t="s">
        <v>3</v>
      </c>
      <c r="G1253" s="2" t="s">
        <v>3</v>
      </c>
      <c r="H1253" s="2">
        <v>411</v>
      </c>
      <c r="I1253" s="2">
        <v>131</v>
      </c>
    </row>
    <row r="1254" spans="1:9" hidden="1" x14ac:dyDescent="0.3">
      <c r="A1254" t="s">
        <v>20</v>
      </c>
      <c r="B1254" s="1">
        <v>44044</v>
      </c>
      <c r="C1254" s="2">
        <v>1789</v>
      </c>
      <c r="D1254" s="2" t="s">
        <v>3</v>
      </c>
      <c r="E1254" s="2">
        <v>1509</v>
      </c>
      <c r="F1254" s="2" t="s">
        <v>3</v>
      </c>
      <c r="G1254" s="2" t="s">
        <v>3</v>
      </c>
      <c r="H1254" s="2">
        <v>280</v>
      </c>
      <c r="I1254" s="2">
        <v>-34</v>
      </c>
    </row>
    <row r="1255" spans="1:9" hidden="1" x14ac:dyDescent="0.3">
      <c r="A1255" t="s">
        <v>20</v>
      </c>
      <c r="B1255" s="1">
        <v>44013</v>
      </c>
      <c r="C1255" s="2">
        <v>2266</v>
      </c>
      <c r="D1255" s="2" t="s">
        <v>3</v>
      </c>
      <c r="E1255" s="2">
        <v>1952</v>
      </c>
      <c r="F1255" s="2" t="s">
        <v>3</v>
      </c>
      <c r="G1255" s="2" t="s">
        <v>3</v>
      </c>
      <c r="H1255" s="2">
        <v>314</v>
      </c>
      <c r="I1255" s="2">
        <v>-188</v>
      </c>
    </row>
    <row r="1256" spans="1:9" hidden="1" x14ac:dyDescent="0.3">
      <c r="A1256" t="s">
        <v>20</v>
      </c>
      <c r="B1256" s="1">
        <v>43983</v>
      </c>
      <c r="C1256" s="2">
        <v>2569</v>
      </c>
      <c r="D1256" s="2" t="s">
        <v>3</v>
      </c>
      <c r="E1256" s="2">
        <v>2067</v>
      </c>
      <c r="F1256" s="2" t="s">
        <v>3</v>
      </c>
      <c r="G1256" s="2" t="s">
        <v>3</v>
      </c>
      <c r="H1256" s="2">
        <v>502</v>
      </c>
      <c r="I1256" s="2">
        <v>72</v>
      </c>
    </row>
    <row r="1257" spans="1:9" hidden="1" x14ac:dyDescent="0.3">
      <c r="A1257" t="s">
        <v>20</v>
      </c>
      <c r="B1257" s="1">
        <v>43952</v>
      </c>
      <c r="C1257" s="2">
        <v>2105</v>
      </c>
      <c r="D1257" s="2" t="s">
        <v>3</v>
      </c>
      <c r="E1257" s="2">
        <v>1675</v>
      </c>
      <c r="F1257" s="2" t="s">
        <v>3</v>
      </c>
      <c r="G1257" s="2" t="s">
        <v>3</v>
      </c>
      <c r="H1257" s="2">
        <v>430</v>
      </c>
      <c r="I1257" s="2">
        <v>78</v>
      </c>
    </row>
    <row r="1258" spans="1:9" hidden="1" x14ac:dyDescent="0.3">
      <c r="A1258" t="s">
        <v>20</v>
      </c>
      <c r="B1258" s="1">
        <v>43922</v>
      </c>
      <c r="C1258" s="2">
        <v>2030</v>
      </c>
      <c r="D1258" s="2" t="s">
        <v>3</v>
      </c>
      <c r="E1258" s="2">
        <v>1678</v>
      </c>
      <c r="F1258" s="2" t="s">
        <v>3</v>
      </c>
      <c r="G1258" s="2" t="s">
        <v>3</v>
      </c>
      <c r="H1258" s="2">
        <v>352</v>
      </c>
      <c r="I1258" s="2">
        <v>-165</v>
      </c>
    </row>
    <row r="1259" spans="1:9" hidden="1" x14ac:dyDescent="0.3">
      <c r="A1259" t="s">
        <v>20</v>
      </c>
      <c r="B1259" s="1">
        <v>43891</v>
      </c>
      <c r="C1259" s="2">
        <v>2505</v>
      </c>
      <c r="D1259" s="2" t="s">
        <v>3</v>
      </c>
      <c r="E1259" s="2">
        <v>1988</v>
      </c>
      <c r="F1259" s="2" t="s">
        <v>3</v>
      </c>
      <c r="G1259" s="2" t="s">
        <v>3</v>
      </c>
      <c r="H1259" s="2">
        <v>517</v>
      </c>
      <c r="I1259" s="2">
        <v>65</v>
      </c>
    </row>
    <row r="1260" spans="1:9" hidden="1" x14ac:dyDescent="0.3">
      <c r="A1260" t="s">
        <v>20</v>
      </c>
      <c r="B1260" s="1">
        <v>43862</v>
      </c>
      <c r="C1260" s="2">
        <v>2335</v>
      </c>
      <c r="D1260" s="2" t="s">
        <v>3</v>
      </c>
      <c r="E1260" s="2">
        <v>1883</v>
      </c>
      <c r="F1260" s="2" t="s">
        <v>3</v>
      </c>
      <c r="G1260" s="2" t="s">
        <v>3</v>
      </c>
      <c r="H1260" s="2">
        <v>452</v>
      </c>
      <c r="I1260" s="2">
        <v>-89</v>
      </c>
    </row>
    <row r="1261" spans="1:9" hidden="1" x14ac:dyDescent="0.3">
      <c r="A1261" t="s">
        <v>20</v>
      </c>
      <c r="B1261" s="1">
        <v>43831</v>
      </c>
      <c r="C1261" s="2">
        <v>2794</v>
      </c>
      <c r="D1261" s="2" t="s">
        <v>3</v>
      </c>
      <c r="E1261" s="2">
        <v>2253</v>
      </c>
      <c r="F1261" s="2" t="s">
        <v>3</v>
      </c>
      <c r="G1261" s="2" t="s">
        <v>3</v>
      </c>
      <c r="H1261" s="2">
        <v>541</v>
      </c>
      <c r="I1261" s="2">
        <v>194</v>
      </c>
    </row>
    <row r="1262" spans="1:9" x14ac:dyDescent="0.3">
      <c r="A1262" t="s">
        <v>21</v>
      </c>
      <c r="B1262" s="1">
        <v>45931</v>
      </c>
      <c r="C1262" s="2">
        <v>877911</v>
      </c>
      <c r="D1262" s="2">
        <v>20805</v>
      </c>
      <c r="E1262" s="2">
        <v>797423</v>
      </c>
      <c r="F1262" s="2">
        <v>21979</v>
      </c>
      <c r="G1262" s="2">
        <v>-7775</v>
      </c>
      <c r="H1262" s="2">
        <v>80488</v>
      </c>
      <c r="I1262" s="2">
        <v>-1174</v>
      </c>
    </row>
    <row r="1263" spans="1:9" x14ac:dyDescent="0.3">
      <c r="A1263" t="s">
        <v>21</v>
      </c>
      <c r="B1263" s="1">
        <v>45901</v>
      </c>
      <c r="C1263" s="2">
        <v>864659</v>
      </c>
      <c r="D1263" s="2">
        <v>-21588</v>
      </c>
      <c r="E1263" s="2">
        <v>782997</v>
      </c>
      <c r="F1263" s="2">
        <v>-20380</v>
      </c>
      <c r="G1263" s="2">
        <v>-7394</v>
      </c>
      <c r="H1263" s="2">
        <v>81662</v>
      </c>
      <c r="I1263" s="2">
        <v>-1208</v>
      </c>
    </row>
    <row r="1264" spans="1:9" x14ac:dyDescent="0.3">
      <c r="A1264" t="s">
        <v>21</v>
      </c>
      <c r="B1264" s="1">
        <v>45870</v>
      </c>
      <c r="C1264" s="2">
        <v>904302</v>
      </c>
      <c r="D1264" s="2">
        <v>3230</v>
      </c>
      <c r="E1264" s="2">
        <v>821432</v>
      </c>
      <c r="F1264" s="2">
        <v>4251</v>
      </c>
      <c r="G1264" s="2">
        <v>-2967</v>
      </c>
      <c r="H1264" s="2">
        <v>82870</v>
      </c>
      <c r="I1264" s="2">
        <v>-1021</v>
      </c>
    </row>
    <row r="1265" spans="1:9" x14ac:dyDescent="0.3">
      <c r="A1265" t="s">
        <v>21</v>
      </c>
      <c r="B1265" s="1">
        <v>45839</v>
      </c>
      <c r="C1265" s="2">
        <v>899272</v>
      </c>
      <c r="D1265" s="2">
        <v>35082</v>
      </c>
      <c r="E1265" s="2">
        <v>815381</v>
      </c>
      <c r="F1265" s="2">
        <v>36316</v>
      </c>
      <c r="G1265" s="2">
        <v>-13806</v>
      </c>
      <c r="H1265" s="2">
        <v>83891</v>
      </c>
      <c r="I1265" s="2">
        <v>-1234</v>
      </c>
    </row>
    <row r="1266" spans="1:9" x14ac:dyDescent="0.3">
      <c r="A1266" t="s">
        <v>21</v>
      </c>
      <c r="B1266" s="1">
        <v>45809</v>
      </c>
      <c r="C1266" s="2">
        <v>857905</v>
      </c>
      <c r="D1266" s="2">
        <v>17554</v>
      </c>
      <c r="E1266" s="2">
        <v>772780</v>
      </c>
      <c r="F1266" s="2">
        <v>13780</v>
      </c>
      <c r="G1266" s="2">
        <v>5352</v>
      </c>
      <c r="H1266" s="2">
        <v>85125</v>
      </c>
      <c r="I1266" s="2">
        <v>3774</v>
      </c>
    </row>
    <row r="1267" spans="1:9" x14ac:dyDescent="0.3">
      <c r="A1267" t="s">
        <v>21</v>
      </c>
      <c r="B1267" s="1">
        <v>45778</v>
      </c>
      <c r="C1267" s="2">
        <v>809390</v>
      </c>
      <c r="D1267" s="2">
        <v>33176</v>
      </c>
      <c r="E1267" s="2">
        <v>728039</v>
      </c>
      <c r="F1267" s="2">
        <v>29797</v>
      </c>
      <c r="G1267" s="2">
        <v>-14923</v>
      </c>
      <c r="H1267" s="2">
        <v>81351</v>
      </c>
      <c r="I1267" s="2">
        <v>3379</v>
      </c>
    </row>
    <row r="1268" spans="1:9" x14ac:dyDescent="0.3">
      <c r="A1268" t="s">
        <v>21</v>
      </c>
      <c r="B1268" s="1">
        <v>45748</v>
      </c>
      <c r="C1268" s="2">
        <v>807706</v>
      </c>
      <c r="D1268" s="2">
        <v>30994</v>
      </c>
      <c r="E1268" s="2">
        <v>729734</v>
      </c>
      <c r="F1268" s="2">
        <v>42803</v>
      </c>
      <c r="G1268" s="2">
        <v>-3410</v>
      </c>
      <c r="H1268" s="2">
        <v>77972</v>
      </c>
      <c r="I1268" s="2">
        <v>-11809</v>
      </c>
    </row>
    <row r="1269" spans="1:9" x14ac:dyDescent="0.3">
      <c r="A1269" t="s">
        <v>21</v>
      </c>
      <c r="B1269" s="1">
        <v>45717</v>
      </c>
      <c r="C1269" s="2">
        <v>779319</v>
      </c>
      <c r="D1269" s="2">
        <v>29096</v>
      </c>
      <c r="E1269" s="2">
        <v>689538</v>
      </c>
      <c r="F1269" s="2">
        <v>20963</v>
      </c>
      <c r="G1269" s="2">
        <v>-5216</v>
      </c>
      <c r="H1269" s="2">
        <v>89781</v>
      </c>
      <c r="I1269" s="2">
        <v>8133</v>
      </c>
    </row>
    <row r="1270" spans="1:9" x14ac:dyDescent="0.3">
      <c r="A1270" t="s">
        <v>21</v>
      </c>
      <c r="B1270" s="1">
        <v>45689</v>
      </c>
      <c r="C1270" s="2">
        <v>750320</v>
      </c>
      <c r="D1270" s="2">
        <v>14193</v>
      </c>
      <c r="E1270" s="2">
        <v>668672</v>
      </c>
      <c r="F1270" s="2">
        <v>14172</v>
      </c>
      <c r="G1270" s="2">
        <v>-1880</v>
      </c>
      <c r="H1270" s="2">
        <v>81648</v>
      </c>
      <c r="I1270" s="2">
        <v>21</v>
      </c>
    </row>
    <row r="1271" spans="1:9" x14ac:dyDescent="0.3">
      <c r="A1271" t="s">
        <v>21</v>
      </c>
      <c r="B1271" s="1">
        <v>45658</v>
      </c>
      <c r="C1271" s="2">
        <v>740229</v>
      </c>
      <c r="D1271" s="2">
        <v>40922</v>
      </c>
      <c r="E1271" s="2">
        <v>658602</v>
      </c>
      <c r="F1271" s="2">
        <v>36777</v>
      </c>
      <c r="G1271" s="2">
        <v>-5463</v>
      </c>
      <c r="H1271" s="2">
        <v>81627</v>
      </c>
      <c r="I1271" s="2">
        <v>4145</v>
      </c>
    </row>
    <row r="1272" spans="1:9" x14ac:dyDescent="0.3">
      <c r="A1272" t="s">
        <v>21</v>
      </c>
      <c r="B1272" s="1">
        <v>45627</v>
      </c>
      <c r="C1272" s="2">
        <v>722780</v>
      </c>
      <c r="D1272" s="2">
        <v>-39769</v>
      </c>
      <c r="E1272" s="2">
        <v>645298</v>
      </c>
      <c r="F1272" s="2">
        <v>-34188</v>
      </c>
      <c r="G1272" s="2">
        <v>-5791</v>
      </c>
      <c r="H1272" s="2">
        <v>77482</v>
      </c>
      <c r="I1272" s="2">
        <v>-5581</v>
      </c>
    </row>
    <row r="1273" spans="1:9" x14ac:dyDescent="0.3">
      <c r="A1273" t="s">
        <v>21</v>
      </c>
      <c r="B1273" s="1">
        <v>45597</v>
      </c>
      <c r="C1273" s="2">
        <v>766885</v>
      </c>
      <c r="D1273" s="2">
        <v>38</v>
      </c>
      <c r="E1273" s="2">
        <v>683822</v>
      </c>
      <c r="F1273" s="2">
        <v>-2708</v>
      </c>
      <c r="G1273" s="2">
        <v>1706</v>
      </c>
      <c r="H1273" s="2">
        <v>83063</v>
      </c>
      <c r="I1273" s="2">
        <v>2746</v>
      </c>
    </row>
    <row r="1274" spans="1:9" x14ac:dyDescent="0.3">
      <c r="A1274" t="s">
        <v>21</v>
      </c>
      <c r="B1274" s="1">
        <v>45566</v>
      </c>
      <c r="C1274" s="2">
        <v>746472</v>
      </c>
      <c r="D1274" s="2">
        <v>7371</v>
      </c>
      <c r="E1274" s="2">
        <v>666155</v>
      </c>
      <c r="F1274" s="2">
        <v>10666</v>
      </c>
      <c r="G1274" s="2">
        <v>-7895</v>
      </c>
      <c r="H1274" s="2">
        <v>80317</v>
      </c>
      <c r="I1274" s="2">
        <v>-3295</v>
      </c>
    </row>
    <row r="1275" spans="1:9" x14ac:dyDescent="0.3">
      <c r="A1275" t="s">
        <v>21</v>
      </c>
      <c r="B1275" s="1">
        <v>45536</v>
      </c>
      <c r="C1275" s="2">
        <v>769251</v>
      </c>
      <c r="D1275" s="2">
        <v>-10668</v>
      </c>
      <c r="E1275" s="2">
        <v>685639</v>
      </c>
      <c r="F1275" s="2">
        <v>-2558</v>
      </c>
      <c r="G1275" s="2">
        <v>3291</v>
      </c>
      <c r="H1275" s="2">
        <v>83612</v>
      </c>
      <c r="I1275" s="2">
        <v>-8110</v>
      </c>
    </row>
    <row r="1276" spans="1:9" x14ac:dyDescent="0.3">
      <c r="A1276" t="s">
        <v>21</v>
      </c>
      <c r="B1276" s="1">
        <v>45505</v>
      </c>
      <c r="C1276" s="2">
        <v>749219</v>
      </c>
      <c r="D1276" s="2">
        <v>14246</v>
      </c>
      <c r="E1276" s="2">
        <v>657497</v>
      </c>
      <c r="F1276" s="2">
        <v>9866</v>
      </c>
      <c r="G1276" s="2">
        <v>4547</v>
      </c>
      <c r="H1276" s="2">
        <v>91722</v>
      </c>
      <c r="I1276" s="2">
        <v>4380</v>
      </c>
    </row>
    <row r="1277" spans="1:9" x14ac:dyDescent="0.3">
      <c r="A1277" t="s">
        <v>21</v>
      </c>
      <c r="B1277" s="1">
        <v>45474</v>
      </c>
      <c r="C1277" s="2">
        <v>733503</v>
      </c>
      <c r="D1277" s="2">
        <v>-2610</v>
      </c>
      <c r="E1277" s="2">
        <v>646161</v>
      </c>
      <c r="F1277" s="2">
        <v>7854</v>
      </c>
      <c r="G1277" s="2">
        <v>3791</v>
      </c>
      <c r="H1277" s="2">
        <v>87342</v>
      </c>
      <c r="I1277" s="2">
        <v>-10464</v>
      </c>
    </row>
    <row r="1278" spans="1:9" x14ac:dyDescent="0.3">
      <c r="A1278" t="s">
        <v>21</v>
      </c>
      <c r="B1278" s="1">
        <v>45444</v>
      </c>
      <c r="C1278" s="2">
        <v>746539</v>
      </c>
      <c r="D1278" s="2">
        <v>-10772</v>
      </c>
      <c r="E1278" s="2">
        <v>648733</v>
      </c>
      <c r="F1278" s="2">
        <v>-9013</v>
      </c>
      <c r="G1278" s="2">
        <v>5605</v>
      </c>
      <c r="H1278" s="2">
        <v>97806</v>
      </c>
      <c r="I1278" s="2">
        <v>-1759</v>
      </c>
    </row>
    <row r="1279" spans="1:9" x14ac:dyDescent="0.3">
      <c r="A1279" t="s">
        <v>21</v>
      </c>
      <c r="B1279" s="1">
        <v>45413</v>
      </c>
      <c r="C1279" s="2">
        <v>728565</v>
      </c>
      <c r="D1279" s="2">
        <v>9525</v>
      </c>
      <c r="E1279" s="2">
        <v>629000</v>
      </c>
      <c r="F1279" s="2">
        <v>15991</v>
      </c>
      <c r="G1279" s="2">
        <v>3566</v>
      </c>
      <c r="H1279" s="2">
        <v>99565</v>
      </c>
      <c r="I1279" s="2">
        <v>-6466</v>
      </c>
    </row>
    <row r="1280" spans="1:9" x14ac:dyDescent="0.3">
      <c r="A1280" t="s">
        <v>21</v>
      </c>
      <c r="B1280" s="1">
        <v>45383</v>
      </c>
      <c r="C1280" s="2">
        <v>714565</v>
      </c>
      <c r="D1280" s="2">
        <v>-10791</v>
      </c>
      <c r="E1280" s="2">
        <v>608534</v>
      </c>
      <c r="F1280" s="2">
        <v>-7825</v>
      </c>
      <c r="G1280" s="2">
        <v>-9778</v>
      </c>
      <c r="H1280" s="2">
        <v>106031</v>
      </c>
      <c r="I1280" s="2">
        <v>-2966</v>
      </c>
    </row>
    <row r="1281" spans="1:9" x14ac:dyDescent="0.3">
      <c r="A1281" t="s">
        <v>21</v>
      </c>
      <c r="B1281" s="1">
        <v>45352</v>
      </c>
      <c r="C1281" s="2">
        <v>736441</v>
      </c>
      <c r="D1281" s="2">
        <v>26943</v>
      </c>
      <c r="E1281" s="2">
        <v>627444</v>
      </c>
      <c r="F1281" s="2">
        <v>20523</v>
      </c>
      <c r="G1281" s="2">
        <v>1202</v>
      </c>
      <c r="H1281" s="2">
        <v>108997</v>
      </c>
      <c r="I1281" s="2">
        <v>6420</v>
      </c>
    </row>
    <row r="1282" spans="1:9" x14ac:dyDescent="0.3">
      <c r="A1282" t="s">
        <v>21</v>
      </c>
      <c r="B1282" s="1">
        <v>45323</v>
      </c>
      <c r="C1282" s="2">
        <v>711535</v>
      </c>
      <c r="D1282" s="2">
        <v>16350</v>
      </c>
      <c r="E1282" s="2">
        <v>608958</v>
      </c>
      <c r="F1282" s="2">
        <v>14113</v>
      </c>
      <c r="G1282" s="2">
        <v>-4106</v>
      </c>
      <c r="H1282" s="2">
        <v>102577</v>
      </c>
      <c r="I1282" s="2">
        <v>2237</v>
      </c>
    </row>
    <row r="1283" spans="1:9" x14ac:dyDescent="0.3">
      <c r="A1283" t="s">
        <v>21</v>
      </c>
      <c r="B1283" s="1">
        <v>45292</v>
      </c>
      <c r="C1283" s="2">
        <v>701828</v>
      </c>
      <c r="D1283" s="2">
        <v>7034</v>
      </c>
      <c r="E1283" s="2">
        <v>601488</v>
      </c>
      <c r="F1283" s="2">
        <v>12244</v>
      </c>
      <c r="G1283" s="2">
        <v>-1341</v>
      </c>
      <c r="H1283" s="2">
        <v>100340</v>
      </c>
      <c r="I1283" s="2">
        <v>-5210</v>
      </c>
    </row>
    <row r="1284" spans="1:9" x14ac:dyDescent="0.3">
      <c r="A1284" t="s">
        <v>21</v>
      </c>
      <c r="B1284" s="1">
        <v>45261</v>
      </c>
      <c r="C1284" s="2">
        <v>688551</v>
      </c>
      <c r="D1284" s="2">
        <v>10320</v>
      </c>
      <c r="E1284" s="2">
        <v>583001</v>
      </c>
      <c r="F1284" s="2">
        <v>4573</v>
      </c>
      <c r="G1284" s="2">
        <v>4475</v>
      </c>
      <c r="H1284" s="2">
        <v>105550</v>
      </c>
      <c r="I1284" s="2">
        <v>5747</v>
      </c>
    </row>
    <row r="1285" spans="1:9" x14ac:dyDescent="0.3">
      <c r="A1285" t="s">
        <v>21</v>
      </c>
      <c r="B1285" s="1">
        <v>45231</v>
      </c>
      <c r="C1285" s="2">
        <v>650764</v>
      </c>
      <c r="D1285" s="2">
        <v>-2295</v>
      </c>
      <c r="E1285" s="2">
        <v>550961</v>
      </c>
      <c r="F1285" s="2">
        <v>-1651</v>
      </c>
      <c r="G1285" s="2">
        <v>6933</v>
      </c>
      <c r="H1285" s="2">
        <v>99803</v>
      </c>
      <c r="I1285" s="2">
        <v>-644</v>
      </c>
    </row>
    <row r="1286" spans="1:9" x14ac:dyDescent="0.3">
      <c r="A1286" t="s">
        <v>21</v>
      </c>
      <c r="B1286" s="1">
        <v>45200</v>
      </c>
      <c r="C1286" s="2">
        <v>630017</v>
      </c>
      <c r="D1286" s="2">
        <v>3177</v>
      </c>
      <c r="E1286" s="2">
        <v>529570</v>
      </c>
      <c r="F1286" s="2">
        <v>10869</v>
      </c>
      <c r="G1286" s="2">
        <v>-3977</v>
      </c>
      <c r="H1286" s="2">
        <v>100447</v>
      </c>
      <c r="I1286" s="2">
        <v>-7692</v>
      </c>
    </row>
    <row r="1287" spans="1:9" x14ac:dyDescent="0.3">
      <c r="A1287" t="s">
        <v>21</v>
      </c>
      <c r="B1287" s="1">
        <v>45170</v>
      </c>
      <c r="C1287" s="2">
        <v>604664</v>
      </c>
      <c r="D1287" s="2">
        <v>8784</v>
      </c>
      <c r="E1287" s="2">
        <v>496525</v>
      </c>
      <c r="F1287" s="2">
        <v>1834</v>
      </c>
      <c r="G1287" s="2">
        <v>-34509</v>
      </c>
      <c r="H1287" s="2">
        <v>108139</v>
      </c>
      <c r="I1287" s="2">
        <v>6950</v>
      </c>
    </row>
    <row r="1288" spans="1:9" x14ac:dyDescent="0.3">
      <c r="A1288" t="s">
        <v>21</v>
      </c>
      <c r="B1288" s="1">
        <v>45139</v>
      </c>
      <c r="C1288" s="2">
        <v>627538</v>
      </c>
      <c r="D1288" s="2">
        <v>13826</v>
      </c>
      <c r="E1288" s="2">
        <v>526349</v>
      </c>
      <c r="F1288" s="2">
        <v>4685</v>
      </c>
      <c r="G1288" s="2">
        <v>-1704</v>
      </c>
      <c r="H1288" s="2">
        <v>101189</v>
      </c>
      <c r="I1288" s="2">
        <v>9141</v>
      </c>
    </row>
    <row r="1289" spans="1:9" x14ac:dyDescent="0.3">
      <c r="A1289" t="s">
        <v>21</v>
      </c>
      <c r="B1289" s="1">
        <v>45108</v>
      </c>
      <c r="C1289" s="2">
        <v>609324</v>
      </c>
      <c r="D1289" s="2">
        <v>-6253</v>
      </c>
      <c r="E1289" s="2">
        <v>517276</v>
      </c>
      <c r="F1289" s="2">
        <v>-7771</v>
      </c>
      <c r="G1289" s="2">
        <v>-2192</v>
      </c>
      <c r="H1289" s="2">
        <v>92048</v>
      </c>
      <c r="I1289" s="2">
        <v>1518</v>
      </c>
    </row>
    <row r="1290" spans="1:9" x14ac:dyDescent="0.3">
      <c r="A1290" t="s">
        <v>21</v>
      </c>
      <c r="B1290" s="1">
        <v>45078</v>
      </c>
      <c r="C1290" s="2">
        <v>624391</v>
      </c>
      <c r="D1290" s="2">
        <v>4375</v>
      </c>
      <c r="E1290" s="2">
        <v>533861</v>
      </c>
      <c r="F1290" s="2">
        <v>-4313</v>
      </c>
      <c r="G1290" s="2">
        <v>-3714</v>
      </c>
      <c r="H1290" s="2">
        <v>90530</v>
      </c>
      <c r="I1290" s="2">
        <v>8688</v>
      </c>
    </row>
    <row r="1291" spans="1:9" x14ac:dyDescent="0.3">
      <c r="A1291" t="s">
        <v>21</v>
      </c>
      <c r="B1291" s="1">
        <v>45047</v>
      </c>
      <c r="C1291" s="2">
        <v>606608</v>
      </c>
      <c r="D1291" s="2">
        <v>-6218</v>
      </c>
      <c r="E1291" s="2">
        <v>524766</v>
      </c>
      <c r="F1291" s="2">
        <v>1653</v>
      </c>
      <c r="G1291" s="2">
        <v>-4248</v>
      </c>
      <c r="H1291" s="2">
        <v>81842</v>
      </c>
      <c r="I1291" s="2">
        <v>-7871</v>
      </c>
    </row>
    <row r="1292" spans="1:9" x14ac:dyDescent="0.3">
      <c r="A1292" t="s">
        <v>21</v>
      </c>
      <c r="B1292" s="1">
        <v>45017</v>
      </c>
      <c r="C1292" s="2">
        <v>625131</v>
      </c>
      <c r="D1292" s="2">
        <v>10710</v>
      </c>
      <c r="E1292" s="2">
        <v>535418</v>
      </c>
      <c r="F1292" s="2">
        <v>11654</v>
      </c>
      <c r="G1292" s="2">
        <v>788</v>
      </c>
      <c r="H1292" s="2">
        <v>89713</v>
      </c>
      <c r="I1292" s="2">
        <v>-944</v>
      </c>
    </row>
    <row r="1293" spans="1:9" x14ac:dyDescent="0.3">
      <c r="A1293" t="s">
        <v>21</v>
      </c>
      <c r="B1293" s="1">
        <v>44986</v>
      </c>
      <c r="C1293" s="2">
        <v>633126</v>
      </c>
      <c r="D1293" s="2">
        <v>59015</v>
      </c>
      <c r="E1293" s="2">
        <v>542469</v>
      </c>
      <c r="F1293" s="2">
        <v>74360</v>
      </c>
      <c r="G1293" s="2">
        <v>3174</v>
      </c>
      <c r="H1293" s="2">
        <v>90657</v>
      </c>
      <c r="I1293" s="2">
        <v>-15345</v>
      </c>
    </row>
    <row r="1294" spans="1:9" x14ac:dyDescent="0.3">
      <c r="A1294" t="s">
        <v>21</v>
      </c>
      <c r="B1294" s="1">
        <v>44958</v>
      </c>
      <c r="C1294" s="2">
        <v>576452</v>
      </c>
      <c r="D1294" s="2">
        <v>-2399</v>
      </c>
      <c r="E1294" s="2">
        <v>470450</v>
      </c>
      <c r="F1294" s="2">
        <v>-5227</v>
      </c>
      <c r="G1294" s="2">
        <v>-8124</v>
      </c>
      <c r="H1294" s="2">
        <v>106002</v>
      </c>
      <c r="I1294" s="2">
        <v>2828</v>
      </c>
    </row>
    <row r="1295" spans="1:9" hidden="1" x14ac:dyDescent="0.3">
      <c r="A1295" t="s">
        <v>21</v>
      </c>
      <c r="B1295" s="1">
        <v>44927</v>
      </c>
      <c r="C1295" s="2">
        <v>597992</v>
      </c>
      <c r="D1295" s="2" t="s">
        <v>3</v>
      </c>
      <c r="E1295" s="2">
        <v>494818</v>
      </c>
      <c r="F1295" s="2" t="s">
        <v>3</v>
      </c>
      <c r="G1295" s="2" t="s">
        <v>3</v>
      </c>
      <c r="H1295" s="2">
        <v>103174</v>
      </c>
      <c r="I1295" s="2">
        <v>4651</v>
      </c>
    </row>
    <row r="1296" spans="1:9" hidden="1" x14ac:dyDescent="0.3">
      <c r="A1296" t="s">
        <v>21</v>
      </c>
      <c r="B1296" s="1">
        <v>44896</v>
      </c>
      <c r="C1296" s="2">
        <v>573691</v>
      </c>
      <c r="D1296" s="2" t="s">
        <v>3</v>
      </c>
      <c r="E1296" s="2">
        <v>475168</v>
      </c>
      <c r="F1296" s="2" t="s">
        <v>3</v>
      </c>
      <c r="G1296" s="2" t="s">
        <v>3</v>
      </c>
      <c r="H1296" s="2">
        <v>98523</v>
      </c>
      <c r="I1296" s="2">
        <v>17662</v>
      </c>
    </row>
    <row r="1297" spans="1:9" hidden="1" x14ac:dyDescent="0.3">
      <c r="A1297" t="s">
        <v>21</v>
      </c>
      <c r="B1297" s="1">
        <v>44866</v>
      </c>
      <c r="C1297" s="2">
        <v>575127</v>
      </c>
      <c r="D1297" s="2" t="s">
        <v>3</v>
      </c>
      <c r="E1297" s="2">
        <v>494266</v>
      </c>
      <c r="F1297" s="2" t="s">
        <v>3</v>
      </c>
      <c r="G1297" s="2" t="s">
        <v>3</v>
      </c>
      <c r="H1297" s="2">
        <v>80861</v>
      </c>
      <c r="I1297" s="2">
        <v>-4105</v>
      </c>
    </row>
    <row r="1298" spans="1:9" hidden="1" x14ac:dyDescent="0.3">
      <c r="A1298" t="s">
        <v>21</v>
      </c>
      <c r="B1298" s="1">
        <v>44835</v>
      </c>
      <c r="C1298" s="2">
        <v>641270</v>
      </c>
      <c r="D1298" s="2" t="s">
        <v>3</v>
      </c>
      <c r="E1298" s="2">
        <v>556304</v>
      </c>
      <c r="F1298" s="2" t="s">
        <v>3</v>
      </c>
      <c r="G1298" s="2" t="s">
        <v>3</v>
      </c>
      <c r="H1298" s="2">
        <v>84966</v>
      </c>
      <c r="I1298" s="2">
        <v>-6767</v>
      </c>
    </row>
    <row r="1299" spans="1:9" hidden="1" x14ac:dyDescent="0.3">
      <c r="A1299" t="s">
        <v>21</v>
      </c>
      <c r="B1299" s="1">
        <v>44805</v>
      </c>
      <c r="C1299" s="2">
        <v>664811</v>
      </c>
      <c r="D1299" s="2" t="s">
        <v>3</v>
      </c>
      <c r="E1299" s="2">
        <v>573078</v>
      </c>
      <c r="F1299" s="2" t="s">
        <v>3</v>
      </c>
      <c r="G1299" s="2" t="s">
        <v>3</v>
      </c>
      <c r="H1299" s="2">
        <v>91733</v>
      </c>
      <c r="I1299" s="2">
        <v>-3266</v>
      </c>
    </row>
    <row r="1300" spans="1:9" hidden="1" x14ac:dyDescent="0.3">
      <c r="A1300" t="s">
        <v>21</v>
      </c>
      <c r="B1300" s="1">
        <v>44774</v>
      </c>
      <c r="C1300" s="2">
        <v>646537</v>
      </c>
      <c r="D1300" s="2" t="s">
        <v>3</v>
      </c>
      <c r="E1300" s="2">
        <v>551538</v>
      </c>
      <c r="F1300" s="2" t="s">
        <v>3</v>
      </c>
      <c r="G1300" s="2" t="s">
        <v>3</v>
      </c>
      <c r="H1300" s="2">
        <v>94999</v>
      </c>
      <c r="I1300" s="2">
        <v>13065</v>
      </c>
    </row>
    <row r="1301" spans="1:9" hidden="1" x14ac:dyDescent="0.3">
      <c r="A1301" t="s">
        <v>21</v>
      </c>
      <c r="B1301" s="1">
        <v>44743</v>
      </c>
      <c r="C1301" s="2">
        <v>636594</v>
      </c>
      <c r="D1301" s="2" t="s">
        <v>3</v>
      </c>
      <c r="E1301" s="2">
        <v>554660</v>
      </c>
      <c r="F1301" s="2" t="s">
        <v>3</v>
      </c>
      <c r="G1301" s="2" t="s">
        <v>3</v>
      </c>
      <c r="H1301" s="2">
        <v>81934</v>
      </c>
      <c r="I1301" s="2">
        <v>-5612</v>
      </c>
    </row>
    <row r="1302" spans="1:9" hidden="1" x14ac:dyDescent="0.3">
      <c r="A1302" t="s">
        <v>21</v>
      </c>
      <c r="B1302" s="1">
        <v>44713</v>
      </c>
      <c r="C1302" s="2">
        <v>617282</v>
      </c>
      <c r="D1302" s="2" t="s">
        <v>3</v>
      </c>
      <c r="E1302" s="2">
        <v>529736</v>
      </c>
      <c r="F1302" s="2" t="s">
        <v>3</v>
      </c>
      <c r="G1302" s="2" t="s">
        <v>3</v>
      </c>
      <c r="H1302" s="2">
        <v>87546</v>
      </c>
      <c r="I1302" s="2">
        <v>-3249</v>
      </c>
    </row>
    <row r="1303" spans="1:9" hidden="1" x14ac:dyDescent="0.3">
      <c r="A1303" t="s">
        <v>21</v>
      </c>
      <c r="B1303" s="1">
        <v>44682</v>
      </c>
      <c r="C1303" s="2">
        <v>636470</v>
      </c>
      <c r="D1303" s="2" t="s">
        <v>3</v>
      </c>
      <c r="E1303" s="2">
        <v>545675</v>
      </c>
      <c r="F1303" s="2" t="s">
        <v>3</v>
      </c>
      <c r="G1303" s="2" t="s">
        <v>3</v>
      </c>
      <c r="H1303" s="2">
        <v>90795</v>
      </c>
      <c r="I1303" s="2">
        <v>-3261</v>
      </c>
    </row>
    <row r="1304" spans="1:9" hidden="1" x14ac:dyDescent="0.3">
      <c r="A1304" t="s">
        <v>21</v>
      </c>
      <c r="B1304" s="1">
        <v>44652</v>
      </c>
      <c r="C1304" s="2">
        <v>614338</v>
      </c>
      <c r="D1304" s="2" t="s">
        <v>3</v>
      </c>
      <c r="E1304" s="2">
        <v>520282</v>
      </c>
      <c r="F1304" s="2" t="s">
        <v>3</v>
      </c>
      <c r="G1304" s="2" t="s">
        <v>3</v>
      </c>
      <c r="H1304" s="2">
        <v>94056</v>
      </c>
      <c r="I1304" s="2">
        <v>-9602</v>
      </c>
    </row>
    <row r="1305" spans="1:9" hidden="1" x14ac:dyDescent="0.3">
      <c r="A1305" t="s">
        <v>21</v>
      </c>
      <c r="B1305" s="1">
        <v>44621</v>
      </c>
      <c r="C1305" s="2">
        <v>636546</v>
      </c>
      <c r="D1305" s="2" t="s">
        <v>3</v>
      </c>
      <c r="E1305" s="2">
        <v>532888</v>
      </c>
      <c r="F1305" s="2" t="s">
        <v>3</v>
      </c>
      <c r="G1305" s="2" t="s">
        <v>3</v>
      </c>
      <c r="H1305" s="2">
        <v>103658</v>
      </c>
      <c r="I1305" s="2">
        <v>716</v>
      </c>
    </row>
    <row r="1306" spans="1:9" hidden="1" x14ac:dyDescent="0.3">
      <c r="A1306" t="s">
        <v>21</v>
      </c>
      <c r="B1306" s="1">
        <v>44593</v>
      </c>
      <c r="C1306" s="2">
        <v>627037</v>
      </c>
      <c r="D1306" s="2" t="s">
        <v>3</v>
      </c>
      <c r="E1306" s="2">
        <v>524095</v>
      </c>
      <c r="F1306" s="2" t="s">
        <v>3</v>
      </c>
      <c r="G1306" s="2" t="s">
        <v>3</v>
      </c>
      <c r="H1306" s="2">
        <v>102942</v>
      </c>
      <c r="I1306" s="2">
        <v>14099</v>
      </c>
    </row>
    <row r="1307" spans="1:9" hidden="1" x14ac:dyDescent="0.3">
      <c r="A1307" t="s">
        <v>21</v>
      </c>
      <c r="B1307" s="1">
        <v>44562</v>
      </c>
      <c r="C1307" s="2">
        <v>610719</v>
      </c>
      <c r="D1307" s="2" t="s">
        <v>3</v>
      </c>
      <c r="E1307" s="2">
        <v>521876</v>
      </c>
      <c r="F1307" s="2" t="s">
        <v>3</v>
      </c>
      <c r="G1307" s="2" t="s">
        <v>3</v>
      </c>
      <c r="H1307" s="2">
        <v>88843</v>
      </c>
      <c r="I1307" s="2">
        <v>-4449</v>
      </c>
    </row>
    <row r="1308" spans="1:9" hidden="1" x14ac:dyDescent="0.3">
      <c r="A1308" t="s">
        <v>21</v>
      </c>
      <c r="B1308" s="1">
        <v>44531</v>
      </c>
      <c r="C1308" s="2">
        <v>649344</v>
      </c>
      <c r="D1308" s="2" t="s">
        <v>3</v>
      </c>
      <c r="E1308" s="2">
        <v>556052</v>
      </c>
      <c r="F1308" s="2" t="s">
        <v>3</v>
      </c>
      <c r="G1308" s="2" t="s">
        <v>3</v>
      </c>
      <c r="H1308" s="2">
        <v>93292</v>
      </c>
      <c r="I1308" s="2">
        <v>5716</v>
      </c>
    </row>
    <row r="1309" spans="1:9" hidden="1" x14ac:dyDescent="0.3">
      <c r="A1309" t="s">
        <v>21</v>
      </c>
      <c r="B1309" s="1">
        <v>44501</v>
      </c>
      <c r="C1309" s="2">
        <v>621783</v>
      </c>
      <c r="D1309" s="2" t="s">
        <v>3</v>
      </c>
      <c r="E1309" s="2">
        <v>534207</v>
      </c>
      <c r="F1309" s="2" t="s">
        <v>3</v>
      </c>
      <c r="G1309" s="2" t="s">
        <v>3</v>
      </c>
      <c r="H1309" s="2">
        <v>87576</v>
      </c>
      <c r="I1309" s="2">
        <v>9624</v>
      </c>
    </row>
    <row r="1310" spans="1:9" hidden="1" x14ac:dyDescent="0.3">
      <c r="A1310" t="s">
        <v>21</v>
      </c>
      <c r="B1310" s="1">
        <v>44470</v>
      </c>
      <c r="C1310" s="2">
        <v>580163</v>
      </c>
      <c r="D1310" s="2" t="s">
        <v>3</v>
      </c>
      <c r="E1310" s="2">
        <v>502211</v>
      </c>
      <c r="F1310" s="2" t="s">
        <v>3</v>
      </c>
      <c r="G1310" s="2" t="s">
        <v>3</v>
      </c>
      <c r="H1310" s="2">
        <v>77952</v>
      </c>
      <c r="I1310" s="2">
        <v>-880</v>
      </c>
    </row>
    <row r="1311" spans="1:9" hidden="1" x14ac:dyDescent="0.3">
      <c r="A1311" t="s">
        <v>21</v>
      </c>
      <c r="B1311" s="1">
        <v>44440</v>
      </c>
      <c r="C1311" s="2">
        <v>566399</v>
      </c>
      <c r="D1311" s="2" t="s">
        <v>3</v>
      </c>
      <c r="E1311" s="2">
        <v>487567</v>
      </c>
      <c r="F1311" s="2" t="s">
        <v>3</v>
      </c>
      <c r="G1311" s="2" t="s">
        <v>3</v>
      </c>
      <c r="H1311" s="2">
        <v>78832</v>
      </c>
      <c r="I1311" s="2">
        <v>6723</v>
      </c>
    </row>
    <row r="1312" spans="1:9" hidden="1" x14ac:dyDescent="0.3">
      <c r="A1312" t="s">
        <v>21</v>
      </c>
      <c r="B1312" s="1">
        <v>44409</v>
      </c>
      <c r="C1312" s="2">
        <v>568922</v>
      </c>
      <c r="D1312" s="2" t="s">
        <v>3</v>
      </c>
      <c r="E1312" s="2">
        <v>496813</v>
      </c>
      <c r="F1312" s="2" t="s">
        <v>3</v>
      </c>
      <c r="G1312" s="2" t="s">
        <v>3</v>
      </c>
      <c r="H1312" s="2">
        <v>72109</v>
      </c>
      <c r="I1312" s="2">
        <v>7776</v>
      </c>
    </row>
    <row r="1313" spans="1:9" hidden="1" x14ac:dyDescent="0.3">
      <c r="A1313" t="s">
        <v>21</v>
      </c>
      <c r="B1313" s="1">
        <v>44378</v>
      </c>
      <c r="C1313" s="2">
        <v>541608</v>
      </c>
      <c r="D1313" s="2" t="s">
        <v>3</v>
      </c>
      <c r="E1313" s="2">
        <v>477275</v>
      </c>
      <c r="F1313" s="2" t="s">
        <v>3</v>
      </c>
      <c r="G1313" s="2" t="s">
        <v>3</v>
      </c>
      <c r="H1313" s="2">
        <v>64333</v>
      </c>
      <c r="I1313" s="2">
        <v>-2513</v>
      </c>
    </row>
    <row r="1314" spans="1:9" hidden="1" x14ac:dyDescent="0.3">
      <c r="A1314" t="s">
        <v>21</v>
      </c>
      <c r="B1314" s="1">
        <v>44348</v>
      </c>
      <c r="C1314" s="2">
        <v>533592</v>
      </c>
      <c r="D1314" s="2" t="s">
        <v>3</v>
      </c>
      <c r="E1314" s="2">
        <v>466746</v>
      </c>
      <c r="F1314" s="2" t="s">
        <v>3</v>
      </c>
      <c r="G1314" s="2" t="s">
        <v>3</v>
      </c>
      <c r="H1314" s="2">
        <v>66846</v>
      </c>
      <c r="I1314" s="2">
        <v>7604</v>
      </c>
    </row>
    <row r="1315" spans="1:9" hidden="1" x14ac:dyDescent="0.3">
      <c r="A1315" t="s">
        <v>21</v>
      </c>
      <c r="B1315" s="1">
        <v>44317</v>
      </c>
      <c r="C1315" s="2">
        <v>467623</v>
      </c>
      <c r="D1315" s="2" t="s">
        <v>3</v>
      </c>
      <c r="E1315" s="2">
        <v>408381</v>
      </c>
      <c r="F1315" s="2" t="s">
        <v>3</v>
      </c>
      <c r="G1315" s="2" t="s">
        <v>3</v>
      </c>
      <c r="H1315" s="2">
        <v>59242</v>
      </c>
      <c r="I1315" s="2">
        <v>1173</v>
      </c>
    </row>
    <row r="1316" spans="1:9" hidden="1" x14ac:dyDescent="0.3">
      <c r="A1316" t="s">
        <v>21</v>
      </c>
      <c r="B1316" s="1">
        <v>44287</v>
      </c>
      <c r="C1316" s="2">
        <v>431742</v>
      </c>
      <c r="D1316" s="2" t="s">
        <v>3</v>
      </c>
      <c r="E1316" s="2">
        <v>373673</v>
      </c>
      <c r="F1316" s="2" t="s">
        <v>3</v>
      </c>
      <c r="G1316" s="2" t="s">
        <v>3</v>
      </c>
      <c r="H1316" s="2">
        <v>58069</v>
      </c>
      <c r="I1316" s="2">
        <v>-7724</v>
      </c>
    </row>
    <row r="1317" spans="1:9" hidden="1" x14ac:dyDescent="0.3">
      <c r="A1317" t="s">
        <v>21</v>
      </c>
      <c r="B1317" s="1">
        <v>44256</v>
      </c>
      <c r="C1317" s="2">
        <v>443146</v>
      </c>
      <c r="D1317" s="2" t="s">
        <v>3</v>
      </c>
      <c r="E1317" s="2">
        <v>377353</v>
      </c>
      <c r="F1317" s="2" t="s">
        <v>3</v>
      </c>
      <c r="G1317" s="2" t="s">
        <v>3</v>
      </c>
      <c r="H1317" s="2">
        <v>65793</v>
      </c>
      <c r="I1317" s="2">
        <v>-1100</v>
      </c>
    </row>
    <row r="1318" spans="1:9" hidden="1" x14ac:dyDescent="0.3">
      <c r="A1318" t="s">
        <v>21</v>
      </c>
      <c r="B1318" s="1">
        <v>44228</v>
      </c>
      <c r="C1318" s="2">
        <v>459427</v>
      </c>
      <c r="D1318" s="2" t="s">
        <v>3</v>
      </c>
      <c r="E1318" s="2">
        <v>392534</v>
      </c>
      <c r="F1318" s="2" t="s">
        <v>3</v>
      </c>
      <c r="G1318" s="2" t="s">
        <v>3</v>
      </c>
      <c r="H1318" s="2">
        <v>66893</v>
      </c>
      <c r="I1318" s="2">
        <v>-11</v>
      </c>
    </row>
    <row r="1319" spans="1:9" hidden="1" x14ac:dyDescent="0.3">
      <c r="A1319" t="s">
        <v>21</v>
      </c>
      <c r="B1319" s="1">
        <v>44197</v>
      </c>
      <c r="C1319" s="2">
        <v>438666</v>
      </c>
      <c r="D1319" s="2" t="s">
        <v>3</v>
      </c>
      <c r="E1319" s="2">
        <v>371762</v>
      </c>
      <c r="F1319" s="2" t="s">
        <v>3</v>
      </c>
      <c r="G1319" s="2" t="s">
        <v>3</v>
      </c>
      <c r="H1319" s="2">
        <v>66904</v>
      </c>
      <c r="I1319" s="2">
        <v>-1579</v>
      </c>
    </row>
    <row r="1320" spans="1:9" hidden="1" x14ac:dyDescent="0.3">
      <c r="A1320" t="s">
        <v>21</v>
      </c>
      <c r="B1320" s="1">
        <v>44166</v>
      </c>
      <c r="C1320" s="2">
        <v>440621</v>
      </c>
      <c r="D1320" s="2" t="s">
        <v>3</v>
      </c>
      <c r="E1320" s="2">
        <v>372138</v>
      </c>
      <c r="F1320" s="2" t="s">
        <v>3</v>
      </c>
      <c r="G1320" s="2" t="s">
        <v>3</v>
      </c>
      <c r="H1320" s="2">
        <v>68483</v>
      </c>
      <c r="I1320" s="2">
        <v>6505</v>
      </c>
    </row>
    <row r="1321" spans="1:9" hidden="1" x14ac:dyDescent="0.3">
      <c r="A1321" t="s">
        <v>21</v>
      </c>
      <c r="B1321" s="1">
        <v>44136</v>
      </c>
      <c r="C1321" s="2">
        <v>420452</v>
      </c>
      <c r="D1321" s="2" t="s">
        <v>3</v>
      </c>
      <c r="E1321" s="2">
        <v>358474</v>
      </c>
      <c r="F1321" s="2" t="s">
        <v>3</v>
      </c>
      <c r="G1321" s="2" t="s">
        <v>3</v>
      </c>
      <c r="H1321" s="2">
        <v>61978</v>
      </c>
      <c r="I1321" s="2">
        <v>-5579</v>
      </c>
    </row>
    <row r="1322" spans="1:9" hidden="1" x14ac:dyDescent="0.3">
      <c r="A1322" t="s">
        <v>21</v>
      </c>
      <c r="B1322" s="1">
        <v>44105</v>
      </c>
      <c r="C1322" s="2">
        <v>442807</v>
      </c>
      <c r="D1322" s="2" t="s">
        <v>3</v>
      </c>
      <c r="E1322" s="2">
        <v>375250</v>
      </c>
      <c r="F1322" s="2" t="s">
        <v>3</v>
      </c>
      <c r="G1322" s="2" t="s">
        <v>3</v>
      </c>
      <c r="H1322" s="2">
        <v>67557</v>
      </c>
      <c r="I1322" s="2">
        <v>-3233</v>
      </c>
    </row>
    <row r="1323" spans="1:9" hidden="1" x14ac:dyDescent="0.3">
      <c r="A1323" t="s">
        <v>21</v>
      </c>
      <c r="B1323" s="1">
        <v>44075</v>
      </c>
      <c r="C1323" s="2">
        <v>428453</v>
      </c>
      <c r="D1323" s="2" t="s">
        <v>3</v>
      </c>
      <c r="E1323" s="2">
        <v>357663</v>
      </c>
      <c r="F1323" s="2" t="s">
        <v>3</v>
      </c>
      <c r="G1323" s="2" t="s">
        <v>3</v>
      </c>
      <c r="H1323" s="2">
        <v>70790</v>
      </c>
      <c r="I1323" s="2">
        <v>-2408</v>
      </c>
    </row>
    <row r="1324" spans="1:9" hidden="1" x14ac:dyDescent="0.3">
      <c r="A1324" t="s">
        <v>21</v>
      </c>
      <c r="B1324" s="1">
        <v>44044</v>
      </c>
      <c r="C1324" s="2">
        <v>419350</v>
      </c>
      <c r="D1324" s="2" t="s">
        <v>3</v>
      </c>
      <c r="E1324" s="2">
        <v>346152</v>
      </c>
      <c r="F1324" s="2" t="s">
        <v>3</v>
      </c>
      <c r="G1324" s="2" t="s">
        <v>3</v>
      </c>
      <c r="H1324" s="2">
        <v>73198</v>
      </c>
      <c r="I1324" s="2">
        <v>2911</v>
      </c>
    </row>
    <row r="1325" spans="1:9" hidden="1" x14ac:dyDescent="0.3">
      <c r="A1325" t="s">
        <v>21</v>
      </c>
      <c r="B1325" s="1">
        <v>44013</v>
      </c>
      <c r="C1325" s="2">
        <v>424617</v>
      </c>
      <c r="D1325" s="2" t="s">
        <v>3</v>
      </c>
      <c r="E1325" s="2">
        <v>354330</v>
      </c>
      <c r="F1325" s="2" t="s">
        <v>3</v>
      </c>
      <c r="G1325" s="2" t="s">
        <v>3</v>
      </c>
      <c r="H1325" s="2">
        <v>70287</v>
      </c>
      <c r="I1325" s="2">
        <v>-6250</v>
      </c>
    </row>
    <row r="1326" spans="1:9" hidden="1" x14ac:dyDescent="0.3">
      <c r="A1326" t="s">
        <v>21</v>
      </c>
      <c r="B1326" s="1">
        <v>43983</v>
      </c>
      <c r="C1326" s="2">
        <v>445650</v>
      </c>
      <c r="D1326" s="2" t="s">
        <v>3</v>
      </c>
      <c r="E1326" s="2">
        <v>369113</v>
      </c>
      <c r="F1326" s="2" t="s">
        <v>3</v>
      </c>
      <c r="G1326" s="2" t="s">
        <v>3</v>
      </c>
      <c r="H1326" s="2">
        <v>76537</v>
      </c>
      <c r="I1326" s="2">
        <v>9852</v>
      </c>
    </row>
    <row r="1327" spans="1:9" hidden="1" x14ac:dyDescent="0.3">
      <c r="A1327" t="s">
        <v>21</v>
      </c>
      <c r="B1327" s="1">
        <v>43952</v>
      </c>
      <c r="C1327" s="2">
        <v>445779</v>
      </c>
      <c r="D1327" s="2" t="s">
        <v>3</v>
      </c>
      <c r="E1327" s="2">
        <v>379094</v>
      </c>
      <c r="F1327" s="2" t="s">
        <v>3</v>
      </c>
      <c r="G1327" s="2" t="s">
        <v>3</v>
      </c>
      <c r="H1327" s="2">
        <v>66685</v>
      </c>
      <c r="I1327" s="2">
        <v>2876</v>
      </c>
    </row>
    <row r="1328" spans="1:9" hidden="1" x14ac:dyDescent="0.3">
      <c r="A1328" t="s">
        <v>21</v>
      </c>
      <c r="B1328" s="1">
        <v>43922</v>
      </c>
      <c r="C1328" s="2">
        <v>429169</v>
      </c>
      <c r="D1328" s="2" t="s">
        <v>3</v>
      </c>
      <c r="E1328" s="2">
        <v>365360</v>
      </c>
      <c r="F1328" s="2" t="s">
        <v>3</v>
      </c>
      <c r="G1328" s="2" t="s">
        <v>3</v>
      </c>
      <c r="H1328" s="2">
        <v>63809</v>
      </c>
      <c r="I1328" s="2">
        <v>-2400</v>
      </c>
    </row>
    <row r="1329" spans="1:9" hidden="1" x14ac:dyDescent="0.3">
      <c r="A1329" t="s">
        <v>21</v>
      </c>
      <c r="B1329" s="1">
        <v>43891</v>
      </c>
      <c r="C1329" s="2">
        <v>469682</v>
      </c>
      <c r="D1329" s="2" t="s">
        <v>3</v>
      </c>
      <c r="E1329" s="2">
        <v>403473</v>
      </c>
      <c r="F1329" s="2" t="s">
        <v>3</v>
      </c>
      <c r="G1329" s="2" t="s">
        <v>3</v>
      </c>
      <c r="H1329" s="2">
        <v>66209</v>
      </c>
      <c r="I1329" s="2">
        <v>14601</v>
      </c>
    </row>
    <row r="1330" spans="1:9" hidden="1" x14ac:dyDescent="0.3">
      <c r="A1330" t="s">
        <v>21</v>
      </c>
      <c r="B1330" s="1">
        <v>43862</v>
      </c>
      <c r="C1330" s="2">
        <v>477149</v>
      </c>
      <c r="D1330" s="2" t="s">
        <v>3</v>
      </c>
      <c r="E1330" s="2">
        <v>425541</v>
      </c>
      <c r="F1330" s="2" t="s">
        <v>3</v>
      </c>
      <c r="G1330" s="2" t="s">
        <v>3</v>
      </c>
      <c r="H1330" s="2">
        <v>51608</v>
      </c>
      <c r="I1330" s="2">
        <v>2600</v>
      </c>
    </row>
    <row r="1331" spans="1:9" hidden="1" x14ac:dyDescent="0.3">
      <c r="A1331" t="s">
        <v>21</v>
      </c>
      <c r="B1331" s="1">
        <v>43831</v>
      </c>
      <c r="C1331" s="2">
        <v>450310</v>
      </c>
      <c r="D1331" s="2" t="s">
        <v>3</v>
      </c>
      <c r="E1331" s="2">
        <v>401302</v>
      </c>
      <c r="F1331" s="2" t="s">
        <v>3</v>
      </c>
      <c r="G1331" s="2" t="s">
        <v>3</v>
      </c>
      <c r="H1331" s="2">
        <v>49008</v>
      </c>
      <c r="I1331" s="2">
        <v>-8590</v>
      </c>
    </row>
    <row r="1332" spans="1:9" x14ac:dyDescent="0.3">
      <c r="A1332" t="s">
        <v>22</v>
      </c>
      <c r="B1332" s="1">
        <v>45931</v>
      </c>
      <c r="C1332" s="2" t="s">
        <v>3</v>
      </c>
      <c r="D1332" s="2" t="s">
        <v>3</v>
      </c>
      <c r="E1332" s="2">
        <v>8352</v>
      </c>
      <c r="F1332" s="2">
        <v>509</v>
      </c>
      <c r="G1332" s="2">
        <v>-79</v>
      </c>
      <c r="H1332" s="2" t="s">
        <v>3</v>
      </c>
      <c r="I1332" s="2" t="s">
        <v>3</v>
      </c>
    </row>
    <row r="1333" spans="1:9" x14ac:dyDescent="0.3">
      <c r="A1333" t="s">
        <v>22</v>
      </c>
      <c r="B1333" s="1">
        <v>45901</v>
      </c>
      <c r="C1333" s="2" t="s">
        <v>3</v>
      </c>
      <c r="D1333" s="2" t="s">
        <v>3</v>
      </c>
      <c r="E1333" s="2">
        <v>7894</v>
      </c>
      <c r="F1333" s="2">
        <v>-331</v>
      </c>
      <c r="G1333" s="2">
        <v>102</v>
      </c>
      <c r="H1333" s="2" t="s">
        <v>3</v>
      </c>
      <c r="I1333" s="2" t="s">
        <v>3</v>
      </c>
    </row>
    <row r="1334" spans="1:9" x14ac:dyDescent="0.3">
      <c r="A1334" t="s">
        <v>22</v>
      </c>
      <c r="B1334" s="1">
        <v>45870</v>
      </c>
      <c r="C1334" s="2" t="s">
        <v>3</v>
      </c>
      <c r="D1334" s="2" t="s">
        <v>3</v>
      </c>
      <c r="E1334" s="2">
        <v>8074</v>
      </c>
      <c r="F1334" s="2">
        <v>15</v>
      </c>
      <c r="G1334" s="2">
        <v>-11</v>
      </c>
      <c r="H1334" s="2" t="s">
        <v>3</v>
      </c>
      <c r="I1334" s="2" t="s">
        <v>3</v>
      </c>
    </row>
    <row r="1335" spans="1:9" x14ac:dyDescent="0.3">
      <c r="A1335" t="s">
        <v>22</v>
      </c>
      <c r="B1335" s="1">
        <v>45839</v>
      </c>
      <c r="C1335" s="2" t="s">
        <v>3</v>
      </c>
      <c r="D1335" s="2" t="s">
        <v>3</v>
      </c>
      <c r="E1335" s="2">
        <v>8120</v>
      </c>
      <c r="F1335" s="2">
        <v>296</v>
      </c>
      <c r="G1335" s="2">
        <v>-126</v>
      </c>
      <c r="H1335" s="2" t="s">
        <v>3</v>
      </c>
      <c r="I1335" s="2" t="s">
        <v>3</v>
      </c>
    </row>
    <row r="1336" spans="1:9" x14ac:dyDescent="0.3">
      <c r="A1336" t="s">
        <v>22</v>
      </c>
      <c r="B1336" s="1">
        <v>45809</v>
      </c>
      <c r="C1336" s="2" t="s">
        <v>3</v>
      </c>
      <c r="D1336" s="2" t="s">
        <v>3</v>
      </c>
      <c r="E1336" s="2">
        <v>7959</v>
      </c>
      <c r="F1336" s="2">
        <v>-68</v>
      </c>
      <c r="G1336" s="2">
        <v>161</v>
      </c>
      <c r="H1336" s="2" t="s">
        <v>3</v>
      </c>
      <c r="I1336" s="2" t="s">
        <v>3</v>
      </c>
    </row>
    <row r="1337" spans="1:9" x14ac:dyDescent="0.3">
      <c r="A1337" t="s">
        <v>22</v>
      </c>
      <c r="B1337" s="1">
        <v>45778</v>
      </c>
      <c r="C1337" s="2" t="s">
        <v>3</v>
      </c>
      <c r="D1337" s="2" t="s">
        <v>3</v>
      </c>
      <c r="E1337" s="2">
        <v>7792</v>
      </c>
      <c r="F1337" s="2">
        <v>229</v>
      </c>
      <c r="G1337" s="2">
        <v>-79</v>
      </c>
      <c r="H1337" s="2" t="s">
        <v>3</v>
      </c>
      <c r="I1337" s="2" t="s">
        <v>3</v>
      </c>
    </row>
    <row r="1338" spans="1:9" x14ac:dyDescent="0.3">
      <c r="A1338" t="s">
        <v>22</v>
      </c>
      <c r="B1338" s="1">
        <v>45748</v>
      </c>
      <c r="C1338" s="2" t="s">
        <v>3</v>
      </c>
      <c r="D1338" s="2" t="s">
        <v>3</v>
      </c>
      <c r="E1338" s="2">
        <v>7640</v>
      </c>
      <c r="F1338" s="2">
        <v>-425</v>
      </c>
      <c r="G1338" s="2">
        <v>-98</v>
      </c>
      <c r="H1338" s="2" t="s">
        <v>3</v>
      </c>
      <c r="I1338" s="2" t="s">
        <v>3</v>
      </c>
    </row>
    <row r="1339" spans="1:9" x14ac:dyDescent="0.3">
      <c r="A1339" t="s">
        <v>22</v>
      </c>
      <c r="B1339" s="1">
        <v>45717</v>
      </c>
      <c r="C1339" s="2" t="s">
        <v>3</v>
      </c>
      <c r="D1339" s="2" t="s">
        <v>3</v>
      </c>
      <c r="E1339" s="2">
        <v>8132</v>
      </c>
      <c r="F1339" s="2">
        <v>155</v>
      </c>
      <c r="G1339" s="2">
        <v>-373</v>
      </c>
      <c r="H1339" s="2" t="s">
        <v>3</v>
      </c>
      <c r="I1339" s="2" t="s">
        <v>3</v>
      </c>
    </row>
    <row r="1340" spans="1:9" x14ac:dyDescent="0.3">
      <c r="A1340" t="s">
        <v>22</v>
      </c>
      <c r="B1340" s="1">
        <v>45689</v>
      </c>
      <c r="C1340" s="2" t="s">
        <v>3</v>
      </c>
      <c r="D1340" s="2" t="s">
        <v>3</v>
      </c>
      <c r="E1340" s="2">
        <v>7831</v>
      </c>
      <c r="F1340" s="2">
        <v>-238</v>
      </c>
      <c r="G1340" s="2">
        <v>331</v>
      </c>
      <c r="H1340" s="2" t="s">
        <v>3</v>
      </c>
      <c r="I1340" s="2" t="s">
        <v>3</v>
      </c>
    </row>
    <row r="1341" spans="1:9" x14ac:dyDescent="0.3">
      <c r="A1341" t="s">
        <v>22</v>
      </c>
      <c r="B1341" s="1">
        <v>45658</v>
      </c>
      <c r="C1341" s="2" t="s">
        <v>3</v>
      </c>
      <c r="D1341" s="2" t="s">
        <v>3</v>
      </c>
      <c r="E1341" s="2">
        <v>7564</v>
      </c>
      <c r="F1341" s="2">
        <v>115</v>
      </c>
      <c r="G1341" s="2">
        <v>86</v>
      </c>
      <c r="H1341" s="2" t="s">
        <v>3</v>
      </c>
      <c r="I1341" s="2" t="s">
        <v>3</v>
      </c>
    </row>
    <row r="1342" spans="1:9" x14ac:dyDescent="0.3">
      <c r="A1342" t="s">
        <v>22</v>
      </c>
      <c r="B1342" s="1">
        <v>45627</v>
      </c>
      <c r="C1342" s="2" t="s">
        <v>3</v>
      </c>
      <c r="D1342" s="2" t="s">
        <v>3</v>
      </c>
      <c r="E1342" s="2">
        <v>7342</v>
      </c>
      <c r="F1342" s="2">
        <v>-143</v>
      </c>
      <c r="G1342" s="2">
        <v>-179</v>
      </c>
      <c r="H1342" s="2" t="s">
        <v>3</v>
      </c>
      <c r="I1342" s="2" t="s">
        <v>3</v>
      </c>
    </row>
    <row r="1343" spans="1:9" x14ac:dyDescent="0.3">
      <c r="A1343" t="s">
        <v>22</v>
      </c>
      <c r="B1343" s="1">
        <v>45597</v>
      </c>
      <c r="C1343" s="2" t="s">
        <v>3</v>
      </c>
      <c r="D1343" s="2" t="s">
        <v>3</v>
      </c>
      <c r="E1343" s="2">
        <v>7861</v>
      </c>
      <c r="F1343" s="2">
        <v>200</v>
      </c>
      <c r="G1343" s="2">
        <v>123</v>
      </c>
      <c r="H1343" s="2" t="s">
        <v>3</v>
      </c>
      <c r="I1343" s="2" t="s">
        <v>3</v>
      </c>
    </row>
    <row r="1344" spans="1:9" x14ac:dyDescent="0.3">
      <c r="A1344" t="s">
        <v>22</v>
      </c>
      <c r="B1344" s="1">
        <v>45566</v>
      </c>
      <c r="C1344" s="2" t="s">
        <v>3</v>
      </c>
      <c r="D1344" s="2" t="s">
        <v>3</v>
      </c>
      <c r="E1344" s="2">
        <v>7509</v>
      </c>
      <c r="F1344" s="2">
        <v>-123</v>
      </c>
      <c r="G1344" s="2">
        <v>-344</v>
      </c>
      <c r="H1344" s="2" t="s">
        <v>3</v>
      </c>
      <c r="I1344" s="2" t="s">
        <v>3</v>
      </c>
    </row>
    <row r="1345" spans="1:9" x14ac:dyDescent="0.3">
      <c r="A1345" t="s">
        <v>22</v>
      </c>
      <c r="B1345" s="1">
        <v>45536</v>
      </c>
      <c r="C1345" s="2" t="s">
        <v>3</v>
      </c>
      <c r="D1345" s="2" t="s">
        <v>3</v>
      </c>
      <c r="E1345" s="2">
        <v>7928</v>
      </c>
      <c r="F1345" s="2">
        <v>-20</v>
      </c>
      <c r="G1345" s="2">
        <v>187</v>
      </c>
      <c r="H1345" s="2" t="s">
        <v>3</v>
      </c>
      <c r="I1345" s="2" t="s">
        <v>3</v>
      </c>
    </row>
    <row r="1346" spans="1:9" x14ac:dyDescent="0.3">
      <c r="A1346" t="s">
        <v>22</v>
      </c>
      <c r="B1346" s="1">
        <v>45505</v>
      </c>
      <c r="C1346" s="2" t="s">
        <v>3</v>
      </c>
      <c r="D1346" s="2" t="s">
        <v>3</v>
      </c>
      <c r="E1346" s="2">
        <v>7973</v>
      </c>
      <c r="F1346" s="2">
        <v>647</v>
      </c>
      <c r="G1346" s="2">
        <v>114</v>
      </c>
      <c r="H1346" s="2" t="s">
        <v>3</v>
      </c>
      <c r="I1346" s="2" t="s">
        <v>3</v>
      </c>
    </row>
    <row r="1347" spans="1:9" x14ac:dyDescent="0.3">
      <c r="A1347" t="s">
        <v>22</v>
      </c>
      <c r="B1347" s="1">
        <v>45474</v>
      </c>
      <c r="C1347" s="2" t="s">
        <v>3</v>
      </c>
      <c r="D1347" s="2" t="s">
        <v>3</v>
      </c>
      <c r="E1347" s="2">
        <v>7265</v>
      </c>
      <c r="F1347" s="2">
        <v>476</v>
      </c>
      <c r="G1347" s="2">
        <v>37</v>
      </c>
      <c r="H1347" s="2" t="s">
        <v>3</v>
      </c>
      <c r="I1347" s="2" t="s">
        <v>3</v>
      </c>
    </row>
    <row r="1348" spans="1:9" x14ac:dyDescent="0.3">
      <c r="A1348" t="s">
        <v>22</v>
      </c>
      <c r="B1348" s="1">
        <v>45444</v>
      </c>
      <c r="C1348" s="2" t="s">
        <v>3</v>
      </c>
      <c r="D1348" s="2" t="s">
        <v>3</v>
      </c>
      <c r="E1348" s="2">
        <v>6729</v>
      </c>
      <c r="F1348" s="2">
        <v>41</v>
      </c>
      <c r="G1348" s="2">
        <v>108</v>
      </c>
      <c r="H1348" s="2" t="s">
        <v>3</v>
      </c>
      <c r="I1348" s="2" t="s">
        <v>3</v>
      </c>
    </row>
    <row r="1349" spans="1:9" x14ac:dyDescent="0.3">
      <c r="A1349" t="s">
        <v>22</v>
      </c>
      <c r="B1349" s="1">
        <v>45413</v>
      </c>
      <c r="C1349" s="2" t="s">
        <v>3</v>
      </c>
      <c r="D1349" s="2" t="s">
        <v>3</v>
      </c>
      <c r="E1349" s="2">
        <v>6587</v>
      </c>
      <c r="F1349" s="2">
        <v>58</v>
      </c>
      <c r="G1349" s="2">
        <v>42</v>
      </c>
      <c r="H1349" s="2" t="s">
        <v>3</v>
      </c>
      <c r="I1349" s="2" t="s">
        <v>3</v>
      </c>
    </row>
    <row r="1350" spans="1:9" x14ac:dyDescent="0.3">
      <c r="A1350" t="s">
        <v>22</v>
      </c>
      <c r="B1350" s="1">
        <v>45383</v>
      </c>
      <c r="C1350" s="2" t="s">
        <v>3</v>
      </c>
      <c r="D1350" s="2" t="s">
        <v>3</v>
      </c>
      <c r="E1350" s="2">
        <v>6512</v>
      </c>
      <c r="F1350" s="2">
        <v>81</v>
      </c>
      <c r="G1350" s="2">
        <v>-267</v>
      </c>
      <c r="H1350" s="2" t="s">
        <v>3</v>
      </c>
      <c r="I1350" s="2" t="s">
        <v>3</v>
      </c>
    </row>
    <row r="1351" spans="1:9" x14ac:dyDescent="0.3">
      <c r="A1351" t="s">
        <v>22</v>
      </c>
      <c r="B1351" s="1">
        <v>45352</v>
      </c>
      <c r="C1351" s="2" t="s">
        <v>3</v>
      </c>
      <c r="D1351" s="2" t="s">
        <v>3</v>
      </c>
      <c r="E1351" s="2">
        <v>6730</v>
      </c>
      <c r="F1351" s="2">
        <v>-69</v>
      </c>
      <c r="G1351" s="2">
        <v>17</v>
      </c>
      <c r="H1351" s="2" t="s">
        <v>3</v>
      </c>
      <c r="I1351" s="2" t="s">
        <v>3</v>
      </c>
    </row>
    <row r="1352" spans="1:9" x14ac:dyDescent="0.3">
      <c r="A1352" t="s">
        <v>22</v>
      </c>
      <c r="B1352" s="1">
        <v>45323</v>
      </c>
      <c r="C1352" s="2" t="s">
        <v>3</v>
      </c>
      <c r="D1352" s="2" t="s">
        <v>3</v>
      </c>
      <c r="E1352" s="2">
        <v>6663</v>
      </c>
      <c r="F1352" s="2">
        <v>15</v>
      </c>
      <c r="G1352" s="2">
        <v>-149</v>
      </c>
      <c r="H1352" s="2" t="s">
        <v>3</v>
      </c>
      <c r="I1352" s="2" t="s">
        <v>3</v>
      </c>
    </row>
    <row r="1353" spans="1:9" x14ac:dyDescent="0.3">
      <c r="A1353" t="s">
        <v>22</v>
      </c>
      <c r="B1353" s="1">
        <v>45292</v>
      </c>
      <c r="C1353" s="2" t="s">
        <v>3</v>
      </c>
      <c r="D1353" s="2" t="s">
        <v>3</v>
      </c>
      <c r="E1353" s="2">
        <v>6660</v>
      </c>
      <c r="F1353" s="2">
        <v>-647</v>
      </c>
      <c r="G1353" s="2">
        <v>-113</v>
      </c>
      <c r="H1353" s="2" t="s">
        <v>3</v>
      </c>
      <c r="I1353" s="2" t="s">
        <v>3</v>
      </c>
    </row>
    <row r="1354" spans="1:9" x14ac:dyDescent="0.3">
      <c r="A1354" t="s">
        <v>22</v>
      </c>
      <c r="B1354" s="1">
        <v>45261</v>
      </c>
      <c r="C1354" s="2" t="s">
        <v>3</v>
      </c>
      <c r="D1354" s="2" t="s">
        <v>3</v>
      </c>
      <c r="E1354" s="2">
        <v>7468</v>
      </c>
      <c r="F1354" s="2">
        <v>437</v>
      </c>
      <c r="G1354" s="2">
        <v>535</v>
      </c>
      <c r="H1354" s="2" t="s">
        <v>3</v>
      </c>
      <c r="I1354" s="2" t="s">
        <v>3</v>
      </c>
    </row>
    <row r="1355" spans="1:9" x14ac:dyDescent="0.3">
      <c r="A1355" t="s">
        <v>22</v>
      </c>
      <c r="B1355" s="1">
        <v>45231</v>
      </c>
      <c r="C1355" s="2" t="s">
        <v>3</v>
      </c>
      <c r="D1355" s="2" t="s">
        <v>3</v>
      </c>
      <c r="E1355" s="2">
        <v>6505</v>
      </c>
      <c r="F1355" s="2">
        <v>17</v>
      </c>
      <c r="G1355" s="2">
        <v>422</v>
      </c>
      <c r="H1355" s="2" t="s">
        <v>3</v>
      </c>
      <c r="I1355" s="2" t="s">
        <v>3</v>
      </c>
    </row>
    <row r="1356" spans="1:9" x14ac:dyDescent="0.3">
      <c r="A1356" t="s">
        <v>22</v>
      </c>
      <c r="B1356" s="1">
        <v>45200</v>
      </c>
      <c r="C1356" s="2" t="s">
        <v>3</v>
      </c>
      <c r="D1356" s="2" t="s">
        <v>3</v>
      </c>
      <c r="E1356" s="2">
        <v>6100</v>
      </c>
      <c r="F1356" s="2">
        <v>159</v>
      </c>
      <c r="G1356" s="2">
        <v>-212</v>
      </c>
      <c r="H1356" s="2" t="s">
        <v>3</v>
      </c>
      <c r="I1356" s="2" t="s">
        <v>3</v>
      </c>
    </row>
    <row r="1357" spans="1:9" x14ac:dyDescent="0.3">
      <c r="A1357" t="s">
        <v>22</v>
      </c>
      <c r="B1357" s="1">
        <v>45170</v>
      </c>
      <c r="C1357" s="2" t="s">
        <v>3</v>
      </c>
      <c r="D1357" s="2" t="s">
        <v>3</v>
      </c>
      <c r="E1357" s="2">
        <v>6141</v>
      </c>
      <c r="F1357" s="2">
        <v>-160</v>
      </c>
      <c r="G1357" s="2">
        <v>-401</v>
      </c>
      <c r="H1357" s="2" t="s">
        <v>3</v>
      </c>
      <c r="I1357" s="2" t="s">
        <v>3</v>
      </c>
    </row>
    <row r="1358" spans="1:9" x14ac:dyDescent="0.3">
      <c r="A1358" t="s">
        <v>22</v>
      </c>
      <c r="B1358" s="1">
        <v>45139</v>
      </c>
      <c r="C1358" s="2" t="s">
        <v>3</v>
      </c>
      <c r="D1358" s="2" t="s">
        <v>3</v>
      </c>
      <c r="E1358" s="2">
        <v>6793</v>
      </c>
      <c r="F1358" s="2">
        <v>131</v>
      </c>
      <c r="G1358" s="2">
        <v>-53</v>
      </c>
      <c r="H1358" s="2" t="s">
        <v>3</v>
      </c>
      <c r="I1358" s="2" t="s">
        <v>3</v>
      </c>
    </row>
    <row r="1359" spans="1:9" x14ac:dyDescent="0.3">
      <c r="A1359" t="s">
        <v>22</v>
      </c>
      <c r="B1359" s="1">
        <v>45108</v>
      </c>
      <c r="C1359" s="2" t="s">
        <v>3</v>
      </c>
      <c r="D1359" s="2" t="s">
        <v>3</v>
      </c>
      <c r="E1359" s="2">
        <v>6742</v>
      </c>
      <c r="F1359" s="2">
        <v>322</v>
      </c>
      <c r="G1359" s="2">
        <v>-400</v>
      </c>
      <c r="H1359" s="2" t="s">
        <v>3</v>
      </c>
      <c r="I1359" s="2" t="s">
        <v>3</v>
      </c>
    </row>
    <row r="1360" spans="1:9" x14ac:dyDescent="0.3">
      <c r="A1360" t="s">
        <v>22</v>
      </c>
      <c r="B1360" s="1">
        <v>45078</v>
      </c>
      <c r="C1360" s="2" t="s">
        <v>3</v>
      </c>
      <c r="D1360" s="2" t="s">
        <v>3</v>
      </c>
      <c r="E1360" s="2">
        <v>6813</v>
      </c>
      <c r="F1360" s="2">
        <v>418</v>
      </c>
      <c r="G1360" s="2">
        <v>-14</v>
      </c>
      <c r="H1360" s="2" t="s">
        <v>3</v>
      </c>
      <c r="I1360" s="2" t="s">
        <v>3</v>
      </c>
    </row>
    <row r="1361" spans="1:9" x14ac:dyDescent="0.3">
      <c r="A1361" t="s">
        <v>22</v>
      </c>
      <c r="B1361" s="1">
        <v>45047</v>
      </c>
      <c r="C1361" s="2" t="s">
        <v>3</v>
      </c>
      <c r="D1361" s="2" t="s">
        <v>3</v>
      </c>
      <c r="E1361" s="2">
        <v>6157</v>
      </c>
      <c r="F1361" s="2">
        <v>-1025</v>
      </c>
      <c r="G1361" s="2">
        <v>-189</v>
      </c>
      <c r="H1361" s="2" t="s">
        <v>3</v>
      </c>
      <c r="I1361" s="2" t="s">
        <v>3</v>
      </c>
    </row>
    <row r="1362" spans="1:9" x14ac:dyDescent="0.3">
      <c r="A1362" t="s">
        <v>22</v>
      </c>
      <c r="B1362" s="1">
        <v>45017</v>
      </c>
      <c r="C1362" s="2" t="s">
        <v>3</v>
      </c>
      <c r="D1362" s="2" t="s">
        <v>3</v>
      </c>
      <c r="E1362" s="2">
        <v>7396</v>
      </c>
      <c r="F1362" s="2">
        <v>33</v>
      </c>
      <c r="G1362" s="2">
        <v>-11</v>
      </c>
      <c r="H1362" s="2" t="s">
        <v>3</v>
      </c>
      <c r="I1362" s="2" t="s">
        <v>3</v>
      </c>
    </row>
    <row r="1363" spans="1:9" x14ac:dyDescent="0.3">
      <c r="A1363" t="s">
        <v>22</v>
      </c>
      <c r="B1363" s="1">
        <v>44986</v>
      </c>
      <c r="C1363" s="2" t="s">
        <v>3</v>
      </c>
      <c r="D1363" s="2" t="s">
        <v>3</v>
      </c>
      <c r="E1363" s="2">
        <v>7371</v>
      </c>
      <c r="F1363" s="2">
        <v>771</v>
      </c>
      <c r="G1363" s="2">
        <v>190</v>
      </c>
      <c r="H1363" s="2" t="s">
        <v>3</v>
      </c>
      <c r="I1363" s="2" t="s">
        <v>3</v>
      </c>
    </row>
    <row r="1364" spans="1:9" x14ac:dyDescent="0.3">
      <c r="A1364" t="s">
        <v>22</v>
      </c>
      <c r="B1364" s="1">
        <v>44958</v>
      </c>
      <c r="C1364" s="2" t="s">
        <v>3</v>
      </c>
      <c r="D1364" s="2" t="s">
        <v>3</v>
      </c>
      <c r="E1364" s="2">
        <v>6454</v>
      </c>
      <c r="F1364" s="2">
        <v>-526</v>
      </c>
      <c r="G1364" s="2">
        <v>-197</v>
      </c>
      <c r="H1364" s="2" t="s">
        <v>3</v>
      </c>
      <c r="I1364" s="2" t="s">
        <v>3</v>
      </c>
    </row>
    <row r="1365" spans="1:9" hidden="1" x14ac:dyDescent="0.3">
      <c r="A1365" t="s">
        <v>22</v>
      </c>
      <c r="B1365" s="1">
        <v>44927</v>
      </c>
      <c r="C1365" s="2" t="s">
        <v>3</v>
      </c>
      <c r="D1365" s="2" t="s">
        <v>3</v>
      </c>
      <c r="E1365" s="2">
        <v>7214</v>
      </c>
      <c r="F1365" s="2" t="s">
        <v>3</v>
      </c>
      <c r="G1365" s="2" t="s">
        <v>3</v>
      </c>
      <c r="H1365" s="2" t="s">
        <v>3</v>
      </c>
      <c r="I1365" s="2" t="s">
        <v>3</v>
      </c>
    </row>
    <row r="1366" spans="1:9" hidden="1" x14ac:dyDescent="0.3">
      <c r="A1366" t="s">
        <v>22</v>
      </c>
      <c r="B1366" s="1">
        <v>44896</v>
      </c>
      <c r="C1366" s="2" t="s">
        <v>3</v>
      </c>
      <c r="D1366" s="2" t="s">
        <v>3</v>
      </c>
      <c r="E1366" s="2">
        <v>7789</v>
      </c>
      <c r="F1366" s="2" t="s">
        <v>3</v>
      </c>
      <c r="G1366" s="2" t="s">
        <v>3</v>
      </c>
      <c r="H1366" s="2" t="s">
        <v>3</v>
      </c>
      <c r="I1366" s="2" t="s">
        <v>3</v>
      </c>
    </row>
    <row r="1367" spans="1:9" hidden="1" x14ac:dyDescent="0.3">
      <c r="A1367" t="s">
        <v>22</v>
      </c>
      <c r="B1367" s="1">
        <v>44866</v>
      </c>
      <c r="C1367" s="2" t="s">
        <v>3</v>
      </c>
      <c r="D1367" s="2" t="s">
        <v>3</v>
      </c>
      <c r="E1367" s="2">
        <v>7198</v>
      </c>
      <c r="F1367" s="2" t="s">
        <v>3</v>
      </c>
      <c r="G1367" s="2" t="s">
        <v>3</v>
      </c>
      <c r="H1367" s="2" t="s">
        <v>3</v>
      </c>
      <c r="I1367" s="2" t="s">
        <v>3</v>
      </c>
    </row>
    <row r="1368" spans="1:9" hidden="1" x14ac:dyDescent="0.3">
      <c r="A1368" t="s">
        <v>22</v>
      </c>
      <c r="B1368" s="1">
        <v>44835</v>
      </c>
      <c r="C1368" s="2" t="s">
        <v>3</v>
      </c>
      <c r="D1368" s="2" t="s">
        <v>3</v>
      </c>
      <c r="E1368" s="2">
        <v>6532</v>
      </c>
      <c r="F1368" s="2" t="s">
        <v>3</v>
      </c>
      <c r="G1368" s="2" t="s">
        <v>3</v>
      </c>
      <c r="H1368" s="2" t="s">
        <v>3</v>
      </c>
      <c r="I1368" s="2" t="s">
        <v>3</v>
      </c>
    </row>
    <row r="1369" spans="1:9" hidden="1" x14ac:dyDescent="0.3">
      <c r="A1369" t="s">
        <v>22</v>
      </c>
      <c r="B1369" s="1">
        <v>44805</v>
      </c>
      <c r="C1369" s="2" t="s">
        <v>3</v>
      </c>
      <c r="D1369" s="2" t="s">
        <v>3</v>
      </c>
      <c r="E1369" s="2">
        <v>6958</v>
      </c>
      <c r="F1369" s="2" t="s">
        <v>3</v>
      </c>
      <c r="G1369" s="2" t="s">
        <v>3</v>
      </c>
      <c r="H1369" s="2" t="s">
        <v>3</v>
      </c>
      <c r="I1369" s="2" t="s">
        <v>3</v>
      </c>
    </row>
    <row r="1370" spans="1:9" hidden="1" x14ac:dyDescent="0.3">
      <c r="A1370" t="s">
        <v>22</v>
      </c>
      <c r="B1370" s="1">
        <v>44774</v>
      </c>
      <c r="C1370" s="2" t="s">
        <v>3</v>
      </c>
      <c r="D1370" s="2" t="s">
        <v>3</v>
      </c>
      <c r="E1370" s="2">
        <v>6651</v>
      </c>
      <c r="F1370" s="2" t="s">
        <v>3</v>
      </c>
      <c r="G1370" s="2" t="s">
        <v>3</v>
      </c>
      <c r="H1370" s="2" t="s">
        <v>3</v>
      </c>
      <c r="I1370" s="2" t="s">
        <v>3</v>
      </c>
    </row>
    <row r="1371" spans="1:9" hidden="1" x14ac:dyDescent="0.3">
      <c r="A1371" t="s">
        <v>22</v>
      </c>
      <c r="B1371" s="1">
        <v>44743</v>
      </c>
      <c r="C1371" s="2" t="s">
        <v>3</v>
      </c>
      <c r="D1371" s="2" t="s">
        <v>3</v>
      </c>
      <c r="E1371" s="2">
        <v>7173</v>
      </c>
      <c r="F1371" s="2" t="s">
        <v>3</v>
      </c>
      <c r="G1371" s="2" t="s">
        <v>3</v>
      </c>
      <c r="H1371" s="2" t="s">
        <v>3</v>
      </c>
      <c r="I1371" s="2" t="s">
        <v>3</v>
      </c>
    </row>
    <row r="1372" spans="1:9" hidden="1" x14ac:dyDescent="0.3">
      <c r="A1372" t="s">
        <v>22</v>
      </c>
      <c r="B1372" s="1">
        <v>44713</v>
      </c>
      <c r="C1372" s="2" t="s">
        <v>3</v>
      </c>
      <c r="D1372" s="2" t="s">
        <v>3</v>
      </c>
      <c r="E1372" s="2">
        <v>7065</v>
      </c>
      <c r="F1372" s="2" t="s">
        <v>3</v>
      </c>
      <c r="G1372" s="2" t="s">
        <v>3</v>
      </c>
      <c r="H1372" s="2" t="s">
        <v>3</v>
      </c>
      <c r="I1372" s="2" t="s">
        <v>3</v>
      </c>
    </row>
    <row r="1373" spans="1:9" hidden="1" x14ac:dyDescent="0.3">
      <c r="A1373" t="s">
        <v>22</v>
      </c>
      <c r="B1373" s="1">
        <v>44682</v>
      </c>
      <c r="C1373" s="2" t="s">
        <v>3</v>
      </c>
      <c r="D1373" s="2" t="s">
        <v>3</v>
      </c>
      <c r="E1373" s="2">
        <v>6572</v>
      </c>
      <c r="F1373" s="2" t="s">
        <v>3</v>
      </c>
      <c r="G1373" s="2" t="s">
        <v>3</v>
      </c>
      <c r="H1373" s="2" t="s">
        <v>3</v>
      </c>
      <c r="I1373" s="2" t="s">
        <v>3</v>
      </c>
    </row>
    <row r="1374" spans="1:9" hidden="1" x14ac:dyDescent="0.3">
      <c r="A1374" t="s">
        <v>22</v>
      </c>
      <c r="B1374" s="1">
        <v>44652</v>
      </c>
      <c r="C1374" s="2" t="s">
        <v>3</v>
      </c>
      <c r="D1374" s="2" t="s">
        <v>3</v>
      </c>
      <c r="E1374" s="2">
        <v>5606</v>
      </c>
      <c r="F1374" s="2" t="s">
        <v>3</v>
      </c>
      <c r="G1374" s="2" t="s">
        <v>3</v>
      </c>
      <c r="H1374" s="2" t="s">
        <v>3</v>
      </c>
      <c r="I1374" s="2" t="s">
        <v>3</v>
      </c>
    </row>
    <row r="1375" spans="1:9" hidden="1" x14ac:dyDescent="0.3">
      <c r="A1375" t="s">
        <v>22</v>
      </c>
      <c r="B1375" s="1">
        <v>44621</v>
      </c>
      <c r="C1375" s="2" t="s">
        <v>3</v>
      </c>
      <c r="D1375" s="2" t="s">
        <v>3</v>
      </c>
      <c r="E1375" s="2">
        <v>5837</v>
      </c>
      <c r="F1375" s="2" t="s">
        <v>3</v>
      </c>
      <c r="G1375" s="2" t="s">
        <v>3</v>
      </c>
      <c r="H1375" s="2" t="s">
        <v>3</v>
      </c>
      <c r="I1375" s="2" t="s">
        <v>3</v>
      </c>
    </row>
    <row r="1376" spans="1:9" hidden="1" x14ac:dyDescent="0.3">
      <c r="A1376" t="s">
        <v>22</v>
      </c>
      <c r="B1376" s="1">
        <v>44593</v>
      </c>
      <c r="C1376" s="2" t="s">
        <v>3</v>
      </c>
      <c r="D1376" s="2" t="s">
        <v>3</v>
      </c>
      <c r="E1376" s="2">
        <v>5882</v>
      </c>
      <c r="F1376" s="2" t="s">
        <v>3</v>
      </c>
      <c r="G1376" s="2" t="s">
        <v>3</v>
      </c>
      <c r="H1376" s="2" t="s">
        <v>3</v>
      </c>
      <c r="I1376" s="2" t="s">
        <v>3</v>
      </c>
    </row>
    <row r="1377" spans="1:9" hidden="1" x14ac:dyDescent="0.3">
      <c r="A1377" t="s">
        <v>22</v>
      </c>
      <c r="B1377" s="1">
        <v>44562</v>
      </c>
      <c r="C1377" s="2" t="s">
        <v>3</v>
      </c>
      <c r="D1377" s="2" t="s">
        <v>3</v>
      </c>
      <c r="E1377" s="2">
        <v>5953</v>
      </c>
      <c r="F1377" s="2" t="s">
        <v>3</v>
      </c>
      <c r="G1377" s="2" t="s">
        <v>3</v>
      </c>
      <c r="H1377" s="2" t="s">
        <v>3</v>
      </c>
      <c r="I1377" s="2" t="s">
        <v>3</v>
      </c>
    </row>
    <row r="1378" spans="1:9" hidden="1" x14ac:dyDescent="0.3">
      <c r="A1378" t="s">
        <v>22</v>
      </c>
      <c r="B1378" s="1">
        <v>44531</v>
      </c>
      <c r="C1378" s="2" t="s">
        <v>3</v>
      </c>
      <c r="D1378" s="2" t="s">
        <v>3</v>
      </c>
      <c r="E1378" s="2">
        <v>5796</v>
      </c>
      <c r="F1378" s="2" t="s">
        <v>3</v>
      </c>
      <c r="G1378" s="2" t="s">
        <v>3</v>
      </c>
      <c r="H1378" s="2" t="s">
        <v>3</v>
      </c>
      <c r="I1378" s="2" t="s">
        <v>3</v>
      </c>
    </row>
    <row r="1379" spans="1:9" hidden="1" x14ac:dyDescent="0.3">
      <c r="A1379" t="s">
        <v>22</v>
      </c>
      <c r="B1379" s="1">
        <v>44501</v>
      </c>
      <c r="C1379" s="2" t="s">
        <v>3</v>
      </c>
      <c r="D1379" s="2" t="s">
        <v>3</v>
      </c>
      <c r="E1379" s="2">
        <v>5837</v>
      </c>
      <c r="F1379" s="2" t="s">
        <v>3</v>
      </c>
      <c r="G1379" s="2" t="s">
        <v>3</v>
      </c>
      <c r="H1379" s="2" t="s">
        <v>3</v>
      </c>
      <c r="I1379" s="2" t="s">
        <v>3</v>
      </c>
    </row>
    <row r="1380" spans="1:9" hidden="1" x14ac:dyDescent="0.3">
      <c r="A1380" t="s">
        <v>22</v>
      </c>
      <c r="B1380" s="1">
        <v>44470</v>
      </c>
      <c r="C1380" s="2" t="s">
        <v>3</v>
      </c>
      <c r="D1380" s="2" t="s">
        <v>3</v>
      </c>
      <c r="E1380" s="2">
        <v>4325</v>
      </c>
      <c r="F1380" s="2" t="s">
        <v>3</v>
      </c>
      <c r="G1380" s="2" t="s">
        <v>3</v>
      </c>
      <c r="H1380" s="2" t="s">
        <v>3</v>
      </c>
      <c r="I1380" s="2" t="s">
        <v>3</v>
      </c>
    </row>
    <row r="1381" spans="1:9" hidden="1" x14ac:dyDescent="0.3">
      <c r="A1381" t="s">
        <v>22</v>
      </c>
      <c r="B1381" s="1">
        <v>44440</v>
      </c>
      <c r="C1381" s="2" t="s">
        <v>3</v>
      </c>
      <c r="D1381" s="2" t="s">
        <v>3</v>
      </c>
      <c r="E1381" s="2">
        <v>4413</v>
      </c>
      <c r="F1381" s="2" t="s">
        <v>3</v>
      </c>
      <c r="G1381" s="2" t="s">
        <v>3</v>
      </c>
      <c r="H1381" s="2" t="s">
        <v>3</v>
      </c>
      <c r="I1381" s="2" t="s">
        <v>3</v>
      </c>
    </row>
    <row r="1382" spans="1:9" hidden="1" x14ac:dyDescent="0.3">
      <c r="A1382" t="s">
        <v>22</v>
      </c>
      <c r="B1382" s="1">
        <v>44409</v>
      </c>
      <c r="C1382" s="2" t="s">
        <v>3</v>
      </c>
      <c r="D1382" s="2" t="s">
        <v>3</v>
      </c>
      <c r="E1382" s="2">
        <v>5384</v>
      </c>
      <c r="F1382" s="2" t="s">
        <v>3</v>
      </c>
      <c r="G1382" s="2" t="s">
        <v>3</v>
      </c>
      <c r="H1382" s="2" t="s">
        <v>3</v>
      </c>
      <c r="I1382" s="2" t="s">
        <v>3</v>
      </c>
    </row>
    <row r="1383" spans="1:9" hidden="1" x14ac:dyDescent="0.3">
      <c r="A1383" t="s">
        <v>22</v>
      </c>
      <c r="B1383" s="1">
        <v>44378</v>
      </c>
      <c r="C1383" s="2" t="s">
        <v>3</v>
      </c>
      <c r="D1383" s="2" t="s">
        <v>3</v>
      </c>
      <c r="E1383" s="2">
        <v>5446</v>
      </c>
      <c r="F1383" s="2" t="s">
        <v>3</v>
      </c>
      <c r="G1383" s="2" t="s">
        <v>3</v>
      </c>
      <c r="H1383" s="2" t="s">
        <v>3</v>
      </c>
      <c r="I1383" s="2" t="s">
        <v>3</v>
      </c>
    </row>
    <row r="1384" spans="1:9" hidden="1" x14ac:dyDescent="0.3">
      <c r="A1384" t="s">
        <v>22</v>
      </c>
      <c r="B1384" s="1">
        <v>44348</v>
      </c>
      <c r="C1384" s="2" t="s">
        <v>3</v>
      </c>
      <c r="D1384" s="2" t="s">
        <v>3</v>
      </c>
      <c r="E1384" s="2">
        <v>5277</v>
      </c>
      <c r="F1384" s="2" t="s">
        <v>3</v>
      </c>
      <c r="G1384" s="2" t="s">
        <v>3</v>
      </c>
      <c r="H1384" s="2" t="s">
        <v>3</v>
      </c>
      <c r="I1384" s="2" t="s">
        <v>3</v>
      </c>
    </row>
    <row r="1385" spans="1:9" hidden="1" x14ac:dyDescent="0.3">
      <c r="A1385" t="s">
        <v>22</v>
      </c>
      <c r="B1385" s="1">
        <v>44317</v>
      </c>
      <c r="C1385" s="2" t="s">
        <v>3</v>
      </c>
      <c r="D1385" s="2" t="s">
        <v>3</v>
      </c>
      <c r="E1385" s="2">
        <v>5043</v>
      </c>
      <c r="F1385" s="2" t="s">
        <v>3</v>
      </c>
      <c r="G1385" s="2" t="s">
        <v>3</v>
      </c>
      <c r="H1385" s="2" t="s">
        <v>3</v>
      </c>
      <c r="I1385" s="2" t="s">
        <v>3</v>
      </c>
    </row>
    <row r="1386" spans="1:9" hidden="1" x14ac:dyDescent="0.3">
      <c r="A1386" t="s">
        <v>22</v>
      </c>
      <c r="B1386" s="1">
        <v>44287</v>
      </c>
      <c r="C1386" s="2" t="s">
        <v>3</v>
      </c>
      <c r="D1386" s="2" t="s">
        <v>3</v>
      </c>
      <c r="E1386" s="2">
        <v>4984</v>
      </c>
      <c r="F1386" s="2" t="s">
        <v>3</v>
      </c>
      <c r="G1386" s="2" t="s">
        <v>3</v>
      </c>
      <c r="H1386" s="2" t="s">
        <v>3</v>
      </c>
      <c r="I1386" s="2" t="s">
        <v>3</v>
      </c>
    </row>
    <row r="1387" spans="1:9" hidden="1" x14ac:dyDescent="0.3">
      <c r="A1387" t="s">
        <v>22</v>
      </c>
      <c r="B1387" s="1">
        <v>44256</v>
      </c>
      <c r="C1387" s="2" t="s">
        <v>3</v>
      </c>
      <c r="D1387" s="2" t="s">
        <v>3</v>
      </c>
      <c r="E1387" s="2">
        <v>4902</v>
      </c>
      <c r="F1387" s="2" t="s">
        <v>3</v>
      </c>
      <c r="G1387" s="2" t="s">
        <v>3</v>
      </c>
      <c r="H1387" s="2" t="s">
        <v>3</v>
      </c>
      <c r="I1387" s="2" t="s">
        <v>3</v>
      </c>
    </row>
    <row r="1388" spans="1:9" hidden="1" x14ac:dyDescent="0.3">
      <c r="A1388" t="s">
        <v>22</v>
      </c>
      <c r="B1388" s="1">
        <v>44228</v>
      </c>
      <c r="C1388" s="2" t="s">
        <v>3</v>
      </c>
      <c r="D1388" s="2" t="s">
        <v>3</v>
      </c>
      <c r="E1388" s="2">
        <v>5990</v>
      </c>
      <c r="F1388" s="2" t="s">
        <v>3</v>
      </c>
      <c r="G1388" s="2" t="s">
        <v>3</v>
      </c>
      <c r="H1388" s="2" t="s">
        <v>3</v>
      </c>
      <c r="I1388" s="2" t="s">
        <v>3</v>
      </c>
    </row>
    <row r="1389" spans="1:9" hidden="1" x14ac:dyDescent="0.3">
      <c r="A1389" t="s">
        <v>22</v>
      </c>
      <c r="B1389" s="1">
        <v>44197</v>
      </c>
      <c r="C1389" s="2" t="s">
        <v>3</v>
      </c>
      <c r="D1389" s="2" t="s">
        <v>3</v>
      </c>
      <c r="E1389" s="2">
        <v>5767</v>
      </c>
      <c r="F1389" s="2" t="s">
        <v>3</v>
      </c>
      <c r="G1389" s="2" t="s">
        <v>3</v>
      </c>
      <c r="H1389" s="2" t="s">
        <v>3</v>
      </c>
      <c r="I1389" s="2" t="s">
        <v>3</v>
      </c>
    </row>
    <row r="1390" spans="1:9" hidden="1" x14ac:dyDescent="0.3">
      <c r="A1390" t="s">
        <v>22</v>
      </c>
      <c r="B1390" s="1">
        <v>44166</v>
      </c>
      <c r="C1390" s="2" t="s">
        <v>3</v>
      </c>
      <c r="D1390" s="2" t="s">
        <v>3</v>
      </c>
      <c r="E1390" s="2">
        <v>6103</v>
      </c>
      <c r="F1390" s="2" t="s">
        <v>3</v>
      </c>
      <c r="G1390" s="2" t="s">
        <v>3</v>
      </c>
      <c r="H1390" s="2" t="s">
        <v>3</v>
      </c>
      <c r="I1390" s="2" t="s">
        <v>3</v>
      </c>
    </row>
    <row r="1391" spans="1:9" hidden="1" x14ac:dyDescent="0.3">
      <c r="A1391" t="s">
        <v>22</v>
      </c>
      <c r="B1391" s="1">
        <v>44136</v>
      </c>
      <c r="C1391" s="2" t="s">
        <v>3</v>
      </c>
      <c r="D1391" s="2" t="s">
        <v>3</v>
      </c>
      <c r="E1391" s="2">
        <v>5952</v>
      </c>
      <c r="F1391" s="2" t="s">
        <v>3</v>
      </c>
      <c r="G1391" s="2" t="s">
        <v>3</v>
      </c>
      <c r="H1391" s="2" t="s">
        <v>3</v>
      </c>
      <c r="I1391" s="2" t="s">
        <v>3</v>
      </c>
    </row>
    <row r="1392" spans="1:9" hidden="1" x14ac:dyDescent="0.3">
      <c r="A1392" t="s">
        <v>22</v>
      </c>
      <c r="B1392" s="1">
        <v>44105</v>
      </c>
      <c r="C1392" s="2" t="s">
        <v>3</v>
      </c>
      <c r="D1392" s="2" t="s">
        <v>3</v>
      </c>
      <c r="E1392" s="2">
        <v>5889</v>
      </c>
      <c r="F1392" s="2" t="s">
        <v>3</v>
      </c>
      <c r="G1392" s="2" t="s">
        <v>3</v>
      </c>
      <c r="H1392" s="2" t="s">
        <v>3</v>
      </c>
      <c r="I1392" s="2" t="s">
        <v>3</v>
      </c>
    </row>
    <row r="1393" spans="1:9" hidden="1" x14ac:dyDescent="0.3">
      <c r="A1393" t="s">
        <v>22</v>
      </c>
      <c r="B1393" s="1">
        <v>44075</v>
      </c>
      <c r="C1393" s="2" t="s">
        <v>3</v>
      </c>
      <c r="D1393" s="2" t="s">
        <v>3</v>
      </c>
      <c r="E1393" s="2">
        <v>5923</v>
      </c>
      <c r="F1393" s="2" t="s">
        <v>3</v>
      </c>
      <c r="G1393" s="2" t="s">
        <v>3</v>
      </c>
      <c r="H1393" s="2" t="s">
        <v>3</v>
      </c>
      <c r="I1393" s="2" t="s">
        <v>3</v>
      </c>
    </row>
    <row r="1394" spans="1:9" hidden="1" x14ac:dyDescent="0.3">
      <c r="A1394" t="s">
        <v>22</v>
      </c>
      <c r="B1394" s="1">
        <v>44044</v>
      </c>
      <c r="C1394" s="2" t="s">
        <v>3</v>
      </c>
      <c r="D1394" s="2" t="s">
        <v>3</v>
      </c>
      <c r="E1394" s="2">
        <v>5980</v>
      </c>
      <c r="F1394" s="2" t="s">
        <v>3</v>
      </c>
      <c r="G1394" s="2" t="s">
        <v>3</v>
      </c>
      <c r="H1394" s="2" t="s">
        <v>3</v>
      </c>
      <c r="I1394" s="2" t="s">
        <v>3</v>
      </c>
    </row>
    <row r="1395" spans="1:9" hidden="1" x14ac:dyDescent="0.3">
      <c r="A1395" t="s">
        <v>22</v>
      </c>
      <c r="B1395" s="1">
        <v>44013</v>
      </c>
      <c r="C1395" s="2" t="s">
        <v>3</v>
      </c>
      <c r="D1395" s="2" t="s">
        <v>3</v>
      </c>
      <c r="E1395" s="2">
        <v>6035</v>
      </c>
      <c r="F1395" s="2" t="s">
        <v>3</v>
      </c>
      <c r="G1395" s="2" t="s">
        <v>3</v>
      </c>
      <c r="H1395" s="2" t="s">
        <v>3</v>
      </c>
      <c r="I1395" s="2" t="s">
        <v>3</v>
      </c>
    </row>
    <row r="1396" spans="1:9" hidden="1" x14ac:dyDescent="0.3">
      <c r="A1396" t="s">
        <v>22</v>
      </c>
      <c r="B1396" s="1">
        <v>43983</v>
      </c>
      <c r="C1396" s="2" t="s">
        <v>3</v>
      </c>
      <c r="D1396" s="2" t="s">
        <v>3</v>
      </c>
      <c r="E1396" s="2">
        <v>5558</v>
      </c>
      <c r="F1396" s="2" t="s">
        <v>3</v>
      </c>
      <c r="G1396" s="2" t="s">
        <v>3</v>
      </c>
      <c r="H1396" s="2" t="s">
        <v>3</v>
      </c>
      <c r="I1396" s="2" t="s">
        <v>3</v>
      </c>
    </row>
    <row r="1397" spans="1:9" hidden="1" x14ac:dyDescent="0.3">
      <c r="A1397" t="s">
        <v>22</v>
      </c>
      <c r="B1397" s="1">
        <v>43952</v>
      </c>
      <c r="C1397" s="2" t="s">
        <v>3</v>
      </c>
      <c r="D1397" s="2" t="s">
        <v>3</v>
      </c>
      <c r="E1397" s="2">
        <v>5376</v>
      </c>
      <c r="F1397" s="2" t="s">
        <v>3</v>
      </c>
      <c r="G1397" s="2" t="s">
        <v>3</v>
      </c>
      <c r="H1397" s="2" t="s">
        <v>3</v>
      </c>
      <c r="I1397" s="2" t="s">
        <v>3</v>
      </c>
    </row>
    <row r="1398" spans="1:9" hidden="1" x14ac:dyDescent="0.3">
      <c r="A1398" t="s">
        <v>22</v>
      </c>
      <c r="B1398" s="1">
        <v>43922</v>
      </c>
      <c r="C1398" s="2" t="s">
        <v>3</v>
      </c>
      <c r="D1398" s="2" t="s">
        <v>3</v>
      </c>
      <c r="E1398" s="2">
        <v>4951</v>
      </c>
      <c r="F1398" s="2" t="s">
        <v>3</v>
      </c>
      <c r="G1398" s="2" t="s">
        <v>3</v>
      </c>
      <c r="H1398" s="2" t="s">
        <v>3</v>
      </c>
      <c r="I1398" s="2" t="s">
        <v>3</v>
      </c>
    </row>
    <row r="1399" spans="1:9" hidden="1" x14ac:dyDescent="0.3">
      <c r="A1399" t="s">
        <v>22</v>
      </c>
      <c r="B1399" s="1">
        <v>43891</v>
      </c>
      <c r="C1399" s="2" t="s">
        <v>3</v>
      </c>
      <c r="D1399" s="2" t="s">
        <v>3</v>
      </c>
      <c r="E1399" s="2">
        <v>4706</v>
      </c>
      <c r="F1399" s="2" t="s">
        <v>3</v>
      </c>
      <c r="G1399" s="2" t="s">
        <v>3</v>
      </c>
      <c r="H1399" s="2" t="s">
        <v>3</v>
      </c>
      <c r="I1399" s="2" t="s">
        <v>3</v>
      </c>
    </row>
    <row r="1400" spans="1:9" hidden="1" x14ac:dyDescent="0.3">
      <c r="A1400" t="s">
        <v>22</v>
      </c>
      <c r="B1400" s="1">
        <v>43862</v>
      </c>
      <c r="C1400" s="2" t="s">
        <v>3</v>
      </c>
      <c r="D1400" s="2" t="s">
        <v>3</v>
      </c>
      <c r="E1400" s="2">
        <v>5386</v>
      </c>
      <c r="F1400" s="2" t="s">
        <v>3</v>
      </c>
      <c r="G1400" s="2" t="s">
        <v>3</v>
      </c>
      <c r="H1400" s="2" t="s">
        <v>3</v>
      </c>
      <c r="I1400" s="2" t="s">
        <v>3</v>
      </c>
    </row>
    <row r="1401" spans="1:9" hidden="1" x14ac:dyDescent="0.3">
      <c r="A1401" t="s">
        <v>22</v>
      </c>
      <c r="B1401" s="1">
        <v>43831</v>
      </c>
      <c r="C1401" s="2" t="s">
        <v>3</v>
      </c>
      <c r="D1401" s="2" t="s">
        <v>3</v>
      </c>
      <c r="E1401" s="2">
        <v>5621</v>
      </c>
      <c r="F1401" s="2" t="s">
        <v>3</v>
      </c>
      <c r="G1401" s="2" t="s">
        <v>3</v>
      </c>
      <c r="H1401" s="2" t="s">
        <v>3</v>
      </c>
      <c r="I1401" s="2" t="s">
        <v>3</v>
      </c>
    </row>
    <row r="1402" spans="1:9" x14ac:dyDescent="0.3">
      <c r="A1402" t="s">
        <v>23</v>
      </c>
      <c r="B1402" s="1">
        <v>45931</v>
      </c>
      <c r="C1402" s="2" t="s">
        <v>3</v>
      </c>
      <c r="D1402" s="2" t="s">
        <v>3</v>
      </c>
      <c r="E1402" s="2">
        <v>5190</v>
      </c>
      <c r="F1402" s="2">
        <v>175</v>
      </c>
      <c r="G1402" s="2">
        <v>-9</v>
      </c>
      <c r="H1402" s="2" t="s">
        <v>3</v>
      </c>
      <c r="I1402" s="2" t="s">
        <v>3</v>
      </c>
    </row>
    <row r="1403" spans="1:9" x14ac:dyDescent="0.3">
      <c r="A1403" t="s">
        <v>23</v>
      </c>
      <c r="B1403" s="1">
        <v>45901</v>
      </c>
      <c r="C1403" s="2" t="s">
        <v>3</v>
      </c>
      <c r="D1403" s="2" t="s">
        <v>3</v>
      </c>
      <c r="E1403" s="2">
        <v>5530</v>
      </c>
      <c r="F1403" s="2">
        <v>326</v>
      </c>
      <c r="G1403" s="2">
        <v>-32</v>
      </c>
      <c r="H1403" s="2" t="s">
        <v>3</v>
      </c>
      <c r="I1403" s="2" t="s">
        <v>3</v>
      </c>
    </row>
    <row r="1404" spans="1:9" x14ac:dyDescent="0.3">
      <c r="A1404" t="s">
        <v>23</v>
      </c>
      <c r="B1404" s="1">
        <v>45870</v>
      </c>
      <c r="C1404" s="2" t="s">
        <v>3</v>
      </c>
      <c r="D1404" s="2" t="s">
        <v>3</v>
      </c>
      <c r="E1404" s="2">
        <v>5491</v>
      </c>
      <c r="F1404" s="2">
        <v>495</v>
      </c>
      <c r="G1404" s="2">
        <v>90</v>
      </c>
      <c r="H1404" s="2" t="s">
        <v>3</v>
      </c>
      <c r="I1404" s="2" t="s">
        <v>3</v>
      </c>
    </row>
    <row r="1405" spans="1:9" x14ac:dyDescent="0.3">
      <c r="A1405" t="s">
        <v>23</v>
      </c>
      <c r="B1405" s="1">
        <v>45839</v>
      </c>
      <c r="C1405" s="2" t="s">
        <v>3</v>
      </c>
      <c r="D1405" s="2" t="s">
        <v>3</v>
      </c>
      <c r="E1405" s="2">
        <v>4950</v>
      </c>
      <c r="F1405" s="2">
        <v>117</v>
      </c>
      <c r="G1405" s="2">
        <v>-196</v>
      </c>
      <c r="H1405" s="2" t="s">
        <v>3</v>
      </c>
      <c r="I1405" s="2" t="s">
        <v>3</v>
      </c>
    </row>
    <row r="1406" spans="1:9" x14ac:dyDescent="0.3">
      <c r="A1406" t="s">
        <v>23</v>
      </c>
      <c r="B1406" s="1">
        <v>45809</v>
      </c>
      <c r="C1406" s="2" t="s">
        <v>3</v>
      </c>
      <c r="D1406" s="2" t="s">
        <v>3</v>
      </c>
      <c r="E1406" s="2">
        <v>5199</v>
      </c>
      <c r="F1406" s="2">
        <v>168</v>
      </c>
      <c r="G1406" s="2">
        <v>35</v>
      </c>
      <c r="H1406" s="2" t="s">
        <v>3</v>
      </c>
      <c r="I1406" s="2" t="s">
        <v>3</v>
      </c>
    </row>
    <row r="1407" spans="1:9" x14ac:dyDescent="0.3">
      <c r="A1407" t="s">
        <v>23</v>
      </c>
      <c r="B1407" s="1">
        <v>45778</v>
      </c>
      <c r="C1407" s="2" t="s">
        <v>3</v>
      </c>
      <c r="D1407" s="2" t="s">
        <v>3</v>
      </c>
      <c r="E1407" s="2">
        <v>5041</v>
      </c>
      <c r="F1407" s="2">
        <v>29</v>
      </c>
      <c r="G1407" s="2">
        <v>12</v>
      </c>
      <c r="H1407" s="2" t="s">
        <v>3</v>
      </c>
      <c r="I1407" s="2" t="s">
        <v>3</v>
      </c>
    </row>
    <row r="1408" spans="1:9" x14ac:dyDescent="0.3">
      <c r="A1408" t="s">
        <v>23</v>
      </c>
      <c r="B1408" s="1">
        <v>45748</v>
      </c>
      <c r="C1408" s="2" t="s">
        <v>3</v>
      </c>
      <c r="D1408" s="2" t="s">
        <v>3</v>
      </c>
      <c r="E1408" s="2">
        <v>5000</v>
      </c>
      <c r="F1408" s="2">
        <v>944</v>
      </c>
      <c r="G1408" s="2">
        <v>-356</v>
      </c>
      <c r="H1408" s="2" t="s">
        <v>3</v>
      </c>
      <c r="I1408" s="2" t="s">
        <v>3</v>
      </c>
    </row>
    <row r="1409" spans="1:9" x14ac:dyDescent="0.3">
      <c r="A1409" t="s">
        <v>23</v>
      </c>
      <c r="B1409" s="1">
        <v>45717</v>
      </c>
      <c r="C1409" s="2" t="s">
        <v>3</v>
      </c>
      <c r="D1409" s="2" t="s">
        <v>3</v>
      </c>
      <c r="E1409" s="2">
        <v>3744</v>
      </c>
      <c r="F1409" s="2">
        <v>-10</v>
      </c>
      <c r="G1409" s="2">
        <v>5</v>
      </c>
      <c r="H1409" s="2" t="s">
        <v>3</v>
      </c>
      <c r="I1409" s="2" t="s">
        <v>3</v>
      </c>
    </row>
    <row r="1410" spans="1:9" x14ac:dyDescent="0.3">
      <c r="A1410" t="s">
        <v>23</v>
      </c>
      <c r="B1410" s="1">
        <v>45689</v>
      </c>
      <c r="C1410" s="2" t="s">
        <v>3</v>
      </c>
      <c r="D1410" s="2" t="s">
        <v>3</v>
      </c>
      <c r="E1410" s="2">
        <v>3714</v>
      </c>
      <c r="F1410" s="2">
        <v>18</v>
      </c>
      <c r="G1410" s="2">
        <v>20</v>
      </c>
      <c r="H1410" s="2" t="s">
        <v>3</v>
      </c>
      <c r="I1410" s="2" t="s">
        <v>3</v>
      </c>
    </row>
    <row r="1411" spans="1:9" x14ac:dyDescent="0.3">
      <c r="A1411" t="s">
        <v>23</v>
      </c>
      <c r="B1411" s="1">
        <v>45658</v>
      </c>
      <c r="C1411" s="2" t="s">
        <v>3</v>
      </c>
      <c r="D1411" s="2" t="s">
        <v>3</v>
      </c>
      <c r="E1411" s="2">
        <v>3684</v>
      </c>
      <c r="F1411" s="2">
        <v>143</v>
      </c>
      <c r="G1411" s="2">
        <v>-18</v>
      </c>
      <c r="H1411" s="2" t="s">
        <v>3</v>
      </c>
      <c r="I1411" s="2" t="s">
        <v>3</v>
      </c>
    </row>
    <row r="1412" spans="1:9" x14ac:dyDescent="0.3">
      <c r="A1412" t="s">
        <v>23</v>
      </c>
      <c r="B1412" s="1">
        <v>45627</v>
      </c>
      <c r="C1412" s="2" t="s">
        <v>3</v>
      </c>
      <c r="D1412" s="2" t="s">
        <v>3</v>
      </c>
      <c r="E1412" s="2">
        <v>3742</v>
      </c>
      <c r="F1412" s="2">
        <v>130</v>
      </c>
      <c r="G1412" s="2">
        <v>-107</v>
      </c>
      <c r="H1412" s="2" t="s">
        <v>3</v>
      </c>
      <c r="I1412" s="2" t="s">
        <v>3</v>
      </c>
    </row>
    <row r="1413" spans="1:9" x14ac:dyDescent="0.3">
      <c r="A1413" t="s">
        <v>23</v>
      </c>
      <c r="B1413" s="1">
        <v>45597</v>
      </c>
      <c r="C1413" s="2" t="s">
        <v>3</v>
      </c>
      <c r="D1413" s="2" t="s">
        <v>3</v>
      </c>
      <c r="E1413" s="2">
        <v>3756</v>
      </c>
      <c r="F1413" s="2">
        <v>63</v>
      </c>
      <c r="G1413" s="2">
        <v>7</v>
      </c>
      <c r="H1413" s="2" t="s">
        <v>3</v>
      </c>
      <c r="I1413" s="2" t="s">
        <v>3</v>
      </c>
    </row>
    <row r="1414" spans="1:9" x14ac:dyDescent="0.3">
      <c r="A1414" t="s">
        <v>23</v>
      </c>
      <c r="B1414" s="1">
        <v>45566</v>
      </c>
      <c r="C1414" s="2" t="s">
        <v>3</v>
      </c>
      <c r="D1414" s="2" t="s">
        <v>3</v>
      </c>
      <c r="E1414" s="2">
        <v>3773</v>
      </c>
      <c r="F1414" s="2">
        <v>612</v>
      </c>
      <c r="G1414" s="2">
        <v>-32</v>
      </c>
      <c r="H1414" s="2" t="s">
        <v>3</v>
      </c>
      <c r="I1414" s="2" t="s">
        <v>3</v>
      </c>
    </row>
    <row r="1415" spans="1:9" x14ac:dyDescent="0.3">
      <c r="A1415" t="s">
        <v>23</v>
      </c>
      <c r="B1415" s="1">
        <v>45536</v>
      </c>
      <c r="C1415" s="2" t="s">
        <v>3</v>
      </c>
      <c r="D1415" s="2" t="s">
        <v>3</v>
      </c>
      <c r="E1415" s="2">
        <v>3399</v>
      </c>
      <c r="F1415" s="2">
        <v>-12</v>
      </c>
      <c r="G1415" s="2">
        <v>10</v>
      </c>
      <c r="H1415" s="2" t="s">
        <v>3</v>
      </c>
      <c r="I1415" s="2" t="s">
        <v>3</v>
      </c>
    </row>
    <row r="1416" spans="1:9" x14ac:dyDescent="0.3">
      <c r="A1416" t="s">
        <v>23</v>
      </c>
      <c r="B1416" s="1">
        <v>45505</v>
      </c>
      <c r="C1416" s="2" t="s">
        <v>3</v>
      </c>
      <c r="D1416" s="2" t="s">
        <v>3</v>
      </c>
      <c r="E1416" s="2">
        <v>3404</v>
      </c>
      <c r="F1416" s="2">
        <v>95</v>
      </c>
      <c r="G1416" s="2">
        <v>1</v>
      </c>
      <c r="H1416" s="2" t="s">
        <v>3</v>
      </c>
      <c r="I1416" s="2" t="s">
        <v>3</v>
      </c>
    </row>
    <row r="1417" spans="1:9" x14ac:dyDescent="0.3">
      <c r="A1417" t="s">
        <v>23</v>
      </c>
      <c r="B1417" s="1">
        <v>45474</v>
      </c>
      <c r="C1417" s="2" t="s">
        <v>3</v>
      </c>
      <c r="D1417" s="2" t="s">
        <v>3</v>
      </c>
      <c r="E1417" s="2">
        <v>3501</v>
      </c>
      <c r="F1417" s="2">
        <v>76</v>
      </c>
      <c r="G1417" s="2">
        <v>44</v>
      </c>
      <c r="H1417" s="2" t="s">
        <v>3</v>
      </c>
      <c r="I1417" s="2" t="s">
        <v>3</v>
      </c>
    </row>
    <row r="1418" spans="1:9" x14ac:dyDescent="0.3">
      <c r="A1418" t="s">
        <v>23</v>
      </c>
      <c r="B1418" s="1">
        <v>45444</v>
      </c>
      <c r="C1418" s="2" t="s">
        <v>3</v>
      </c>
      <c r="D1418" s="2" t="s">
        <v>3</v>
      </c>
      <c r="E1418" s="2">
        <v>3675</v>
      </c>
      <c r="F1418" s="2">
        <v>-46</v>
      </c>
      <c r="G1418" s="2">
        <v>44</v>
      </c>
      <c r="H1418" s="2" t="s">
        <v>3</v>
      </c>
      <c r="I1418" s="2" t="s">
        <v>3</v>
      </c>
    </row>
    <row r="1419" spans="1:9" x14ac:dyDescent="0.3">
      <c r="A1419" t="s">
        <v>23</v>
      </c>
      <c r="B1419" s="1">
        <v>45413</v>
      </c>
      <c r="C1419" s="2" t="s">
        <v>3</v>
      </c>
      <c r="D1419" s="2" t="s">
        <v>3</v>
      </c>
      <c r="E1419" s="2">
        <v>3678</v>
      </c>
      <c r="F1419" s="2">
        <v>10</v>
      </c>
      <c r="G1419" s="2">
        <v>7</v>
      </c>
      <c r="H1419" s="2" t="s">
        <v>3</v>
      </c>
      <c r="I1419" s="2" t="s">
        <v>3</v>
      </c>
    </row>
    <row r="1420" spans="1:9" x14ac:dyDescent="0.3">
      <c r="A1420" t="s">
        <v>23</v>
      </c>
      <c r="B1420" s="1">
        <v>45383</v>
      </c>
      <c r="C1420" s="2" t="s">
        <v>3</v>
      </c>
      <c r="D1420" s="2" t="s">
        <v>3</v>
      </c>
      <c r="E1420" s="2">
        <v>3650</v>
      </c>
      <c r="F1420" s="2">
        <v>42</v>
      </c>
      <c r="G1420" s="2">
        <v>153</v>
      </c>
      <c r="H1420" s="2" t="s">
        <v>3</v>
      </c>
      <c r="I1420" s="2" t="s">
        <v>3</v>
      </c>
    </row>
    <row r="1421" spans="1:9" x14ac:dyDescent="0.3">
      <c r="A1421" t="s">
        <v>23</v>
      </c>
      <c r="B1421" s="1">
        <v>45352</v>
      </c>
      <c r="C1421" s="2" t="s">
        <v>3</v>
      </c>
      <c r="D1421" s="2" t="s">
        <v>3</v>
      </c>
      <c r="E1421" s="2">
        <v>3588</v>
      </c>
      <c r="F1421" s="2">
        <v>364</v>
      </c>
      <c r="G1421" s="2">
        <v>76</v>
      </c>
      <c r="H1421" s="2" t="s">
        <v>3</v>
      </c>
      <c r="I1421" s="2" t="s">
        <v>3</v>
      </c>
    </row>
    <row r="1422" spans="1:9" x14ac:dyDescent="0.3">
      <c r="A1422" t="s">
        <v>23</v>
      </c>
      <c r="B1422" s="1">
        <v>45323</v>
      </c>
      <c r="C1422" s="2" t="s">
        <v>3</v>
      </c>
      <c r="D1422" s="2" t="s">
        <v>3</v>
      </c>
      <c r="E1422" s="2">
        <v>3150</v>
      </c>
      <c r="F1422" s="2">
        <v>87</v>
      </c>
      <c r="G1422" s="2">
        <v>3</v>
      </c>
      <c r="H1422" s="2" t="s">
        <v>3</v>
      </c>
      <c r="I1422" s="2" t="s">
        <v>3</v>
      </c>
    </row>
    <row r="1423" spans="1:9" x14ac:dyDescent="0.3">
      <c r="A1423" t="s">
        <v>23</v>
      </c>
      <c r="B1423" s="1">
        <v>45292</v>
      </c>
      <c r="C1423" s="2" t="s">
        <v>3</v>
      </c>
      <c r="D1423" s="2" t="s">
        <v>3</v>
      </c>
      <c r="E1423" s="2">
        <v>3129</v>
      </c>
      <c r="F1423" s="2">
        <v>-11</v>
      </c>
      <c r="G1423" s="2">
        <v>52</v>
      </c>
      <c r="H1423" s="2" t="s">
        <v>3</v>
      </c>
      <c r="I1423" s="2" t="s">
        <v>3</v>
      </c>
    </row>
    <row r="1424" spans="1:9" x14ac:dyDescent="0.3">
      <c r="A1424" t="s">
        <v>23</v>
      </c>
      <c r="B1424" s="1">
        <v>45261</v>
      </c>
      <c r="C1424" s="2" t="s">
        <v>3</v>
      </c>
      <c r="D1424" s="2" t="s">
        <v>3</v>
      </c>
      <c r="E1424" s="2">
        <v>3111</v>
      </c>
      <c r="F1424" s="2">
        <v>-6</v>
      </c>
      <c r="G1424" s="2">
        <v>65</v>
      </c>
      <c r="H1424" s="2" t="s">
        <v>3</v>
      </c>
      <c r="I1424" s="2" t="s">
        <v>3</v>
      </c>
    </row>
    <row r="1425" spans="1:9" x14ac:dyDescent="0.3">
      <c r="A1425" t="s">
        <v>23</v>
      </c>
      <c r="B1425" s="1">
        <v>45231</v>
      </c>
      <c r="C1425" s="2" t="s">
        <v>3</v>
      </c>
      <c r="D1425" s="2" t="s">
        <v>3</v>
      </c>
      <c r="E1425" s="2">
        <v>3029</v>
      </c>
      <c r="F1425" s="2">
        <v>94</v>
      </c>
      <c r="G1425" s="2">
        <v>5</v>
      </c>
      <c r="H1425" s="2" t="s">
        <v>3</v>
      </c>
      <c r="I1425" s="2" t="s">
        <v>3</v>
      </c>
    </row>
    <row r="1426" spans="1:9" x14ac:dyDescent="0.3">
      <c r="A1426" t="s">
        <v>23</v>
      </c>
      <c r="B1426" s="1">
        <v>45200</v>
      </c>
      <c r="C1426" s="2" t="s">
        <v>3</v>
      </c>
      <c r="D1426" s="2" t="s">
        <v>3</v>
      </c>
      <c r="E1426" s="2">
        <v>3048</v>
      </c>
      <c r="F1426" s="2">
        <v>73</v>
      </c>
      <c r="G1426" s="2">
        <v>-4</v>
      </c>
      <c r="H1426" s="2" t="s">
        <v>3</v>
      </c>
      <c r="I1426" s="2" t="s">
        <v>3</v>
      </c>
    </row>
    <row r="1427" spans="1:9" x14ac:dyDescent="0.3">
      <c r="A1427" t="s">
        <v>23</v>
      </c>
      <c r="B1427" s="1">
        <v>45170</v>
      </c>
      <c r="C1427" s="2" t="s">
        <v>3</v>
      </c>
      <c r="D1427" s="2" t="s">
        <v>3</v>
      </c>
      <c r="E1427" s="2">
        <v>2985</v>
      </c>
      <c r="F1427" s="2">
        <v>24</v>
      </c>
      <c r="G1427" s="2">
        <v>-8</v>
      </c>
      <c r="H1427" s="2" t="s">
        <v>3</v>
      </c>
      <c r="I1427" s="2" t="s">
        <v>3</v>
      </c>
    </row>
    <row r="1428" spans="1:9" x14ac:dyDescent="0.3">
      <c r="A1428" t="s">
        <v>23</v>
      </c>
      <c r="B1428" s="1">
        <v>45139</v>
      </c>
      <c r="C1428" s="2" t="s">
        <v>3</v>
      </c>
      <c r="D1428" s="2" t="s">
        <v>3</v>
      </c>
      <c r="E1428" s="2">
        <v>3099</v>
      </c>
      <c r="F1428" s="2">
        <v>150</v>
      </c>
      <c r="G1428" s="2">
        <v>-1</v>
      </c>
      <c r="H1428" s="2" t="s">
        <v>3</v>
      </c>
      <c r="I1428" s="2" t="s">
        <v>3</v>
      </c>
    </row>
    <row r="1429" spans="1:9" x14ac:dyDescent="0.3">
      <c r="A1429" t="s">
        <v>23</v>
      </c>
      <c r="B1429" s="1">
        <v>45108</v>
      </c>
      <c r="C1429" s="2" t="s">
        <v>3</v>
      </c>
      <c r="D1429" s="2" t="s">
        <v>3</v>
      </c>
      <c r="E1429" s="2">
        <v>4037</v>
      </c>
      <c r="F1429" s="2">
        <v>170</v>
      </c>
      <c r="G1429" s="2">
        <v>-109</v>
      </c>
      <c r="H1429" s="2" t="s">
        <v>3</v>
      </c>
      <c r="I1429" s="2" t="s">
        <v>3</v>
      </c>
    </row>
    <row r="1430" spans="1:9" x14ac:dyDescent="0.3">
      <c r="A1430" t="s">
        <v>23</v>
      </c>
      <c r="B1430" s="1">
        <v>45078</v>
      </c>
      <c r="C1430" s="2" t="s">
        <v>3</v>
      </c>
      <c r="D1430" s="2" t="s">
        <v>3</v>
      </c>
      <c r="E1430" s="2">
        <v>3159</v>
      </c>
      <c r="F1430" s="2">
        <v>-68</v>
      </c>
      <c r="G1430" s="2">
        <v>-79</v>
      </c>
      <c r="H1430" s="2" t="s">
        <v>3</v>
      </c>
      <c r="I1430" s="2" t="s">
        <v>3</v>
      </c>
    </row>
    <row r="1431" spans="1:9" x14ac:dyDescent="0.3">
      <c r="A1431" t="s">
        <v>23</v>
      </c>
      <c r="B1431" s="1">
        <v>45047</v>
      </c>
      <c r="C1431" s="2" t="s">
        <v>3</v>
      </c>
      <c r="D1431" s="2" t="s">
        <v>3</v>
      </c>
      <c r="E1431" s="2">
        <v>3339</v>
      </c>
      <c r="F1431" s="2">
        <v>229</v>
      </c>
      <c r="G1431" s="2">
        <v>-63</v>
      </c>
      <c r="H1431" s="2" t="s">
        <v>3</v>
      </c>
      <c r="I1431" s="2" t="s">
        <v>3</v>
      </c>
    </row>
    <row r="1432" spans="1:9" x14ac:dyDescent="0.3">
      <c r="A1432" t="s">
        <v>23</v>
      </c>
      <c r="B1432" s="1">
        <v>45017</v>
      </c>
      <c r="C1432" s="2" t="s">
        <v>3</v>
      </c>
      <c r="D1432" s="2" t="s">
        <v>3</v>
      </c>
      <c r="E1432" s="2">
        <v>3326</v>
      </c>
      <c r="F1432" s="2">
        <v>176</v>
      </c>
      <c r="G1432" s="2">
        <v>2</v>
      </c>
      <c r="H1432" s="2" t="s">
        <v>3</v>
      </c>
      <c r="I1432" s="2" t="s">
        <v>3</v>
      </c>
    </row>
    <row r="1433" spans="1:9" x14ac:dyDescent="0.3">
      <c r="A1433" t="s">
        <v>23</v>
      </c>
      <c r="B1433" s="1">
        <v>44986</v>
      </c>
      <c r="C1433" s="2" t="s">
        <v>3</v>
      </c>
      <c r="D1433" s="2" t="s">
        <v>3</v>
      </c>
      <c r="E1433" s="2">
        <v>3394</v>
      </c>
      <c r="F1433" s="2">
        <v>-7</v>
      </c>
      <c r="G1433" s="2">
        <v>37</v>
      </c>
      <c r="H1433" s="2" t="s">
        <v>3</v>
      </c>
      <c r="I1433" s="2" t="s">
        <v>3</v>
      </c>
    </row>
    <row r="1434" spans="1:9" x14ac:dyDescent="0.3">
      <c r="A1434" t="s">
        <v>23</v>
      </c>
      <c r="B1434" s="1">
        <v>44958</v>
      </c>
      <c r="C1434" s="2" t="s">
        <v>3</v>
      </c>
      <c r="D1434" s="2" t="s">
        <v>3</v>
      </c>
      <c r="E1434" s="2">
        <v>3277</v>
      </c>
      <c r="F1434" s="2">
        <v>-49</v>
      </c>
      <c r="G1434" s="2">
        <v>-7</v>
      </c>
      <c r="H1434" s="2" t="s">
        <v>3</v>
      </c>
      <c r="I1434" s="2" t="s">
        <v>3</v>
      </c>
    </row>
    <row r="1435" spans="1:9" hidden="1" x14ac:dyDescent="0.3">
      <c r="A1435" t="s">
        <v>23</v>
      </c>
      <c r="B1435" s="1">
        <v>44927</v>
      </c>
      <c r="C1435" s="2" t="s">
        <v>3</v>
      </c>
      <c r="D1435" s="2" t="s">
        <v>3</v>
      </c>
      <c r="E1435" s="2">
        <v>3226</v>
      </c>
      <c r="F1435" s="2" t="s">
        <v>3</v>
      </c>
      <c r="G1435" s="2" t="s">
        <v>3</v>
      </c>
      <c r="H1435" s="2" t="s">
        <v>3</v>
      </c>
      <c r="I1435" s="2" t="s">
        <v>3</v>
      </c>
    </row>
    <row r="1436" spans="1:9" hidden="1" x14ac:dyDescent="0.3">
      <c r="A1436" t="s">
        <v>23</v>
      </c>
      <c r="B1436" s="1">
        <v>44896</v>
      </c>
      <c r="C1436" s="2" t="s">
        <v>3</v>
      </c>
      <c r="D1436" s="2" t="s">
        <v>3</v>
      </c>
      <c r="E1436" s="2">
        <v>3418</v>
      </c>
      <c r="F1436" s="2" t="s">
        <v>3</v>
      </c>
      <c r="G1436" s="2" t="s">
        <v>3</v>
      </c>
      <c r="H1436" s="2" t="s">
        <v>3</v>
      </c>
      <c r="I1436" s="2" t="s">
        <v>3</v>
      </c>
    </row>
    <row r="1437" spans="1:9" hidden="1" x14ac:dyDescent="0.3">
      <c r="A1437" t="s">
        <v>23</v>
      </c>
      <c r="B1437" s="1">
        <v>44866</v>
      </c>
      <c r="C1437" s="2" t="s">
        <v>3</v>
      </c>
      <c r="D1437" s="2" t="s">
        <v>3</v>
      </c>
      <c r="E1437" s="2">
        <v>3359</v>
      </c>
      <c r="F1437" s="2" t="s">
        <v>3</v>
      </c>
      <c r="G1437" s="2" t="s">
        <v>3</v>
      </c>
      <c r="H1437" s="2" t="s">
        <v>3</v>
      </c>
      <c r="I1437" s="2" t="s">
        <v>3</v>
      </c>
    </row>
    <row r="1438" spans="1:9" hidden="1" x14ac:dyDescent="0.3">
      <c r="A1438" t="s">
        <v>23</v>
      </c>
      <c r="B1438" s="1">
        <v>44835</v>
      </c>
      <c r="C1438" s="2" t="s">
        <v>3</v>
      </c>
      <c r="D1438" s="2" t="s">
        <v>3</v>
      </c>
      <c r="E1438" s="2">
        <v>3314</v>
      </c>
      <c r="F1438" s="2" t="s">
        <v>3</v>
      </c>
      <c r="G1438" s="2" t="s">
        <v>3</v>
      </c>
      <c r="H1438" s="2" t="s">
        <v>3</v>
      </c>
      <c r="I1438" s="2" t="s">
        <v>3</v>
      </c>
    </row>
    <row r="1439" spans="1:9" hidden="1" x14ac:dyDescent="0.3">
      <c r="A1439" t="s">
        <v>23</v>
      </c>
      <c r="B1439" s="1">
        <v>44805</v>
      </c>
      <c r="C1439" s="2" t="s">
        <v>3</v>
      </c>
      <c r="D1439" s="2" t="s">
        <v>3</v>
      </c>
      <c r="E1439" s="2">
        <v>3115</v>
      </c>
      <c r="F1439" s="2" t="s">
        <v>3</v>
      </c>
      <c r="G1439" s="2" t="s">
        <v>3</v>
      </c>
      <c r="H1439" s="2" t="s">
        <v>3</v>
      </c>
      <c r="I1439" s="2" t="s">
        <v>3</v>
      </c>
    </row>
    <row r="1440" spans="1:9" hidden="1" x14ac:dyDescent="0.3">
      <c r="A1440" t="s">
        <v>23</v>
      </c>
      <c r="B1440" s="1">
        <v>44774</v>
      </c>
      <c r="C1440" s="2" t="s">
        <v>3</v>
      </c>
      <c r="D1440" s="2" t="s">
        <v>3</v>
      </c>
      <c r="E1440" s="2">
        <v>3371</v>
      </c>
      <c r="F1440" s="2" t="s">
        <v>3</v>
      </c>
      <c r="G1440" s="2" t="s">
        <v>3</v>
      </c>
      <c r="H1440" s="2" t="s">
        <v>3</v>
      </c>
      <c r="I1440" s="2" t="s">
        <v>3</v>
      </c>
    </row>
    <row r="1441" spans="1:9" hidden="1" x14ac:dyDescent="0.3">
      <c r="A1441" t="s">
        <v>23</v>
      </c>
      <c r="B1441" s="1">
        <v>44743</v>
      </c>
      <c r="C1441" s="2" t="s">
        <v>3</v>
      </c>
      <c r="D1441" s="2" t="s">
        <v>3</v>
      </c>
      <c r="E1441" s="2">
        <v>3354</v>
      </c>
      <c r="F1441" s="2" t="s">
        <v>3</v>
      </c>
      <c r="G1441" s="2" t="s">
        <v>3</v>
      </c>
      <c r="H1441" s="2" t="s">
        <v>3</v>
      </c>
      <c r="I1441" s="2" t="s">
        <v>3</v>
      </c>
    </row>
    <row r="1442" spans="1:9" hidden="1" x14ac:dyDescent="0.3">
      <c r="A1442" t="s">
        <v>23</v>
      </c>
      <c r="B1442" s="1">
        <v>44713</v>
      </c>
      <c r="C1442" s="2" t="s">
        <v>3</v>
      </c>
      <c r="D1442" s="2" t="s">
        <v>3</v>
      </c>
      <c r="E1442" s="2">
        <v>3270</v>
      </c>
      <c r="F1442" s="2" t="s">
        <v>3</v>
      </c>
      <c r="G1442" s="2" t="s">
        <v>3</v>
      </c>
      <c r="H1442" s="2" t="s">
        <v>3</v>
      </c>
      <c r="I1442" s="2" t="s">
        <v>3</v>
      </c>
    </row>
    <row r="1443" spans="1:9" hidden="1" x14ac:dyDescent="0.3">
      <c r="A1443" t="s">
        <v>23</v>
      </c>
      <c r="B1443" s="1">
        <v>44682</v>
      </c>
      <c r="C1443" s="2" t="s">
        <v>3</v>
      </c>
      <c r="D1443" s="2" t="s">
        <v>3</v>
      </c>
      <c r="E1443" s="2">
        <v>3263</v>
      </c>
      <c r="F1443" s="2" t="s">
        <v>3</v>
      </c>
      <c r="G1443" s="2" t="s">
        <v>3</v>
      </c>
      <c r="H1443" s="2" t="s">
        <v>3</v>
      </c>
      <c r="I1443" s="2" t="s">
        <v>3</v>
      </c>
    </row>
    <row r="1444" spans="1:9" hidden="1" x14ac:dyDescent="0.3">
      <c r="A1444" t="s">
        <v>23</v>
      </c>
      <c r="B1444" s="1">
        <v>44652</v>
      </c>
      <c r="C1444" s="2" t="s">
        <v>3</v>
      </c>
      <c r="D1444" s="2" t="s">
        <v>3</v>
      </c>
      <c r="E1444" s="2">
        <v>3164</v>
      </c>
      <c r="F1444" s="2" t="s">
        <v>3</v>
      </c>
      <c r="G1444" s="2" t="s">
        <v>3</v>
      </c>
      <c r="H1444" s="2" t="s">
        <v>3</v>
      </c>
      <c r="I1444" s="2" t="s">
        <v>3</v>
      </c>
    </row>
    <row r="1445" spans="1:9" hidden="1" x14ac:dyDescent="0.3">
      <c r="A1445" t="s">
        <v>23</v>
      </c>
      <c r="B1445" s="1">
        <v>44621</v>
      </c>
      <c r="C1445" s="2" t="s">
        <v>3</v>
      </c>
      <c r="D1445" s="2" t="s">
        <v>3</v>
      </c>
      <c r="E1445" s="2">
        <v>3238</v>
      </c>
      <c r="F1445" s="2" t="s">
        <v>3</v>
      </c>
      <c r="G1445" s="2" t="s">
        <v>3</v>
      </c>
      <c r="H1445" s="2" t="s">
        <v>3</v>
      </c>
      <c r="I1445" s="2" t="s">
        <v>3</v>
      </c>
    </row>
    <row r="1446" spans="1:9" hidden="1" x14ac:dyDescent="0.3">
      <c r="A1446" t="s">
        <v>23</v>
      </c>
      <c r="B1446" s="1">
        <v>44593</v>
      </c>
      <c r="C1446" s="2" t="s">
        <v>3</v>
      </c>
      <c r="D1446" s="2" t="s">
        <v>3</v>
      </c>
      <c r="E1446" s="2">
        <v>2740</v>
      </c>
      <c r="F1446" s="2" t="s">
        <v>3</v>
      </c>
      <c r="G1446" s="2" t="s">
        <v>3</v>
      </c>
      <c r="H1446" s="2" t="s">
        <v>3</v>
      </c>
      <c r="I1446" s="2" t="s">
        <v>3</v>
      </c>
    </row>
    <row r="1447" spans="1:9" hidden="1" x14ac:dyDescent="0.3">
      <c r="A1447" t="s">
        <v>23</v>
      </c>
      <c r="B1447" s="1">
        <v>44562</v>
      </c>
      <c r="C1447" s="2" t="s">
        <v>3</v>
      </c>
      <c r="D1447" s="2" t="s">
        <v>3</v>
      </c>
      <c r="E1447" s="2">
        <v>2417</v>
      </c>
      <c r="F1447" s="2" t="s">
        <v>3</v>
      </c>
      <c r="G1447" s="2" t="s">
        <v>3</v>
      </c>
      <c r="H1447" s="2" t="s">
        <v>3</v>
      </c>
      <c r="I1447" s="2" t="s">
        <v>3</v>
      </c>
    </row>
    <row r="1448" spans="1:9" hidden="1" x14ac:dyDescent="0.3">
      <c r="A1448" t="s">
        <v>23</v>
      </c>
      <c r="B1448" s="1">
        <v>44531</v>
      </c>
      <c r="C1448" s="2" t="s">
        <v>3</v>
      </c>
      <c r="D1448" s="2" t="s">
        <v>3</v>
      </c>
      <c r="E1448" s="2">
        <v>2416</v>
      </c>
      <c r="F1448" s="2" t="s">
        <v>3</v>
      </c>
      <c r="G1448" s="2" t="s">
        <v>3</v>
      </c>
      <c r="H1448" s="2" t="s">
        <v>3</v>
      </c>
      <c r="I1448" s="2" t="s">
        <v>3</v>
      </c>
    </row>
    <row r="1449" spans="1:9" hidden="1" x14ac:dyDescent="0.3">
      <c r="A1449" t="s">
        <v>23</v>
      </c>
      <c r="B1449" s="1">
        <v>44501</v>
      </c>
      <c r="C1449" s="2" t="s">
        <v>3</v>
      </c>
      <c r="D1449" s="2" t="s">
        <v>3</v>
      </c>
      <c r="E1449" s="2">
        <v>2300</v>
      </c>
      <c r="F1449" s="2" t="s">
        <v>3</v>
      </c>
      <c r="G1449" s="2" t="s">
        <v>3</v>
      </c>
      <c r="H1449" s="2" t="s">
        <v>3</v>
      </c>
      <c r="I1449" s="2" t="s">
        <v>3</v>
      </c>
    </row>
    <row r="1450" spans="1:9" hidden="1" x14ac:dyDescent="0.3">
      <c r="A1450" t="s">
        <v>23</v>
      </c>
      <c r="B1450" s="1">
        <v>44470</v>
      </c>
      <c r="C1450" s="2" t="s">
        <v>3</v>
      </c>
      <c r="D1450" s="2" t="s">
        <v>3</v>
      </c>
      <c r="E1450" s="2">
        <v>2435</v>
      </c>
      <c r="F1450" s="2" t="s">
        <v>3</v>
      </c>
      <c r="G1450" s="2" t="s">
        <v>3</v>
      </c>
      <c r="H1450" s="2" t="s">
        <v>3</v>
      </c>
      <c r="I1450" s="2" t="s">
        <v>3</v>
      </c>
    </row>
    <row r="1451" spans="1:9" hidden="1" x14ac:dyDescent="0.3">
      <c r="A1451" t="s">
        <v>23</v>
      </c>
      <c r="B1451" s="1">
        <v>44440</v>
      </c>
      <c r="C1451" s="2" t="s">
        <v>3</v>
      </c>
      <c r="D1451" s="2" t="s">
        <v>3</v>
      </c>
      <c r="E1451" s="2">
        <v>2533</v>
      </c>
      <c r="F1451" s="2" t="s">
        <v>3</v>
      </c>
      <c r="G1451" s="2" t="s">
        <v>3</v>
      </c>
      <c r="H1451" s="2" t="s">
        <v>3</v>
      </c>
      <c r="I1451" s="2" t="s">
        <v>3</v>
      </c>
    </row>
    <row r="1452" spans="1:9" hidden="1" x14ac:dyDescent="0.3">
      <c r="A1452" t="s">
        <v>23</v>
      </c>
      <c r="B1452" s="1">
        <v>44409</v>
      </c>
      <c r="C1452" s="2" t="s">
        <v>3</v>
      </c>
      <c r="D1452" s="2" t="s">
        <v>3</v>
      </c>
      <c r="E1452" s="2">
        <v>2370</v>
      </c>
      <c r="F1452" s="2" t="s">
        <v>3</v>
      </c>
      <c r="G1452" s="2" t="s">
        <v>3</v>
      </c>
      <c r="H1452" s="2" t="s">
        <v>3</v>
      </c>
      <c r="I1452" s="2" t="s">
        <v>3</v>
      </c>
    </row>
    <row r="1453" spans="1:9" hidden="1" x14ac:dyDescent="0.3">
      <c r="A1453" t="s">
        <v>23</v>
      </c>
      <c r="B1453" s="1">
        <v>44378</v>
      </c>
      <c r="C1453" s="2" t="s">
        <v>3</v>
      </c>
      <c r="D1453" s="2" t="s">
        <v>3</v>
      </c>
      <c r="E1453" s="2">
        <v>2237</v>
      </c>
      <c r="F1453" s="2" t="s">
        <v>3</v>
      </c>
      <c r="G1453" s="2" t="s">
        <v>3</v>
      </c>
      <c r="H1453" s="2" t="s">
        <v>3</v>
      </c>
      <c r="I1453" s="2" t="s">
        <v>3</v>
      </c>
    </row>
    <row r="1454" spans="1:9" hidden="1" x14ac:dyDescent="0.3">
      <c r="A1454" t="s">
        <v>23</v>
      </c>
      <c r="B1454" s="1">
        <v>44348</v>
      </c>
      <c r="C1454" s="2" t="s">
        <v>3</v>
      </c>
      <c r="D1454" s="2" t="s">
        <v>3</v>
      </c>
      <c r="E1454" s="2">
        <v>2252</v>
      </c>
      <c r="F1454" s="2" t="s">
        <v>3</v>
      </c>
      <c r="G1454" s="2" t="s">
        <v>3</v>
      </c>
      <c r="H1454" s="2" t="s">
        <v>3</v>
      </c>
      <c r="I1454" s="2" t="s">
        <v>3</v>
      </c>
    </row>
    <row r="1455" spans="1:9" hidden="1" x14ac:dyDescent="0.3">
      <c r="A1455" t="s">
        <v>23</v>
      </c>
      <c r="B1455" s="1">
        <v>44317</v>
      </c>
      <c r="C1455" s="2" t="s">
        <v>3</v>
      </c>
      <c r="D1455" s="2" t="s">
        <v>3</v>
      </c>
      <c r="E1455" s="2">
        <v>2330</v>
      </c>
      <c r="F1455" s="2" t="s">
        <v>3</v>
      </c>
      <c r="G1455" s="2" t="s">
        <v>3</v>
      </c>
      <c r="H1455" s="2" t="s">
        <v>3</v>
      </c>
      <c r="I1455" s="2" t="s">
        <v>3</v>
      </c>
    </row>
    <row r="1456" spans="1:9" hidden="1" x14ac:dyDescent="0.3">
      <c r="A1456" t="s">
        <v>23</v>
      </c>
      <c r="B1456" s="1">
        <v>44287</v>
      </c>
      <c r="C1456" s="2" t="s">
        <v>3</v>
      </c>
      <c r="D1456" s="2" t="s">
        <v>3</v>
      </c>
      <c r="E1456" s="2">
        <v>2461</v>
      </c>
      <c r="F1456" s="2" t="s">
        <v>3</v>
      </c>
      <c r="G1456" s="2" t="s">
        <v>3</v>
      </c>
      <c r="H1456" s="2" t="s">
        <v>3</v>
      </c>
      <c r="I1456" s="2" t="s">
        <v>3</v>
      </c>
    </row>
    <row r="1457" spans="1:9" hidden="1" x14ac:dyDescent="0.3">
      <c r="A1457" t="s">
        <v>23</v>
      </c>
      <c r="B1457" s="1">
        <v>44256</v>
      </c>
      <c r="C1457" s="2" t="s">
        <v>3</v>
      </c>
      <c r="D1457" s="2" t="s">
        <v>3</v>
      </c>
      <c r="E1457" s="2">
        <v>2480</v>
      </c>
      <c r="F1457" s="2" t="s">
        <v>3</v>
      </c>
      <c r="G1457" s="2" t="s">
        <v>3</v>
      </c>
      <c r="H1457" s="2" t="s">
        <v>3</v>
      </c>
      <c r="I1457" s="2" t="s">
        <v>3</v>
      </c>
    </row>
    <row r="1458" spans="1:9" hidden="1" x14ac:dyDescent="0.3">
      <c r="A1458" t="s">
        <v>23</v>
      </c>
      <c r="B1458" s="1">
        <v>44228</v>
      </c>
      <c r="C1458" s="2" t="s">
        <v>3</v>
      </c>
      <c r="D1458" s="2" t="s">
        <v>3</v>
      </c>
      <c r="E1458" s="2">
        <v>2239</v>
      </c>
      <c r="F1458" s="2" t="s">
        <v>3</v>
      </c>
      <c r="G1458" s="2" t="s">
        <v>3</v>
      </c>
      <c r="H1458" s="2" t="s">
        <v>3</v>
      </c>
      <c r="I1458" s="2" t="s">
        <v>3</v>
      </c>
    </row>
    <row r="1459" spans="1:9" hidden="1" x14ac:dyDescent="0.3">
      <c r="A1459" t="s">
        <v>23</v>
      </c>
      <c r="B1459" s="1">
        <v>44197</v>
      </c>
      <c r="C1459" s="2" t="s">
        <v>3</v>
      </c>
      <c r="D1459" s="2" t="s">
        <v>3</v>
      </c>
      <c r="E1459" s="2">
        <v>2060</v>
      </c>
      <c r="F1459" s="2" t="s">
        <v>3</v>
      </c>
      <c r="G1459" s="2" t="s">
        <v>3</v>
      </c>
      <c r="H1459" s="2" t="s">
        <v>3</v>
      </c>
      <c r="I1459" s="2" t="s">
        <v>3</v>
      </c>
    </row>
    <row r="1460" spans="1:9" hidden="1" x14ac:dyDescent="0.3">
      <c r="A1460" t="s">
        <v>23</v>
      </c>
      <c r="B1460" s="1">
        <v>44166</v>
      </c>
      <c r="C1460" s="2" t="s">
        <v>3</v>
      </c>
      <c r="D1460" s="2" t="s">
        <v>3</v>
      </c>
      <c r="E1460" s="2">
        <v>2305</v>
      </c>
      <c r="F1460" s="2" t="s">
        <v>3</v>
      </c>
      <c r="G1460" s="2" t="s">
        <v>3</v>
      </c>
      <c r="H1460" s="2" t="s">
        <v>3</v>
      </c>
      <c r="I1460" s="2" t="s">
        <v>3</v>
      </c>
    </row>
    <row r="1461" spans="1:9" hidden="1" x14ac:dyDescent="0.3">
      <c r="A1461" t="s">
        <v>23</v>
      </c>
      <c r="B1461" s="1">
        <v>44136</v>
      </c>
      <c r="C1461" s="2" t="s">
        <v>3</v>
      </c>
      <c r="D1461" s="2" t="s">
        <v>3</v>
      </c>
      <c r="E1461" s="2">
        <v>2056</v>
      </c>
      <c r="F1461" s="2" t="s">
        <v>3</v>
      </c>
      <c r="G1461" s="2" t="s">
        <v>3</v>
      </c>
      <c r="H1461" s="2" t="s">
        <v>3</v>
      </c>
      <c r="I1461" s="2" t="s">
        <v>3</v>
      </c>
    </row>
    <row r="1462" spans="1:9" hidden="1" x14ac:dyDescent="0.3">
      <c r="A1462" t="s">
        <v>23</v>
      </c>
      <c r="B1462" s="1">
        <v>44105</v>
      </c>
      <c r="C1462" s="2" t="s">
        <v>3</v>
      </c>
      <c r="D1462" s="2" t="s">
        <v>3</v>
      </c>
      <c r="E1462" s="2">
        <v>1865</v>
      </c>
      <c r="F1462" s="2" t="s">
        <v>3</v>
      </c>
      <c r="G1462" s="2" t="s">
        <v>3</v>
      </c>
      <c r="H1462" s="2" t="s">
        <v>3</v>
      </c>
      <c r="I1462" s="2" t="s">
        <v>3</v>
      </c>
    </row>
    <row r="1463" spans="1:9" hidden="1" x14ac:dyDescent="0.3">
      <c r="A1463" t="s">
        <v>23</v>
      </c>
      <c r="B1463" s="1">
        <v>44075</v>
      </c>
      <c r="C1463" s="2" t="s">
        <v>3</v>
      </c>
      <c r="D1463" s="2" t="s">
        <v>3</v>
      </c>
      <c r="E1463" s="2">
        <v>1854</v>
      </c>
      <c r="F1463" s="2" t="s">
        <v>3</v>
      </c>
      <c r="G1463" s="2" t="s">
        <v>3</v>
      </c>
      <c r="H1463" s="2" t="s">
        <v>3</v>
      </c>
      <c r="I1463" s="2" t="s">
        <v>3</v>
      </c>
    </row>
    <row r="1464" spans="1:9" hidden="1" x14ac:dyDescent="0.3">
      <c r="A1464" t="s">
        <v>23</v>
      </c>
      <c r="B1464" s="1">
        <v>44044</v>
      </c>
      <c r="C1464" s="2" t="s">
        <v>3</v>
      </c>
      <c r="D1464" s="2" t="s">
        <v>3</v>
      </c>
      <c r="E1464" s="2">
        <v>1883</v>
      </c>
      <c r="F1464" s="2" t="s">
        <v>3</v>
      </c>
      <c r="G1464" s="2" t="s">
        <v>3</v>
      </c>
      <c r="H1464" s="2" t="s">
        <v>3</v>
      </c>
      <c r="I1464" s="2" t="s">
        <v>3</v>
      </c>
    </row>
    <row r="1465" spans="1:9" hidden="1" x14ac:dyDescent="0.3">
      <c r="A1465" t="s">
        <v>23</v>
      </c>
      <c r="B1465" s="1">
        <v>44013</v>
      </c>
      <c r="C1465" s="2" t="s">
        <v>3</v>
      </c>
      <c r="D1465" s="2" t="s">
        <v>3</v>
      </c>
      <c r="E1465" s="2">
        <v>1895</v>
      </c>
      <c r="F1465" s="2" t="s">
        <v>3</v>
      </c>
      <c r="G1465" s="2" t="s">
        <v>3</v>
      </c>
      <c r="H1465" s="2" t="s">
        <v>3</v>
      </c>
      <c r="I1465" s="2" t="s">
        <v>3</v>
      </c>
    </row>
    <row r="1466" spans="1:9" hidden="1" x14ac:dyDescent="0.3">
      <c r="A1466" t="s">
        <v>23</v>
      </c>
      <c r="B1466" s="1">
        <v>43983</v>
      </c>
      <c r="C1466" s="2" t="s">
        <v>3</v>
      </c>
      <c r="D1466" s="2" t="s">
        <v>3</v>
      </c>
      <c r="E1466" s="2">
        <v>1893</v>
      </c>
      <c r="F1466" s="2" t="s">
        <v>3</v>
      </c>
      <c r="G1466" s="2" t="s">
        <v>3</v>
      </c>
      <c r="H1466" s="2" t="s">
        <v>3</v>
      </c>
      <c r="I1466" s="2" t="s">
        <v>3</v>
      </c>
    </row>
    <row r="1467" spans="1:9" hidden="1" x14ac:dyDescent="0.3">
      <c r="A1467" t="s">
        <v>23</v>
      </c>
      <c r="B1467" s="1">
        <v>43952</v>
      </c>
      <c r="C1467" s="2" t="s">
        <v>3</v>
      </c>
      <c r="D1467" s="2" t="s">
        <v>3</v>
      </c>
      <c r="E1467" s="2">
        <v>1958</v>
      </c>
      <c r="F1467" s="2" t="s">
        <v>3</v>
      </c>
      <c r="G1467" s="2" t="s">
        <v>3</v>
      </c>
      <c r="H1467" s="2" t="s">
        <v>3</v>
      </c>
      <c r="I1467" s="2" t="s">
        <v>3</v>
      </c>
    </row>
    <row r="1468" spans="1:9" hidden="1" x14ac:dyDescent="0.3">
      <c r="A1468" t="s">
        <v>23</v>
      </c>
      <c r="B1468" s="1">
        <v>43922</v>
      </c>
      <c r="C1468" s="2" t="s">
        <v>3</v>
      </c>
      <c r="D1468" s="2" t="s">
        <v>3</v>
      </c>
      <c r="E1468" s="2">
        <v>2092</v>
      </c>
      <c r="F1468" s="2" t="s">
        <v>3</v>
      </c>
      <c r="G1468" s="2" t="s">
        <v>3</v>
      </c>
      <c r="H1468" s="2" t="s">
        <v>3</v>
      </c>
      <c r="I1468" s="2" t="s">
        <v>3</v>
      </c>
    </row>
    <row r="1469" spans="1:9" hidden="1" x14ac:dyDescent="0.3">
      <c r="A1469" t="s">
        <v>23</v>
      </c>
      <c r="B1469" s="1">
        <v>43891</v>
      </c>
      <c r="C1469" s="2" t="s">
        <v>3</v>
      </c>
      <c r="D1469" s="2" t="s">
        <v>3</v>
      </c>
      <c r="E1469" s="2">
        <v>1546</v>
      </c>
      <c r="F1469" s="2" t="s">
        <v>3</v>
      </c>
      <c r="G1469" s="2" t="s">
        <v>3</v>
      </c>
      <c r="H1469" s="2" t="s">
        <v>3</v>
      </c>
      <c r="I1469" s="2" t="s">
        <v>3</v>
      </c>
    </row>
    <row r="1470" spans="1:9" hidden="1" x14ac:dyDescent="0.3">
      <c r="A1470" t="s">
        <v>23</v>
      </c>
      <c r="B1470" s="1">
        <v>43862</v>
      </c>
      <c r="C1470" s="2" t="s">
        <v>3</v>
      </c>
      <c r="D1470" s="2" t="s">
        <v>3</v>
      </c>
      <c r="E1470" s="2">
        <v>1407</v>
      </c>
      <c r="F1470" s="2" t="s">
        <v>3</v>
      </c>
      <c r="G1470" s="2" t="s">
        <v>3</v>
      </c>
      <c r="H1470" s="2" t="s">
        <v>3</v>
      </c>
      <c r="I1470" s="2" t="s">
        <v>3</v>
      </c>
    </row>
    <row r="1471" spans="1:9" hidden="1" x14ac:dyDescent="0.3">
      <c r="A1471" t="s">
        <v>23</v>
      </c>
      <c r="B1471" s="1">
        <v>43831</v>
      </c>
      <c r="C1471" s="2" t="s">
        <v>3</v>
      </c>
      <c r="D1471" s="2" t="s">
        <v>3</v>
      </c>
      <c r="E1471" s="2">
        <v>1388</v>
      </c>
      <c r="F1471" s="2" t="s">
        <v>3</v>
      </c>
      <c r="G1471" s="2" t="s">
        <v>3</v>
      </c>
      <c r="H1471" s="2" t="s">
        <v>3</v>
      </c>
      <c r="I1471" s="2" t="s">
        <v>3</v>
      </c>
    </row>
    <row r="1472" spans="1:9" x14ac:dyDescent="0.3">
      <c r="A1472" t="s">
        <v>24</v>
      </c>
      <c r="B1472" s="1">
        <v>45931</v>
      </c>
      <c r="C1472" s="2" t="s">
        <v>3</v>
      </c>
      <c r="D1472" s="2" t="s">
        <v>3</v>
      </c>
      <c r="E1472" s="2">
        <v>2320</v>
      </c>
      <c r="F1472" s="2">
        <v>-173</v>
      </c>
      <c r="G1472" s="2">
        <v>3</v>
      </c>
      <c r="H1472" s="2" t="s">
        <v>3</v>
      </c>
      <c r="I1472" s="2" t="s">
        <v>3</v>
      </c>
    </row>
    <row r="1473" spans="1:9" x14ac:dyDescent="0.3">
      <c r="A1473" t="s">
        <v>24</v>
      </c>
      <c r="B1473" s="1">
        <v>45901</v>
      </c>
      <c r="C1473" s="2" t="s">
        <v>3</v>
      </c>
      <c r="D1473" s="2" t="s">
        <v>3</v>
      </c>
      <c r="E1473" s="2">
        <v>2490</v>
      </c>
      <c r="F1473" s="2">
        <v>20</v>
      </c>
      <c r="G1473" s="2">
        <v>1</v>
      </c>
      <c r="H1473" s="2" t="s">
        <v>3</v>
      </c>
      <c r="I1473" s="2" t="s">
        <v>3</v>
      </c>
    </row>
    <row r="1474" spans="1:9" x14ac:dyDescent="0.3">
      <c r="A1474" t="s">
        <v>24</v>
      </c>
      <c r="B1474" s="1">
        <v>45870</v>
      </c>
      <c r="C1474" s="2" t="s">
        <v>3</v>
      </c>
      <c r="D1474" s="2" t="s">
        <v>3</v>
      </c>
      <c r="E1474" s="2">
        <v>2469</v>
      </c>
      <c r="F1474" s="2">
        <v>0</v>
      </c>
      <c r="G1474" s="2">
        <v>12</v>
      </c>
      <c r="H1474" s="2" t="s">
        <v>3</v>
      </c>
      <c r="I1474" s="2" t="s">
        <v>3</v>
      </c>
    </row>
    <row r="1475" spans="1:9" x14ac:dyDescent="0.3">
      <c r="A1475" t="s">
        <v>24</v>
      </c>
      <c r="B1475" s="1">
        <v>45839</v>
      </c>
      <c r="C1475" s="2" t="s">
        <v>3</v>
      </c>
      <c r="D1475" s="2" t="s">
        <v>3</v>
      </c>
      <c r="E1475" s="2">
        <v>2457</v>
      </c>
      <c r="F1475" s="2">
        <v>204</v>
      </c>
      <c r="G1475" s="2">
        <v>-7</v>
      </c>
      <c r="H1475" s="2" t="s">
        <v>3</v>
      </c>
      <c r="I1475" s="2" t="s">
        <v>3</v>
      </c>
    </row>
    <row r="1476" spans="1:9" x14ac:dyDescent="0.3">
      <c r="A1476" t="s">
        <v>24</v>
      </c>
      <c r="B1476" s="1">
        <v>45809</v>
      </c>
      <c r="C1476" s="2" t="s">
        <v>3</v>
      </c>
      <c r="D1476" s="2" t="s">
        <v>3</v>
      </c>
      <c r="E1476" s="2">
        <v>2260</v>
      </c>
      <c r="F1476" s="2">
        <v>30</v>
      </c>
      <c r="G1476" s="2">
        <v>6</v>
      </c>
      <c r="H1476" s="2" t="s">
        <v>3</v>
      </c>
      <c r="I1476" s="2" t="s">
        <v>3</v>
      </c>
    </row>
    <row r="1477" spans="1:9" x14ac:dyDescent="0.3">
      <c r="A1477" t="s">
        <v>24</v>
      </c>
      <c r="B1477" s="1">
        <v>45778</v>
      </c>
      <c r="C1477" s="2" t="s">
        <v>3</v>
      </c>
      <c r="D1477" s="2" t="s">
        <v>3</v>
      </c>
      <c r="E1477" s="2">
        <v>2224</v>
      </c>
      <c r="F1477" s="2">
        <v>-277</v>
      </c>
      <c r="G1477" s="2">
        <v>-7</v>
      </c>
      <c r="H1477" s="2" t="s">
        <v>3</v>
      </c>
      <c r="I1477" s="2" t="s">
        <v>3</v>
      </c>
    </row>
    <row r="1478" spans="1:9" x14ac:dyDescent="0.3">
      <c r="A1478" t="s">
        <v>24</v>
      </c>
      <c r="B1478" s="1">
        <v>45748</v>
      </c>
      <c r="C1478" s="2" t="s">
        <v>3</v>
      </c>
      <c r="D1478" s="2" t="s">
        <v>3</v>
      </c>
      <c r="E1478" s="2">
        <v>2507</v>
      </c>
      <c r="F1478" s="2">
        <v>-184</v>
      </c>
      <c r="G1478" s="2">
        <v>13</v>
      </c>
      <c r="H1478" s="2" t="s">
        <v>3</v>
      </c>
      <c r="I1478" s="2" t="s">
        <v>3</v>
      </c>
    </row>
    <row r="1479" spans="1:9" x14ac:dyDescent="0.3">
      <c r="A1479" t="s">
        <v>24</v>
      </c>
      <c r="B1479" s="1">
        <v>45717</v>
      </c>
      <c r="C1479" s="2" t="s">
        <v>3</v>
      </c>
      <c r="D1479" s="2" t="s">
        <v>3</v>
      </c>
      <c r="E1479" s="2">
        <v>2678</v>
      </c>
      <c r="F1479" s="2">
        <v>-52</v>
      </c>
      <c r="G1479" s="2">
        <v>4</v>
      </c>
      <c r="H1479" s="2" t="s">
        <v>3</v>
      </c>
      <c r="I1479" s="2" t="s">
        <v>3</v>
      </c>
    </row>
    <row r="1480" spans="1:9" x14ac:dyDescent="0.3">
      <c r="A1480" t="s">
        <v>24</v>
      </c>
      <c r="B1480" s="1">
        <v>45689</v>
      </c>
      <c r="C1480" s="2" t="s">
        <v>3</v>
      </c>
      <c r="D1480" s="2" t="s">
        <v>3</v>
      </c>
      <c r="E1480" s="2">
        <v>2725</v>
      </c>
      <c r="F1480" s="2">
        <v>-71</v>
      </c>
      <c r="G1480" s="2">
        <v>10</v>
      </c>
      <c r="H1480" s="2" t="s">
        <v>3</v>
      </c>
      <c r="I1480" s="2" t="s">
        <v>3</v>
      </c>
    </row>
    <row r="1481" spans="1:9" x14ac:dyDescent="0.3">
      <c r="A1481" t="s">
        <v>24</v>
      </c>
      <c r="B1481" s="1">
        <v>45658</v>
      </c>
      <c r="C1481" s="2" t="s">
        <v>3</v>
      </c>
      <c r="D1481" s="2" t="s">
        <v>3</v>
      </c>
      <c r="E1481" s="2">
        <v>2786</v>
      </c>
      <c r="F1481" s="2">
        <v>20</v>
      </c>
      <c r="G1481" s="2">
        <v>3</v>
      </c>
      <c r="H1481" s="2" t="s">
        <v>3</v>
      </c>
      <c r="I1481" s="2" t="s">
        <v>3</v>
      </c>
    </row>
    <row r="1482" spans="1:9" x14ac:dyDescent="0.3">
      <c r="A1482" t="s">
        <v>24</v>
      </c>
      <c r="B1482" s="1">
        <v>45627</v>
      </c>
      <c r="C1482" s="2" t="s">
        <v>3</v>
      </c>
      <c r="D1482" s="2" t="s">
        <v>3</v>
      </c>
      <c r="E1482" s="2">
        <v>2764</v>
      </c>
      <c r="F1482" s="2">
        <v>106</v>
      </c>
      <c r="G1482" s="2">
        <v>5</v>
      </c>
      <c r="H1482" s="2" t="s">
        <v>3</v>
      </c>
      <c r="I1482" s="2" t="s">
        <v>3</v>
      </c>
    </row>
    <row r="1483" spans="1:9" x14ac:dyDescent="0.3">
      <c r="A1483" t="s">
        <v>24</v>
      </c>
      <c r="B1483" s="1">
        <v>45597</v>
      </c>
      <c r="C1483" s="2" t="s">
        <v>3</v>
      </c>
      <c r="D1483" s="2" t="s">
        <v>3</v>
      </c>
      <c r="E1483" s="2">
        <v>2653</v>
      </c>
      <c r="F1483" s="2">
        <v>96</v>
      </c>
      <c r="G1483" s="2">
        <v>1</v>
      </c>
      <c r="H1483" s="2" t="s">
        <v>3</v>
      </c>
      <c r="I1483" s="2" t="s">
        <v>3</v>
      </c>
    </row>
    <row r="1484" spans="1:9" x14ac:dyDescent="0.3">
      <c r="A1484" t="s">
        <v>24</v>
      </c>
      <c r="B1484" s="1">
        <v>45566</v>
      </c>
      <c r="C1484" s="2" t="s">
        <v>3</v>
      </c>
      <c r="D1484" s="2" t="s">
        <v>3</v>
      </c>
      <c r="E1484" s="2">
        <v>2556</v>
      </c>
      <c r="F1484" s="2">
        <v>264</v>
      </c>
      <c r="G1484" s="2">
        <v>-15</v>
      </c>
      <c r="H1484" s="2" t="s">
        <v>3</v>
      </c>
      <c r="I1484" s="2" t="s">
        <v>3</v>
      </c>
    </row>
    <row r="1485" spans="1:9" x14ac:dyDescent="0.3">
      <c r="A1485" t="s">
        <v>24</v>
      </c>
      <c r="B1485" s="1">
        <v>45536</v>
      </c>
      <c r="C1485" s="2" t="s">
        <v>3</v>
      </c>
      <c r="D1485" s="2" t="s">
        <v>3</v>
      </c>
      <c r="E1485" s="2">
        <v>2307</v>
      </c>
      <c r="F1485" s="2">
        <v>-90</v>
      </c>
      <c r="G1485" s="2">
        <v>10</v>
      </c>
      <c r="H1485" s="2" t="s">
        <v>3</v>
      </c>
      <c r="I1485" s="2" t="s">
        <v>3</v>
      </c>
    </row>
    <row r="1486" spans="1:9" x14ac:dyDescent="0.3">
      <c r="A1486" t="s">
        <v>24</v>
      </c>
      <c r="B1486" s="1">
        <v>45505</v>
      </c>
      <c r="C1486" s="2" t="s">
        <v>3</v>
      </c>
      <c r="D1486" s="2" t="s">
        <v>3</v>
      </c>
      <c r="E1486" s="2">
        <v>2387</v>
      </c>
      <c r="F1486" s="2">
        <v>100</v>
      </c>
      <c r="G1486" s="2">
        <v>11</v>
      </c>
      <c r="H1486" s="2" t="s">
        <v>3</v>
      </c>
      <c r="I1486" s="2" t="s">
        <v>3</v>
      </c>
    </row>
    <row r="1487" spans="1:9" x14ac:dyDescent="0.3">
      <c r="A1487" t="s">
        <v>24</v>
      </c>
      <c r="B1487" s="1">
        <v>45474</v>
      </c>
      <c r="C1487" s="2" t="s">
        <v>3</v>
      </c>
      <c r="D1487" s="2" t="s">
        <v>3</v>
      </c>
      <c r="E1487" s="2">
        <v>2276</v>
      </c>
      <c r="F1487" s="2">
        <v>-139</v>
      </c>
      <c r="G1487" s="2">
        <v>15</v>
      </c>
      <c r="H1487" s="2" t="s">
        <v>3</v>
      </c>
      <c r="I1487" s="2" t="s">
        <v>3</v>
      </c>
    </row>
    <row r="1488" spans="1:9" x14ac:dyDescent="0.3">
      <c r="A1488" t="s">
        <v>24</v>
      </c>
      <c r="B1488" s="1">
        <v>45444</v>
      </c>
      <c r="C1488" s="2" t="s">
        <v>3</v>
      </c>
      <c r="D1488" s="2" t="s">
        <v>3</v>
      </c>
      <c r="E1488" s="2">
        <v>2400</v>
      </c>
      <c r="F1488" s="2">
        <v>0</v>
      </c>
      <c r="G1488" s="2">
        <v>5</v>
      </c>
      <c r="H1488" s="2" t="s">
        <v>3</v>
      </c>
      <c r="I1488" s="2" t="s">
        <v>3</v>
      </c>
    </row>
    <row r="1489" spans="1:9" x14ac:dyDescent="0.3">
      <c r="A1489" t="s">
        <v>24</v>
      </c>
      <c r="B1489" s="1">
        <v>45413</v>
      </c>
      <c r="C1489" s="2" t="s">
        <v>3</v>
      </c>
      <c r="D1489" s="2" t="s">
        <v>3</v>
      </c>
      <c r="E1489" s="2">
        <v>2395</v>
      </c>
      <c r="F1489" s="2">
        <v>0</v>
      </c>
      <c r="G1489" s="2">
        <v>8</v>
      </c>
      <c r="H1489" s="2" t="s">
        <v>3</v>
      </c>
      <c r="I1489" s="2" t="s">
        <v>3</v>
      </c>
    </row>
    <row r="1490" spans="1:9" x14ac:dyDescent="0.3">
      <c r="A1490" t="s">
        <v>24</v>
      </c>
      <c r="B1490" s="1">
        <v>45383</v>
      </c>
      <c r="C1490" s="2" t="s">
        <v>3</v>
      </c>
      <c r="D1490" s="2" t="s">
        <v>3</v>
      </c>
      <c r="E1490" s="2">
        <v>2387</v>
      </c>
      <c r="F1490" s="2">
        <v>346</v>
      </c>
      <c r="G1490" s="2">
        <v>-10</v>
      </c>
      <c r="H1490" s="2" t="s">
        <v>3</v>
      </c>
      <c r="I1490" s="2" t="s">
        <v>3</v>
      </c>
    </row>
    <row r="1491" spans="1:9" x14ac:dyDescent="0.3">
      <c r="A1491" t="s">
        <v>24</v>
      </c>
      <c r="B1491" s="1">
        <v>45352</v>
      </c>
      <c r="C1491" s="2" t="s">
        <v>3</v>
      </c>
      <c r="D1491" s="2" t="s">
        <v>3</v>
      </c>
      <c r="E1491" s="2">
        <v>2051</v>
      </c>
      <c r="F1491" s="2">
        <v>1</v>
      </c>
      <c r="G1491" s="2">
        <v>11</v>
      </c>
      <c r="H1491" s="2" t="s">
        <v>3</v>
      </c>
      <c r="I1491" s="2" t="s">
        <v>3</v>
      </c>
    </row>
    <row r="1492" spans="1:9" x14ac:dyDescent="0.3">
      <c r="A1492" t="s">
        <v>24</v>
      </c>
      <c r="B1492" s="1">
        <v>45323</v>
      </c>
      <c r="C1492" s="2" t="s">
        <v>3</v>
      </c>
      <c r="D1492" s="2" t="s">
        <v>3</v>
      </c>
      <c r="E1492" s="2">
        <v>2039</v>
      </c>
      <c r="F1492" s="2">
        <v>139</v>
      </c>
      <c r="G1492" s="2">
        <v>-9</v>
      </c>
      <c r="H1492" s="2" t="s">
        <v>3</v>
      </c>
      <c r="I1492" s="2" t="s">
        <v>3</v>
      </c>
    </row>
    <row r="1493" spans="1:9" x14ac:dyDescent="0.3">
      <c r="A1493" t="s">
        <v>24</v>
      </c>
      <c r="B1493" s="1">
        <v>45292</v>
      </c>
      <c r="C1493" s="2" t="s">
        <v>3</v>
      </c>
      <c r="D1493" s="2" t="s">
        <v>3</v>
      </c>
      <c r="E1493" s="2">
        <v>1909</v>
      </c>
      <c r="F1493" s="2">
        <v>-21</v>
      </c>
      <c r="G1493" s="2">
        <v>13</v>
      </c>
      <c r="H1493" s="2" t="s">
        <v>3</v>
      </c>
      <c r="I1493" s="2" t="s">
        <v>3</v>
      </c>
    </row>
    <row r="1494" spans="1:9" x14ac:dyDescent="0.3">
      <c r="A1494" t="s">
        <v>24</v>
      </c>
      <c r="B1494" s="1">
        <v>45261</v>
      </c>
      <c r="C1494" s="2" t="s">
        <v>3</v>
      </c>
      <c r="D1494" s="2" t="s">
        <v>3</v>
      </c>
      <c r="E1494" s="2">
        <v>1917</v>
      </c>
      <c r="F1494" s="2">
        <v>-86</v>
      </c>
      <c r="G1494" s="2">
        <v>25</v>
      </c>
      <c r="H1494" s="2" t="s">
        <v>3</v>
      </c>
      <c r="I1494" s="2" t="s">
        <v>3</v>
      </c>
    </row>
    <row r="1495" spans="1:9" x14ac:dyDescent="0.3">
      <c r="A1495" t="s">
        <v>24</v>
      </c>
      <c r="B1495" s="1">
        <v>45231</v>
      </c>
      <c r="C1495" s="2" t="s">
        <v>3</v>
      </c>
      <c r="D1495" s="2" t="s">
        <v>3</v>
      </c>
      <c r="E1495" s="2">
        <v>1978</v>
      </c>
      <c r="F1495" s="2">
        <v>-165</v>
      </c>
      <c r="G1495" s="2">
        <v>20</v>
      </c>
      <c r="H1495" s="2" t="s">
        <v>3</v>
      </c>
      <c r="I1495" s="2" t="s">
        <v>3</v>
      </c>
    </row>
    <row r="1496" spans="1:9" x14ac:dyDescent="0.3">
      <c r="A1496" t="s">
        <v>24</v>
      </c>
      <c r="B1496" s="1">
        <v>45200</v>
      </c>
      <c r="C1496" s="2" t="s">
        <v>3</v>
      </c>
      <c r="D1496" s="2" t="s">
        <v>3</v>
      </c>
      <c r="E1496" s="2">
        <v>2123</v>
      </c>
      <c r="F1496" s="2">
        <v>-105</v>
      </c>
      <c r="G1496" s="2">
        <v>-15</v>
      </c>
      <c r="H1496" s="2" t="s">
        <v>3</v>
      </c>
      <c r="I1496" s="2" t="s">
        <v>3</v>
      </c>
    </row>
    <row r="1497" spans="1:9" x14ac:dyDescent="0.3">
      <c r="A1497" t="s">
        <v>24</v>
      </c>
      <c r="B1497" s="1">
        <v>45170</v>
      </c>
      <c r="C1497" s="2" t="s">
        <v>3</v>
      </c>
      <c r="D1497" s="2" t="s">
        <v>3</v>
      </c>
      <c r="E1497" s="2">
        <v>2243</v>
      </c>
      <c r="F1497" s="2">
        <v>72</v>
      </c>
      <c r="G1497" s="2">
        <v>-6</v>
      </c>
      <c r="H1497" s="2" t="s">
        <v>3</v>
      </c>
      <c r="I1497" s="2" t="s">
        <v>3</v>
      </c>
    </row>
    <row r="1498" spans="1:9" x14ac:dyDescent="0.3">
      <c r="A1498" t="s">
        <v>24</v>
      </c>
      <c r="B1498" s="1">
        <v>45139</v>
      </c>
      <c r="C1498" s="2" t="s">
        <v>3</v>
      </c>
      <c r="D1498" s="2" t="s">
        <v>3</v>
      </c>
      <c r="E1498" s="2">
        <v>2177</v>
      </c>
      <c r="F1498" s="2">
        <v>267</v>
      </c>
      <c r="G1498" s="2">
        <v>2</v>
      </c>
      <c r="H1498" s="2" t="s">
        <v>3</v>
      </c>
      <c r="I1498" s="2" t="s">
        <v>3</v>
      </c>
    </row>
    <row r="1499" spans="1:9" x14ac:dyDescent="0.3">
      <c r="A1499" t="s">
        <v>24</v>
      </c>
      <c r="B1499" s="1">
        <v>45108</v>
      </c>
      <c r="C1499" s="2" t="s">
        <v>3</v>
      </c>
      <c r="D1499" s="2" t="s">
        <v>3</v>
      </c>
      <c r="E1499" s="2">
        <v>1908</v>
      </c>
      <c r="F1499" s="2">
        <v>85</v>
      </c>
      <c r="G1499" s="2">
        <v>3</v>
      </c>
      <c r="H1499" s="2" t="s">
        <v>3</v>
      </c>
      <c r="I1499" s="2" t="s">
        <v>3</v>
      </c>
    </row>
    <row r="1500" spans="1:9" x14ac:dyDescent="0.3">
      <c r="A1500" t="s">
        <v>24</v>
      </c>
      <c r="B1500" s="1">
        <v>45078</v>
      </c>
      <c r="C1500" s="2" t="s">
        <v>3</v>
      </c>
      <c r="D1500" s="2" t="s">
        <v>3</v>
      </c>
      <c r="E1500" s="2">
        <v>1820</v>
      </c>
      <c r="F1500" s="2">
        <v>301</v>
      </c>
      <c r="G1500" s="2">
        <v>-14</v>
      </c>
      <c r="H1500" s="2" t="s">
        <v>3</v>
      </c>
      <c r="I1500" s="2" t="s">
        <v>3</v>
      </c>
    </row>
    <row r="1501" spans="1:9" x14ac:dyDescent="0.3">
      <c r="A1501" t="s">
        <v>24</v>
      </c>
      <c r="B1501" s="1">
        <v>45047</v>
      </c>
      <c r="C1501" s="2" t="s">
        <v>3</v>
      </c>
      <c r="D1501" s="2" t="s">
        <v>3</v>
      </c>
      <c r="E1501" s="2">
        <v>1533</v>
      </c>
      <c r="F1501" s="2">
        <v>89</v>
      </c>
      <c r="G1501" s="2">
        <v>-5</v>
      </c>
      <c r="H1501" s="2" t="s">
        <v>3</v>
      </c>
      <c r="I1501" s="2" t="s">
        <v>3</v>
      </c>
    </row>
    <row r="1502" spans="1:9" x14ac:dyDescent="0.3">
      <c r="A1502" t="s">
        <v>24</v>
      </c>
      <c r="B1502" s="1">
        <v>45017</v>
      </c>
      <c r="C1502" s="2" t="s">
        <v>3</v>
      </c>
      <c r="D1502" s="2" t="s">
        <v>3</v>
      </c>
      <c r="E1502" s="2">
        <v>1449</v>
      </c>
      <c r="F1502" s="2">
        <v>39</v>
      </c>
      <c r="G1502" s="2">
        <v>3</v>
      </c>
      <c r="H1502" s="2" t="s">
        <v>3</v>
      </c>
      <c r="I1502" s="2" t="s">
        <v>3</v>
      </c>
    </row>
    <row r="1503" spans="1:9" x14ac:dyDescent="0.3">
      <c r="A1503" t="s">
        <v>24</v>
      </c>
      <c r="B1503" s="1">
        <v>44986</v>
      </c>
      <c r="C1503" s="2" t="s">
        <v>3</v>
      </c>
      <c r="D1503" s="2" t="s">
        <v>3</v>
      </c>
      <c r="E1503" s="2">
        <v>1407</v>
      </c>
      <c r="F1503" s="2">
        <v>-134</v>
      </c>
      <c r="G1503" s="2">
        <v>17</v>
      </c>
      <c r="H1503" s="2" t="s">
        <v>3</v>
      </c>
      <c r="I1503" s="2" t="s">
        <v>3</v>
      </c>
    </row>
    <row r="1504" spans="1:9" x14ac:dyDescent="0.3">
      <c r="A1504" t="s">
        <v>24</v>
      </c>
      <c r="B1504" s="1">
        <v>44958</v>
      </c>
      <c r="C1504" s="2" t="s">
        <v>3</v>
      </c>
      <c r="D1504" s="2" t="s">
        <v>3</v>
      </c>
      <c r="E1504" s="2">
        <v>1522</v>
      </c>
      <c r="F1504" s="2">
        <v>50</v>
      </c>
      <c r="G1504" s="2">
        <v>-12</v>
      </c>
      <c r="H1504" s="2" t="s">
        <v>3</v>
      </c>
      <c r="I1504" s="2" t="s">
        <v>3</v>
      </c>
    </row>
    <row r="1505" spans="1:9" hidden="1" x14ac:dyDescent="0.3">
      <c r="A1505" t="s">
        <v>24</v>
      </c>
      <c r="B1505" s="1">
        <v>44927</v>
      </c>
      <c r="C1505" s="2" t="s">
        <v>3</v>
      </c>
      <c r="D1505" s="2" t="s">
        <v>3</v>
      </c>
      <c r="E1505" s="2">
        <v>1484</v>
      </c>
      <c r="F1505" s="2" t="s">
        <v>3</v>
      </c>
      <c r="G1505" s="2" t="s">
        <v>3</v>
      </c>
      <c r="H1505" s="2" t="s">
        <v>3</v>
      </c>
      <c r="I1505" s="2" t="s">
        <v>3</v>
      </c>
    </row>
    <row r="1506" spans="1:9" hidden="1" x14ac:dyDescent="0.3">
      <c r="A1506" t="s">
        <v>24</v>
      </c>
      <c r="B1506" s="1">
        <v>44896</v>
      </c>
      <c r="C1506" s="2" t="s">
        <v>3</v>
      </c>
      <c r="D1506" s="2" t="s">
        <v>3</v>
      </c>
      <c r="E1506" s="2">
        <v>1384</v>
      </c>
      <c r="F1506" s="2" t="s">
        <v>3</v>
      </c>
      <c r="G1506" s="2" t="s">
        <v>3</v>
      </c>
      <c r="H1506" s="2" t="s">
        <v>3</v>
      </c>
      <c r="I1506" s="2" t="s">
        <v>3</v>
      </c>
    </row>
    <row r="1507" spans="1:9" hidden="1" x14ac:dyDescent="0.3">
      <c r="A1507" t="s">
        <v>24</v>
      </c>
      <c r="B1507" s="1">
        <v>44866</v>
      </c>
      <c r="C1507" s="2" t="s">
        <v>3</v>
      </c>
      <c r="D1507" s="2" t="s">
        <v>3</v>
      </c>
      <c r="E1507" s="2">
        <v>1243</v>
      </c>
      <c r="F1507" s="2" t="s">
        <v>3</v>
      </c>
      <c r="G1507" s="2" t="s">
        <v>3</v>
      </c>
      <c r="H1507" s="2" t="s">
        <v>3</v>
      </c>
      <c r="I1507" s="2" t="s">
        <v>3</v>
      </c>
    </row>
    <row r="1508" spans="1:9" hidden="1" x14ac:dyDescent="0.3">
      <c r="A1508" t="s">
        <v>24</v>
      </c>
      <c r="B1508" s="1">
        <v>44835</v>
      </c>
      <c r="C1508" s="2" t="s">
        <v>3</v>
      </c>
      <c r="D1508" s="2" t="s">
        <v>3</v>
      </c>
      <c r="E1508" s="2">
        <v>1197</v>
      </c>
      <c r="F1508" s="2" t="s">
        <v>3</v>
      </c>
      <c r="G1508" s="2" t="s">
        <v>3</v>
      </c>
      <c r="H1508" s="2" t="s">
        <v>3</v>
      </c>
      <c r="I1508" s="2" t="s">
        <v>3</v>
      </c>
    </row>
    <row r="1509" spans="1:9" hidden="1" x14ac:dyDescent="0.3">
      <c r="A1509" t="s">
        <v>24</v>
      </c>
      <c r="B1509" s="1">
        <v>44805</v>
      </c>
      <c r="C1509" s="2" t="s">
        <v>3</v>
      </c>
      <c r="D1509" s="2" t="s">
        <v>3</v>
      </c>
      <c r="E1509" s="2">
        <v>1179</v>
      </c>
      <c r="F1509" s="2" t="s">
        <v>3</v>
      </c>
      <c r="G1509" s="2" t="s">
        <v>3</v>
      </c>
      <c r="H1509" s="2" t="s">
        <v>3</v>
      </c>
      <c r="I1509" s="2" t="s">
        <v>3</v>
      </c>
    </row>
    <row r="1510" spans="1:9" hidden="1" x14ac:dyDescent="0.3">
      <c r="A1510" t="s">
        <v>24</v>
      </c>
      <c r="B1510" s="1">
        <v>44774</v>
      </c>
      <c r="C1510" s="2" t="s">
        <v>3</v>
      </c>
      <c r="D1510" s="2" t="s">
        <v>3</v>
      </c>
      <c r="E1510" s="2">
        <v>1073</v>
      </c>
      <c r="F1510" s="2" t="s">
        <v>3</v>
      </c>
      <c r="G1510" s="2" t="s">
        <v>3</v>
      </c>
      <c r="H1510" s="2" t="s">
        <v>3</v>
      </c>
      <c r="I1510" s="2" t="s">
        <v>3</v>
      </c>
    </row>
    <row r="1511" spans="1:9" hidden="1" x14ac:dyDescent="0.3">
      <c r="A1511" t="s">
        <v>24</v>
      </c>
      <c r="B1511" s="1">
        <v>44743</v>
      </c>
      <c r="C1511" s="2" t="s">
        <v>3</v>
      </c>
      <c r="D1511" s="2" t="s">
        <v>3</v>
      </c>
      <c r="E1511" s="2">
        <v>968</v>
      </c>
      <c r="F1511" s="2" t="s">
        <v>3</v>
      </c>
      <c r="G1511" s="2" t="s">
        <v>3</v>
      </c>
      <c r="H1511" s="2" t="s">
        <v>3</v>
      </c>
      <c r="I1511" s="2" t="s">
        <v>3</v>
      </c>
    </row>
    <row r="1512" spans="1:9" hidden="1" x14ac:dyDescent="0.3">
      <c r="A1512" t="s">
        <v>24</v>
      </c>
      <c r="B1512" s="1">
        <v>44713</v>
      </c>
      <c r="C1512" s="2" t="s">
        <v>3</v>
      </c>
      <c r="D1512" s="2" t="s">
        <v>3</v>
      </c>
      <c r="E1512" s="2">
        <v>948</v>
      </c>
      <c r="F1512" s="2" t="s">
        <v>3</v>
      </c>
      <c r="G1512" s="2" t="s">
        <v>3</v>
      </c>
      <c r="H1512" s="2" t="s">
        <v>3</v>
      </c>
      <c r="I1512" s="2" t="s">
        <v>3</v>
      </c>
    </row>
    <row r="1513" spans="1:9" hidden="1" x14ac:dyDescent="0.3">
      <c r="A1513" t="s">
        <v>24</v>
      </c>
      <c r="B1513" s="1">
        <v>44682</v>
      </c>
      <c r="C1513" s="2" t="s">
        <v>3</v>
      </c>
      <c r="D1513" s="2" t="s">
        <v>3</v>
      </c>
      <c r="E1513" s="2">
        <v>1146</v>
      </c>
      <c r="F1513" s="2" t="s">
        <v>3</v>
      </c>
      <c r="G1513" s="2" t="s">
        <v>3</v>
      </c>
      <c r="H1513" s="2" t="s">
        <v>3</v>
      </c>
      <c r="I1513" s="2" t="s">
        <v>3</v>
      </c>
    </row>
    <row r="1514" spans="1:9" hidden="1" x14ac:dyDescent="0.3">
      <c r="A1514" t="s">
        <v>24</v>
      </c>
      <c r="B1514" s="1">
        <v>44652</v>
      </c>
      <c r="C1514" s="2" t="s">
        <v>3</v>
      </c>
      <c r="D1514" s="2" t="s">
        <v>3</v>
      </c>
      <c r="E1514" s="2">
        <v>1169</v>
      </c>
      <c r="F1514" s="2" t="s">
        <v>3</v>
      </c>
      <c r="G1514" s="2" t="s">
        <v>3</v>
      </c>
      <c r="H1514" s="2" t="s">
        <v>3</v>
      </c>
      <c r="I1514" s="2" t="s">
        <v>3</v>
      </c>
    </row>
    <row r="1515" spans="1:9" hidden="1" x14ac:dyDescent="0.3">
      <c r="A1515" t="s">
        <v>24</v>
      </c>
      <c r="B1515" s="1">
        <v>44621</v>
      </c>
      <c r="C1515" s="2" t="s">
        <v>3</v>
      </c>
      <c r="D1515" s="2" t="s">
        <v>3</v>
      </c>
      <c r="E1515" s="2">
        <v>1177</v>
      </c>
      <c r="F1515" s="2" t="s">
        <v>3</v>
      </c>
      <c r="G1515" s="2" t="s">
        <v>3</v>
      </c>
      <c r="H1515" s="2" t="s">
        <v>3</v>
      </c>
      <c r="I1515" s="2" t="s">
        <v>3</v>
      </c>
    </row>
    <row r="1516" spans="1:9" hidden="1" x14ac:dyDescent="0.3">
      <c r="A1516" t="s">
        <v>24</v>
      </c>
      <c r="B1516" s="1">
        <v>44593</v>
      </c>
      <c r="C1516" s="2" t="s">
        <v>3</v>
      </c>
      <c r="D1516" s="2" t="s">
        <v>3</v>
      </c>
      <c r="E1516" s="2">
        <v>1272</v>
      </c>
      <c r="F1516" s="2" t="s">
        <v>3</v>
      </c>
      <c r="G1516" s="2" t="s">
        <v>3</v>
      </c>
      <c r="H1516" s="2" t="s">
        <v>3</v>
      </c>
      <c r="I1516" s="2" t="s">
        <v>3</v>
      </c>
    </row>
    <row r="1517" spans="1:9" hidden="1" x14ac:dyDescent="0.3">
      <c r="A1517" t="s">
        <v>24</v>
      </c>
      <c r="B1517" s="1">
        <v>44562</v>
      </c>
      <c r="C1517" s="2" t="s">
        <v>3</v>
      </c>
      <c r="D1517" s="2" t="s">
        <v>3</v>
      </c>
      <c r="E1517" s="2">
        <v>1132</v>
      </c>
      <c r="F1517" s="2" t="s">
        <v>3</v>
      </c>
      <c r="G1517" s="2" t="s">
        <v>3</v>
      </c>
      <c r="H1517" s="2" t="s">
        <v>3</v>
      </c>
      <c r="I1517" s="2" t="s">
        <v>3</v>
      </c>
    </row>
    <row r="1518" spans="1:9" hidden="1" x14ac:dyDescent="0.3">
      <c r="A1518" t="s">
        <v>24</v>
      </c>
      <c r="B1518" s="1">
        <v>44531</v>
      </c>
      <c r="C1518" s="2" t="s">
        <v>3</v>
      </c>
      <c r="D1518" s="2" t="s">
        <v>3</v>
      </c>
      <c r="E1518" s="2">
        <v>1102</v>
      </c>
      <c r="F1518" s="2" t="s">
        <v>3</v>
      </c>
      <c r="G1518" s="2" t="s">
        <v>3</v>
      </c>
      <c r="H1518" s="2" t="s">
        <v>3</v>
      </c>
      <c r="I1518" s="2" t="s">
        <v>3</v>
      </c>
    </row>
    <row r="1519" spans="1:9" hidden="1" x14ac:dyDescent="0.3">
      <c r="A1519" t="s">
        <v>24</v>
      </c>
      <c r="B1519" s="1">
        <v>44501</v>
      </c>
      <c r="C1519" s="2" t="s">
        <v>3</v>
      </c>
      <c r="D1519" s="2" t="s">
        <v>3</v>
      </c>
      <c r="E1519" s="2">
        <v>1049</v>
      </c>
      <c r="F1519" s="2" t="s">
        <v>3</v>
      </c>
      <c r="G1519" s="2" t="s">
        <v>3</v>
      </c>
      <c r="H1519" s="2" t="s">
        <v>3</v>
      </c>
      <c r="I1519" s="2" t="s">
        <v>3</v>
      </c>
    </row>
    <row r="1520" spans="1:9" hidden="1" x14ac:dyDescent="0.3">
      <c r="A1520" t="s">
        <v>24</v>
      </c>
      <c r="B1520" s="1">
        <v>44470</v>
      </c>
      <c r="C1520" s="2" t="s">
        <v>3</v>
      </c>
      <c r="D1520" s="2" t="s">
        <v>3</v>
      </c>
      <c r="E1520" s="2">
        <v>1031</v>
      </c>
      <c r="F1520" s="2" t="s">
        <v>3</v>
      </c>
      <c r="G1520" s="2" t="s">
        <v>3</v>
      </c>
      <c r="H1520" s="2" t="s">
        <v>3</v>
      </c>
      <c r="I1520" s="2" t="s">
        <v>3</v>
      </c>
    </row>
    <row r="1521" spans="1:9" hidden="1" x14ac:dyDescent="0.3">
      <c r="A1521" t="s">
        <v>24</v>
      </c>
      <c r="B1521" s="1">
        <v>44440</v>
      </c>
      <c r="C1521" s="2" t="s">
        <v>3</v>
      </c>
      <c r="D1521" s="2" t="s">
        <v>3</v>
      </c>
      <c r="E1521" s="2">
        <v>981</v>
      </c>
      <c r="F1521" s="2" t="s">
        <v>3</v>
      </c>
      <c r="G1521" s="2" t="s">
        <v>3</v>
      </c>
      <c r="H1521" s="2" t="s">
        <v>3</v>
      </c>
      <c r="I1521" s="2" t="s">
        <v>3</v>
      </c>
    </row>
    <row r="1522" spans="1:9" hidden="1" x14ac:dyDescent="0.3">
      <c r="A1522" t="s">
        <v>24</v>
      </c>
      <c r="B1522" s="1">
        <v>44409</v>
      </c>
      <c r="C1522" s="2" t="s">
        <v>3</v>
      </c>
      <c r="D1522" s="2" t="s">
        <v>3</v>
      </c>
      <c r="E1522" s="2">
        <v>952</v>
      </c>
      <c r="F1522" s="2" t="s">
        <v>3</v>
      </c>
      <c r="G1522" s="2" t="s">
        <v>3</v>
      </c>
      <c r="H1522" s="2" t="s">
        <v>3</v>
      </c>
      <c r="I1522" s="2" t="s">
        <v>3</v>
      </c>
    </row>
    <row r="1523" spans="1:9" hidden="1" x14ac:dyDescent="0.3">
      <c r="A1523" t="s">
        <v>24</v>
      </c>
      <c r="B1523" s="1">
        <v>44378</v>
      </c>
      <c r="C1523" s="2" t="s">
        <v>3</v>
      </c>
      <c r="D1523" s="2" t="s">
        <v>3</v>
      </c>
      <c r="E1523" s="2">
        <v>954</v>
      </c>
      <c r="F1523" s="2" t="s">
        <v>3</v>
      </c>
      <c r="G1523" s="2" t="s">
        <v>3</v>
      </c>
      <c r="H1523" s="2" t="s">
        <v>3</v>
      </c>
      <c r="I1523" s="2" t="s">
        <v>3</v>
      </c>
    </row>
    <row r="1524" spans="1:9" hidden="1" x14ac:dyDescent="0.3">
      <c r="A1524" t="s">
        <v>24</v>
      </c>
      <c r="B1524" s="1">
        <v>44348</v>
      </c>
      <c r="C1524" s="2" t="s">
        <v>3</v>
      </c>
      <c r="D1524" s="2" t="s">
        <v>3</v>
      </c>
      <c r="E1524" s="2">
        <v>974</v>
      </c>
      <c r="F1524" s="2" t="s">
        <v>3</v>
      </c>
      <c r="G1524" s="2" t="s">
        <v>3</v>
      </c>
      <c r="H1524" s="2" t="s">
        <v>3</v>
      </c>
      <c r="I1524" s="2" t="s">
        <v>3</v>
      </c>
    </row>
    <row r="1525" spans="1:9" hidden="1" x14ac:dyDescent="0.3">
      <c r="A1525" t="s">
        <v>24</v>
      </c>
      <c r="B1525" s="1">
        <v>44317</v>
      </c>
      <c r="C1525" s="2" t="s">
        <v>3</v>
      </c>
      <c r="D1525" s="2" t="s">
        <v>3</v>
      </c>
      <c r="E1525" s="2">
        <v>1076</v>
      </c>
      <c r="F1525" s="2" t="s">
        <v>3</v>
      </c>
      <c r="G1525" s="2" t="s">
        <v>3</v>
      </c>
      <c r="H1525" s="2" t="s">
        <v>3</v>
      </c>
      <c r="I1525" s="2" t="s">
        <v>3</v>
      </c>
    </row>
    <row r="1526" spans="1:9" hidden="1" x14ac:dyDescent="0.3">
      <c r="A1526" t="s">
        <v>24</v>
      </c>
      <c r="B1526" s="1">
        <v>44287</v>
      </c>
      <c r="C1526" s="2" t="s">
        <v>3</v>
      </c>
      <c r="D1526" s="2" t="s">
        <v>3</v>
      </c>
      <c r="E1526" s="2">
        <v>1097</v>
      </c>
      <c r="F1526" s="2" t="s">
        <v>3</v>
      </c>
      <c r="G1526" s="2" t="s">
        <v>3</v>
      </c>
      <c r="H1526" s="2" t="s">
        <v>3</v>
      </c>
      <c r="I1526" s="2" t="s">
        <v>3</v>
      </c>
    </row>
    <row r="1527" spans="1:9" hidden="1" x14ac:dyDescent="0.3">
      <c r="A1527" t="s">
        <v>24</v>
      </c>
      <c r="B1527" s="1">
        <v>44256</v>
      </c>
      <c r="C1527" s="2" t="s">
        <v>3</v>
      </c>
      <c r="D1527" s="2" t="s">
        <v>3</v>
      </c>
      <c r="E1527" s="2">
        <v>1098</v>
      </c>
      <c r="F1527" s="2" t="s">
        <v>3</v>
      </c>
      <c r="G1527" s="2" t="s">
        <v>3</v>
      </c>
      <c r="H1527" s="2" t="s">
        <v>3</v>
      </c>
      <c r="I1527" s="2" t="s">
        <v>3</v>
      </c>
    </row>
    <row r="1528" spans="1:9" hidden="1" x14ac:dyDescent="0.3">
      <c r="A1528" t="s">
        <v>24</v>
      </c>
      <c r="B1528" s="1">
        <v>44228</v>
      </c>
      <c r="C1528" s="2" t="s">
        <v>3</v>
      </c>
      <c r="D1528" s="2" t="s">
        <v>3</v>
      </c>
      <c r="E1528" s="2">
        <v>1200</v>
      </c>
      <c r="F1528" s="2" t="s">
        <v>3</v>
      </c>
      <c r="G1528" s="2" t="s">
        <v>3</v>
      </c>
      <c r="H1528" s="2" t="s">
        <v>3</v>
      </c>
      <c r="I1528" s="2" t="s">
        <v>3</v>
      </c>
    </row>
    <row r="1529" spans="1:9" hidden="1" x14ac:dyDescent="0.3">
      <c r="A1529" t="s">
        <v>24</v>
      </c>
      <c r="B1529" s="1">
        <v>44197</v>
      </c>
      <c r="C1529" s="2" t="s">
        <v>3</v>
      </c>
      <c r="D1529" s="2" t="s">
        <v>3</v>
      </c>
      <c r="E1529" s="2">
        <v>1253</v>
      </c>
      <c r="F1529" s="2" t="s">
        <v>3</v>
      </c>
      <c r="G1529" s="2" t="s">
        <v>3</v>
      </c>
      <c r="H1529" s="2" t="s">
        <v>3</v>
      </c>
      <c r="I1529" s="2" t="s">
        <v>3</v>
      </c>
    </row>
    <row r="1530" spans="1:9" hidden="1" x14ac:dyDescent="0.3">
      <c r="A1530" t="s">
        <v>24</v>
      </c>
      <c r="B1530" s="1">
        <v>44166</v>
      </c>
      <c r="C1530" s="2" t="s">
        <v>3</v>
      </c>
      <c r="D1530" s="2" t="s">
        <v>3</v>
      </c>
      <c r="E1530" s="2">
        <v>1254</v>
      </c>
      <c r="F1530" s="2" t="s">
        <v>3</v>
      </c>
      <c r="G1530" s="2" t="s">
        <v>3</v>
      </c>
      <c r="H1530" s="2" t="s">
        <v>3</v>
      </c>
      <c r="I1530" s="2" t="s">
        <v>3</v>
      </c>
    </row>
    <row r="1531" spans="1:9" hidden="1" x14ac:dyDescent="0.3">
      <c r="A1531" t="s">
        <v>24</v>
      </c>
      <c r="B1531" s="1">
        <v>44136</v>
      </c>
      <c r="C1531" s="2" t="s">
        <v>3</v>
      </c>
      <c r="D1531" s="2" t="s">
        <v>3</v>
      </c>
      <c r="E1531" s="2">
        <v>1288</v>
      </c>
      <c r="F1531" s="2" t="s">
        <v>3</v>
      </c>
      <c r="G1531" s="2" t="s">
        <v>3</v>
      </c>
      <c r="H1531" s="2" t="s">
        <v>3</v>
      </c>
      <c r="I1531" s="2" t="s">
        <v>3</v>
      </c>
    </row>
    <row r="1532" spans="1:9" hidden="1" x14ac:dyDescent="0.3">
      <c r="A1532" t="s">
        <v>24</v>
      </c>
      <c r="B1532" s="1">
        <v>44105</v>
      </c>
      <c r="C1532" s="2" t="s">
        <v>3</v>
      </c>
      <c r="D1532" s="2" t="s">
        <v>3</v>
      </c>
      <c r="E1532" s="2">
        <v>1449</v>
      </c>
      <c r="F1532" s="2" t="s">
        <v>3</v>
      </c>
      <c r="G1532" s="2" t="s">
        <v>3</v>
      </c>
      <c r="H1532" s="2" t="s">
        <v>3</v>
      </c>
      <c r="I1532" s="2" t="s">
        <v>3</v>
      </c>
    </row>
    <row r="1533" spans="1:9" hidden="1" x14ac:dyDescent="0.3">
      <c r="A1533" t="s">
        <v>24</v>
      </c>
      <c r="B1533" s="1">
        <v>44075</v>
      </c>
      <c r="C1533" s="2" t="s">
        <v>3</v>
      </c>
      <c r="D1533" s="2" t="s">
        <v>3</v>
      </c>
      <c r="E1533" s="2">
        <v>1452</v>
      </c>
      <c r="F1533" s="2" t="s">
        <v>3</v>
      </c>
      <c r="G1533" s="2" t="s">
        <v>3</v>
      </c>
      <c r="H1533" s="2" t="s">
        <v>3</v>
      </c>
      <c r="I1533" s="2" t="s">
        <v>3</v>
      </c>
    </row>
    <row r="1534" spans="1:9" hidden="1" x14ac:dyDescent="0.3">
      <c r="A1534" t="s">
        <v>24</v>
      </c>
      <c r="B1534" s="1">
        <v>44044</v>
      </c>
      <c r="C1534" s="2" t="s">
        <v>3</v>
      </c>
      <c r="D1534" s="2" t="s">
        <v>3</v>
      </c>
      <c r="E1534" s="2">
        <v>1454</v>
      </c>
      <c r="F1534" s="2" t="s">
        <v>3</v>
      </c>
      <c r="G1534" s="2" t="s">
        <v>3</v>
      </c>
      <c r="H1534" s="2" t="s">
        <v>3</v>
      </c>
      <c r="I1534" s="2" t="s">
        <v>3</v>
      </c>
    </row>
    <row r="1535" spans="1:9" hidden="1" x14ac:dyDescent="0.3">
      <c r="A1535" t="s">
        <v>24</v>
      </c>
      <c r="B1535" s="1">
        <v>44013</v>
      </c>
      <c r="C1535" s="2" t="s">
        <v>3</v>
      </c>
      <c r="D1535" s="2" t="s">
        <v>3</v>
      </c>
      <c r="E1535" s="2">
        <v>1457</v>
      </c>
      <c r="F1535" s="2" t="s">
        <v>3</v>
      </c>
      <c r="G1535" s="2" t="s">
        <v>3</v>
      </c>
      <c r="H1535" s="2" t="s">
        <v>3</v>
      </c>
      <c r="I1535" s="2" t="s">
        <v>3</v>
      </c>
    </row>
    <row r="1536" spans="1:9" hidden="1" x14ac:dyDescent="0.3">
      <c r="A1536" t="s">
        <v>24</v>
      </c>
      <c r="B1536" s="1">
        <v>43983</v>
      </c>
      <c r="C1536" s="2" t="s">
        <v>3</v>
      </c>
      <c r="D1536" s="2" t="s">
        <v>3</v>
      </c>
      <c r="E1536" s="2">
        <v>1688</v>
      </c>
      <c r="F1536" s="2" t="s">
        <v>3</v>
      </c>
      <c r="G1536" s="2" t="s">
        <v>3</v>
      </c>
      <c r="H1536" s="2" t="s">
        <v>3</v>
      </c>
      <c r="I1536" s="2" t="s">
        <v>3</v>
      </c>
    </row>
    <row r="1537" spans="1:9" hidden="1" x14ac:dyDescent="0.3">
      <c r="A1537" t="s">
        <v>24</v>
      </c>
      <c r="B1537" s="1">
        <v>43952</v>
      </c>
      <c r="C1537" s="2" t="s">
        <v>3</v>
      </c>
      <c r="D1537" s="2" t="s">
        <v>3</v>
      </c>
      <c r="E1537" s="2">
        <v>1860</v>
      </c>
      <c r="F1537" s="2" t="s">
        <v>3</v>
      </c>
      <c r="G1537" s="2" t="s">
        <v>3</v>
      </c>
      <c r="H1537" s="2" t="s">
        <v>3</v>
      </c>
      <c r="I1537" s="2" t="s">
        <v>3</v>
      </c>
    </row>
    <row r="1538" spans="1:9" hidden="1" x14ac:dyDescent="0.3">
      <c r="A1538" t="s">
        <v>24</v>
      </c>
      <c r="B1538" s="1">
        <v>43922</v>
      </c>
      <c r="C1538" s="2" t="s">
        <v>3</v>
      </c>
      <c r="D1538" s="2" t="s">
        <v>3</v>
      </c>
      <c r="E1538" s="2">
        <v>1830</v>
      </c>
      <c r="F1538" s="2" t="s">
        <v>3</v>
      </c>
      <c r="G1538" s="2" t="s">
        <v>3</v>
      </c>
      <c r="H1538" s="2" t="s">
        <v>3</v>
      </c>
      <c r="I1538" s="2" t="s">
        <v>3</v>
      </c>
    </row>
    <row r="1539" spans="1:9" hidden="1" x14ac:dyDescent="0.3">
      <c r="A1539" t="s">
        <v>24</v>
      </c>
      <c r="B1539" s="1">
        <v>43891</v>
      </c>
      <c r="C1539" s="2" t="s">
        <v>3</v>
      </c>
      <c r="D1539" s="2" t="s">
        <v>3</v>
      </c>
      <c r="E1539" s="2">
        <v>1783</v>
      </c>
      <c r="F1539" s="2" t="s">
        <v>3</v>
      </c>
      <c r="G1539" s="2" t="s">
        <v>3</v>
      </c>
      <c r="H1539" s="2" t="s">
        <v>3</v>
      </c>
      <c r="I1539" s="2" t="s">
        <v>3</v>
      </c>
    </row>
    <row r="1540" spans="1:9" hidden="1" x14ac:dyDescent="0.3">
      <c r="A1540" t="s">
        <v>24</v>
      </c>
      <c r="B1540" s="1">
        <v>43862</v>
      </c>
      <c r="C1540" s="2" t="s">
        <v>3</v>
      </c>
      <c r="D1540" s="2" t="s">
        <v>3</v>
      </c>
      <c r="E1540" s="2">
        <v>1822</v>
      </c>
      <c r="F1540" s="2" t="s">
        <v>3</v>
      </c>
      <c r="G1540" s="2" t="s">
        <v>3</v>
      </c>
      <c r="H1540" s="2" t="s">
        <v>3</v>
      </c>
      <c r="I1540" s="2" t="s">
        <v>3</v>
      </c>
    </row>
    <row r="1541" spans="1:9" hidden="1" x14ac:dyDescent="0.3">
      <c r="A1541" t="s">
        <v>24</v>
      </c>
      <c r="B1541" s="1">
        <v>43831</v>
      </c>
      <c r="C1541" s="2" t="s">
        <v>3</v>
      </c>
      <c r="D1541" s="2" t="s">
        <v>3</v>
      </c>
      <c r="E1541" s="2">
        <v>1809</v>
      </c>
      <c r="F1541" s="2" t="s">
        <v>3</v>
      </c>
      <c r="G1541" s="2" t="s">
        <v>3</v>
      </c>
      <c r="H1541" s="2" t="s">
        <v>3</v>
      </c>
      <c r="I1541" s="2" t="s">
        <v>3</v>
      </c>
    </row>
    <row r="1542" spans="1:9" x14ac:dyDescent="0.3">
      <c r="A1542" t="s">
        <v>25</v>
      </c>
      <c r="B1542" s="1">
        <v>45931</v>
      </c>
      <c r="C1542" s="2" t="s">
        <v>3</v>
      </c>
      <c r="D1542" s="2" t="s">
        <v>3</v>
      </c>
      <c r="E1542" s="2">
        <v>906</v>
      </c>
      <c r="F1542" s="2">
        <v>-69</v>
      </c>
      <c r="G1542" s="2">
        <v>-1</v>
      </c>
      <c r="H1542" s="2" t="s">
        <v>3</v>
      </c>
      <c r="I1542" s="2" t="s">
        <v>3</v>
      </c>
    </row>
    <row r="1543" spans="1:9" x14ac:dyDescent="0.3">
      <c r="A1543" t="s">
        <v>25</v>
      </c>
      <c r="B1543" s="1">
        <v>45901</v>
      </c>
      <c r="C1543" s="2" t="s">
        <v>3</v>
      </c>
      <c r="D1543" s="2" t="s">
        <v>3</v>
      </c>
      <c r="E1543" s="2">
        <v>975</v>
      </c>
      <c r="F1543" s="2">
        <v>183</v>
      </c>
      <c r="G1543" s="2">
        <v>-12</v>
      </c>
      <c r="H1543" s="2" t="s">
        <v>3</v>
      </c>
      <c r="I1543" s="2" t="s">
        <v>3</v>
      </c>
    </row>
    <row r="1544" spans="1:9" x14ac:dyDescent="0.3">
      <c r="A1544" t="s">
        <v>25</v>
      </c>
      <c r="B1544" s="1">
        <v>45870</v>
      </c>
      <c r="C1544" s="2" t="s">
        <v>3</v>
      </c>
      <c r="D1544" s="2" t="s">
        <v>3</v>
      </c>
      <c r="E1544" s="2">
        <v>803</v>
      </c>
      <c r="F1544" s="2">
        <v>-5</v>
      </c>
      <c r="G1544" s="2">
        <v>-85</v>
      </c>
      <c r="H1544" s="2" t="s">
        <v>3</v>
      </c>
      <c r="I1544" s="2" t="s">
        <v>3</v>
      </c>
    </row>
    <row r="1545" spans="1:9" x14ac:dyDescent="0.3">
      <c r="A1545" t="s">
        <v>25</v>
      </c>
      <c r="B1545" s="1">
        <v>45839</v>
      </c>
      <c r="C1545" s="2" t="s">
        <v>3</v>
      </c>
      <c r="D1545" s="2" t="s">
        <v>3</v>
      </c>
      <c r="E1545" s="2">
        <v>889</v>
      </c>
      <c r="F1545" s="2">
        <v>69</v>
      </c>
      <c r="G1545" s="2">
        <v>-4</v>
      </c>
      <c r="H1545" s="2" t="s">
        <v>3</v>
      </c>
      <c r="I1545" s="2" t="s">
        <v>3</v>
      </c>
    </row>
    <row r="1546" spans="1:9" x14ac:dyDescent="0.3">
      <c r="A1546" t="s">
        <v>25</v>
      </c>
      <c r="B1546" s="1">
        <v>45809</v>
      </c>
      <c r="C1546" s="2" t="s">
        <v>3</v>
      </c>
      <c r="D1546" s="2" t="s">
        <v>3</v>
      </c>
      <c r="E1546" s="2">
        <v>799</v>
      </c>
      <c r="F1546" s="2">
        <v>77</v>
      </c>
      <c r="G1546" s="2">
        <v>7</v>
      </c>
      <c r="H1546" s="2" t="s">
        <v>3</v>
      </c>
      <c r="I1546" s="2" t="s">
        <v>3</v>
      </c>
    </row>
    <row r="1547" spans="1:9" x14ac:dyDescent="0.3">
      <c r="A1547" t="s">
        <v>25</v>
      </c>
      <c r="B1547" s="1">
        <v>45778</v>
      </c>
      <c r="C1547" s="2" t="s">
        <v>3</v>
      </c>
      <c r="D1547" s="2" t="s">
        <v>3</v>
      </c>
      <c r="E1547" s="2">
        <v>718</v>
      </c>
      <c r="F1547" s="2">
        <v>-316</v>
      </c>
      <c r="G1547" s="2">
        <v>-1</v>
      </c>
      <c r="H1547" s="2" t="s">
        <v>3</v>
      </c>
      <c r="I1547" s="2" t="s">
        <v>3</v>
      </c>
    </row>
    <row r="1548" spans="1:9" x14ac:dyDescent="0.3">
      <c r="A1548" t="s">
        <v>25</v>
      </c>
      <c r="B1548" s="1">
        <v>45748</v>
      </c>
      <c r="C1548" s="2" t="s">
        <v>3</v>
      </c>
      <c r="D1548" s="2" t="s">
        <v>3</v>
      </c>
      <c r="E1548" s="2">
        <v>998</v>
      </c>
      <c r="F1548" s="2">
        <v>125</v>
      </c>
      <c r="G1548" s="2">
        <v>54</v>
      </c>
      <c r="H1548" s="2" t="s">
        <v>3</v>
      </c>
      <c r="I1548" s="2" t="s">
        <v>3</v>
      </c>
    </row>
    <row r="1549" spans="1:9" x14ac:dyDescent="0.3">
      <c r="A1549" t="s">
        <v>25</v>
      </c>
      <c r="B1549" s="1">
        <v>45717</v>
      </c>
      <c r="C1549" s="2" t="s">
        <v>3</v>
      </c>
      <c r="D1549" s="2" t="s">
        <v>3</v>
      </c>
      <c r="E1549" s="2">
        <v>821</v>
      </c>
      <c r="F1549" s="2">
        <v>35</v>
      </c>
      <c r="G1549" s="2">
        <v>0</v>
      </c>
      <c r="H1549" s="2" t="s">
        <v>3</v>
      </c>
      <c r="I1549" s="2" t="s">
        <v>3</v>
      </c>
    </row>
    <row r="1550" spans="1:9" x14ac:dyDescent="0.3">
      <c r="A1550" t="s">
        <v>25</v>
      </c>
      <c r="B1550" s="1">
        <v>45689</v>
      </c>
      <c r="C1550" s="2" t="s">
        <v>3</v>
      </c>
      <c r="D1550" s="2" t="s">
        <v>3</v>
      </c>
      <c r="E1550" s="2">
        <v>787</v>
      </c>
      <c r="F1550" s="2">
        <v>5</v>
      </c>
      <c r="G1550" s="2">
        <v>-25</v>
      </c>
      <c r="H1550" s="2" t="s">
        <v>3</v>
      </c>
      <c r="I1550" s="2" t="s">
        <v>3</v>
      </c>
    </row>
    <row r="1551" spans="1:9" x14ac:dyDescent="0.3">
      <c r="A1551" t="s">
        <v>25</v>
      </c>
      <c r="B1551" s="1">
        <v>45658</v>
      </c>
      <c r="C1551" s="2" t="s">
        <v>3</v>
      </c>
      <c r="D1551" s="2" t="s">
        <v>3</v>
      </c>
      <c r="E1551" s="2">
        <v>807</v>
      </c>
      <c r="F1551" s="2">
        <v>11</v>
      </c>
      <c r="G1551" s="2">
        <v>2</v>
      </c>
      <c r="H1551" s="2" t="s">
        <v>3</v>
      </c>
      <c r="I1551" s="2" t="s">
        <v>3</v>
      </c>
    </row>
    <row r="1552" spans="1:9" x14ac:dyDescent="0.3">
      <c r="A1552" t="s">
        <v>25</v>
      </c>
      <c r="B1552" s="1">
        <v>45627</v>
      </c>
      <c r="C1552" s="2" t="s">
        <v>3</v>
      </c>
      <c r="D1552" s="2" t="s">
        <v>3</v>
      </c>
      <c r="E1552" s="2">
        <v>794</v>
      </c>
      <c r="F1552" s="2">
        <v>98</v>
      </c>
      <c r="G1552" s="2">
        <v>-2</v>
      </c>
      <c r="H1552" s="2" t="s">
        <v>3</v>
      </c>
      <c r="I1552" s="2" t="s">
        <v>3</v>
      </c>
    </row>
    <row r="1553" spans="1:9" x14ac:dyDescent="0.3">
      <c r="A1553" t="s">
        <v>25</v>
      </c>
      <c r="B1553" s="1">
        <v>45597</v>
      </c>
      <c r="C1553" s="2" t="s">
        <v>3</v>
      </c>
      <c r="D1553" s="2" t="s">
        <v>3</v>
      </c>
      <c r="E1553" s="2">
        <v>703</v>
      </c>
      <c r="F1553" s="2">
        <v>114</v>
      </c>
      <c r="G1553" s="2">
        <v>-36</v>
      </c>
      <c r="H1553" s="2" t="s">
        <v>3</v>
      </c>
      <c r="I1553" s="2" t="s">
        <v>3</v>
      </c>
    </row>
    <row r="1554" spans="1:9" x14ac:dyDescent="0.3">
      <c r="A1554" t="s">
        <v>25</v>
      </c>
      <c r="B1554" s="1">
        <v>45566</v>
      </c>
      <c r="C1554" s="2" t="s">
        <v>3</v>
      </c>
      <c r="D1554" s="2" t="s">
        <v>3</v>
      </c>
      <c r="E1554" s="2">
        <v>622</v>
      </c>
      <c r="F1554" s="2">
        <v>-15</v>
      </c>
      <c r="G1554" s="2">
        <v>-5</v>
      </c>
      <c r="H1554" s="2" t="s">
        <v>3</v>
      </c>
      <c r="I1554" s="2" t="s">
        <v>3</v>
      </c>
    </row>
    <row r="1555" spans="1:9" x14ac:dyDescent="0.3">
      <c r="A1555" t="s">
        <v>25</v>
      </c>
      <c r="B1555" s="1">
        <v>45536</v>
      </c>
      <c r="C1555" s="2" t="s">
        <v>3</v>
      </c>
      <c r="D1555" s="2" t="s">
        <v>3</v>
      </c>
      <c r="E1555" s="2">
        <v>643</v>
      </c>
      <c r="F1555" s="2">
        <v>52</v>
      </c>
      <c r="G1555" s="2">
        <v>7</v>
      </c>
      <c r="H1555" s="2" t="s">
        <v>3</v>
      </c>
      <c r="I1555" s="2" t="s">
        <v>3</v>
      </c>
    </row>
    <row r="1556" spans="1:9" x14ac:dyDescent="0.3">
      <c r="A1556" t="s">
        <v>25</v>
      </c>
      <c r="B1556" s="1">
        <v>45505</v>
      </c>
      <c r="C1556" s="2" t="s">
        <v>3</v>
      </c>
      <c r="D1556" s="2" t="s">
        <v>3</v>
      </c>
      <c r="E1556" s="2">
        <v>586</v>
      </c>
      <c r="F1556" s="2">
        <v>173</v>
      </c>
      <c r="G1556" s="2">
        <v>-1</v>
      </c>
      <c r="H1556" s="2" t="s">
        <v>3</v>
      </c>
      <c r="I1556" s="2" t="s">
        <v>3</v>
      </c>
    </row>
    <row r="1557" spans="1:9" x14ac:dyDescent="0.3">
      <c r="A1557" t="s">
        <v>25</v>
      </c>
      <c r="B1557" s="1">
        <v>45474</v>
      </c>
      <c r="C1557" s="2" t="s">
        <v>3</v>
      </c>
      <c r="D1557" s="2" t="s">
        <v>3</v>
      </c>
      <c r="E1557" s="2">
        <v>412</v>
      </c>
      <c r="F1557" s="2">
        <v>-151</v>
      </c>
      <c r="G1557" s="2">
        <v>1</v>
      </c>
      <c r="H1557" s="2" t="s">
        <v>3</v>
      </c>
      <c r="I1557" s="2" t="s">
        <v>3</v>
      </c>
    </row>
    <row r="1558" spans="1:9" x14ac:dyDescent="0.3">
      <c r="A1558" t="s">
        <v>25</v>
      </c>
      <c r="B1558" s="1">
        <v>45444</v>
      </c>
      <c r="C1558" s="2" t="s">
        <v>3</v>
      </c>
      <c r="D1558" s="2" t="s">
        <v>3</v>
      </c>
      <c r="E1558" s="2">
        <v>578</v>
      </c>
      <c r="F1558" s="2">
        <v>115</v>
      </c>
      <c r="G1558" s="2">
        <v>2</v>
      </c>
      <c r="H1558" s="2" t="s">
        <v>3</v>
      </c>
      <c r="I1558" s="2" t="s">
        <v>3</v>
      </c>
    </row>
    <row r="1559" spans="1:9" x14ac:dyDescent="0.3">
      <c r="A1559" t="s">
        <v>25</v>
      </c>
      <c r="B1559" s="1">
        <v>45413</v>
      </c>
      <c r="C1559" s="2" t="s">
        <v>3</v>
      </c>
      <c r="D1559" s="2" t="s">
        <v>3</v>
      </c>
      <c r="E1559" s="2">
        <v>460</v>
      </c>
      <c r="F1559" s="2">
        <v>-72</v>
      </c>
      <c r="G1559" s="2">
        <v>6</v>
      </c>
      <c r="H1559" s="2" t="s">
        <v>3</v>
      </c>
      <c r="I1559" s="2" t="s">
        <v>3</v>
      </c>
    </row>
    <row r="1560" spans="1:9" x14ac:dyDescent="0.3">
      <c r="A1560" t="s">
        <v>25</v>
      </c>
      <c r="B1560" s="1">
        <v>45383</v>
      </c>
      <c r="C1560" s="2" t="s">
        <v>3</v>
      </c>
      <c r="D1560" s="2" t="s">
        <v>3</v>
      </c>
      <c r="E1560" s="2">
        <v>525</v>
      </c>
      <c r="F1560" s="2">
        <v>178</v>
      </c>
      <c r="G1560" s="2">
        <v>-5</v>
      </c>
      <c r="H1560" s="2" t="s">
        <v>3</v>
      </c>
      <c r="I1560" s="2" t="s">
        <v>3</v>
      </c>
    </row>
    <row r="1561" spans="1:9" x14ac:dyDescent="0.3">
      <c r="A1561" t="s">
        <v>25</v>
      </c>
      <c r="B1561" s="1">
        <v>45352</v>
      </c>
      <c r="C1561" s="2" t="s">
        <v>3</v>
      </c>
      <c r="D1561" s="2" t="s">
        <v>3</v>
      </c>
      <c r="E1561" s="2">
        <v>360</v>
      </c>
      <c r="F1561" s="2">
        <v>-158</v>
      </c>
      <c r="G1561" s="2">
        <v>4</v>
      </c>
      <c r="H1561" s="2" t="s">
        <v>3</v>
      </c>
      <c r="I1561" s="2" t="s">
        <v>3</v>
      </c>
    </row>
    <row r="1562" spans="1:9" x14ac:dyDescent="0.3">
      <c r="A1562" t="s">
        <v>25</v>
      </c>
      <c r="B1562" s="1">
        <v>45323</v>
      </c>
      <c r="C1562" s="2" t="s">
        <v>3</v>
      </c>
      <c r="D1562" s="2" t="s">
        <v>3</v>
      </c>
      <c r="E1562" s="2">
        <v>514</v>
      </c>
      <c r="F1562" s="2">
        <v>119</v>
      </c>
      <c r="G1562" s="2">
        <v>-4</v>
      </c>
      <c r="H1562" s="2" t="s">
        <v>3</v>
      </c>
      <c r="I1562" s="2" t="s">
        <v>3</v>
      </c>
    </row>
    <row r="1563" spans="1:9" x14ac:dyDescent="0.3">
      <c r="A1563" t="s">
        <v>25</v>
      </c>
      <c r="B1563" s="1">
        <v>45292</v>
      </c>
      <c r="C1563" s="2" t="s">
        <v>3</v>
      </c>
      <c r="D1563" s="2" t="s">
        <v>3</v>
      </c>
      <c r="E1563" s="2">
        <v>400</v>
      </c>
      <c r="F1563" s="2">
        <v>-130</v>
      </c>
      <c r="G1563" s="2">
        <v>2</v>
      </c>
      <c r="H1563" s="2" t="s">
        <v>3</v>
      </c>
      <c r="I1563" s="2" t="s">
        <v>3</v>
      </c>
    </row>
    <row r="1564" spans="1:9" x14ac:dyDescent="0.3">
      <c r="A1564" t="s">
        <v>25</v>
      </c>
      <c r="B1564" s="1">
        <v>45261</v>
      </c>
      <c r="C1564" s="2" t="s">
        <v>3</v>
      </c>
      <c r="D1564" s="2" t="s">
        <v>3</v>
      </c>
      <c r="E1564" s="2">
        <v>546</v>
      </c>
      <c r="F1564" s="2">
        <v>31</v>
      </c>
      <c r="G1564" s="2">
        <v>7</v>
      </c>
      <c r="H1564" s="2" t="s">
        <v>3</v>
      </c>
      <c r="I1564" s="2" t="s">
        <v>3</v>
      </c>
    </row>
    <row r="1565" spans="1:9" x14ac:dyDescent="0.3">
      <c r="A1565" t="s">
        <v>25</v>
      </c>
      <c r="B1565" s="1">
        <v>45231</v>
      </c>
      <c r="C1565" s="2" t="s">
        <v>3</v>
      </c>
      <c r="D1565" s="2" t="s">
        <v>3</v>
      </c>
      <c r="E1565" s="2">
        <v>508</v>
      </c>
      <c r="F1565" s="2">
        <v>4</v>
      </c>
      <c r="G1565" s="2">
        <v>6</v>
      </c>
      <c r="H1565" s="2" t="s">
        <v>3</v>
      </c>
      <c r="I1565" s="2" t="s">
        <v>3</v>
      </c>
    </row>
    <row r="1566" spans="1:9" x14ac:dyDescent="0.3">
      <c r="A1566" t="s">
        <v>25</v>
      </c>
      <c r="B1566" s="1">
        <v>45200</v>
      </c>
      <c r="C1566" s="2" t="s">
        <v>3</v>
      </c>
      <c r="D1566" s="2" t="s">
        <v>3</v>
      </c>
      <c r="E1566" s="2">
        <v>498</v>
      </c>
      <c r="F1566" s="2">
        <v>-89</v>
      </c>
      <c r="G1566" s="2">
        <v>1</v>
      </c>
      <c r="H1566" s="2" t="s">
        <v>3</v>
      </c>
      <c r="I1566" s="2" t="s">
        <v>3</v>
      </c>
    </row>
    <row r="1567" spans="1:9" x14ac:dyDescent="0.3">
      <c r="A1567" t="s">
        <v>25</v>
      </c>
      <c r="B1567" s="1">
        <v>45170</v>
      </c>
      <c r="C1567" s="2" t="s">
        <v>3</v>
      </c>
      <c r="D1567" s="2" t="s">
        <v>3</v>
      </c>
      <c r="E1567" s="2">
        <v>588</v>
      </c>
      <c r="F1567" s="2">
        <v>-145</v>
      </c>
      <c r="G1567" s="2">
        <v>-1</v>
      </c>
      <c r="H1567" s="2" t="s">
        <v>3</v>
      </c>
      <c r="I1567" s="2" t="s">
        <v>3</v>
      </c>
    </row>
    <row r="1568" spans="1:9" x14ac:dyDescent="0.3">
      <c r="A1568" t="s">
        <v>25</v>
      </c>
      <c r="B1568" s="1">
        <v>45139</v>
      </c>
      <c r="C1568" s="2" t="s">
        <v>3</v>
      </c>
      <c r="D1568" s="2" t="s">
        <v>3</v>
      </c>
      <c r="E1568" s="2">
        <v>737</v>
      </c>
      <c r="F1568" s="2">
        <v>146</v>
      </c>
      <c r="G1568" s="2">
        <v>1</v>
      </c>
      <c r="H1568" s="2" t="s">
        <v>3</v>
      </c>
      <c r="I1568" s="2" t="s">
        <v>3</v>
      </c>
    </row>
    <row r="1569" spans="1:9" x14ac:dyDescent="0.3">
      <c r="A1569" t="s">
        <v>25</v>
      </c>
      <c r="B1569" s="1">
        <v>45108</v>
      </c>
      <c r="C1569" s="2" t="s">
        <v>3</v>
      </c>
      <c r="D1569" s="2" t="s">
        <v>3</v>
      </c>
      <c r="E1569" s="2">
        <v>590</v>
      </c>
      <c r="F1569" s="2">
        <v>33</v>
      </c>
      <c r="G1569" s="2">
        <v>0</v>
      </c>
      <c r="H1569" s="2" t="s">
        <v>3</v>
      </c>
      <c r="I1569" s="2" t="s">
        <v>3</v>
      </c>
    </row>
    <row r="1570" spans="1:9" x14ac:dyDescent="0.3">
      <c r="A1570" t="s">
        <v>25</v>
      </c>
      <c r="B1570" s="1">
        <v>45078</v>
      </c>
      <c r="C1570" s="2" t="s">
        <v>3</v>
      </c>
      <c r="D1570" s="2" t="s">
        <v>3</v>
      </c>
      <c r="E1570" s="2">
        <v>558</v>
      </c>
      <c r="F1570" s="2">
        <v>48</v>
      </c>
      <c r="G1570" s="2">
        <v>-2</v>
      </c>
      <c r="H1570" s="2" t="s">
        <v>3</v>
      </c>
      <c r="I1570" s="2" t="s">
        <v>3</v>
      </c>
    </row>
    <row r="1571" spans="1:9" x14ac:dyDescent="0.3">
      <c r="A1571" t="s">
        <v>25</v>
      </c>
      <c r="B1571" s="1">
        <v>45047</v>
      </c>
      <c r="C1571" s="2" t="s">
        <v>3</v>
      </c>
      <c r="D1571" s="2" t="s">
        <v>3</v>
      </c>
      <c r="E1571" s="2">
        <v>514</v>
      </c>
      <c r="F1571" s="2">
        <v>41</v>
      </c>
      <c r="G1571" s="2">
        <v>-1</v>
      </c>
      <c r="H1571" s="2" t="s">
        <v>3</v>
      </c>
      <c r="I1571" s="2" t="s">
        <v>3</v>
      </c>
    </row>
    <row r="1572" spans="1:9" x14ac:dyDescent="0.3">
      <c r="A1572" t="s">
        <v>25</v>
      </c>
      <c r="B1572" s="1">
        <v>45017</v>
      </c>
      <c r="C1572" s="2" t="s">
        <v>3</v>
      </c>
      <c r="D1572" s="2" t="s">
        <v>3</v>
      </c>
      <c r="E1572" s="2">
        <v>479</v>
      </c>
      <c r="F1572" s="2">
        <v>232</v>
      </c>
      <c r="G1572" s="2">
        <v>-1</v>
      </c>
      <c r="H1572" s="2" t="s">
        <v>3</v>
      </c>
      <c r="I1572" s="2" t="s">
        <v>3</v>
      </c>
    </row>
    <row r="1573" spans="1:9" x14ac:dyDescent="0.3">
      <c r="A1573" t="s">
        <v>25</v>
      </c>
      <c r="B1573" s="1">
        <v>44986</v>
      </c>
      <c r="C1573" s="2" t="s">
        <v>3</v>
      </c>
      <c r="D1573" s="2" t="s">
        <v>3</v>
      </c>
      <c r="E1573" s="2">
        <v>247</v>
      </c>
      <c r="F1573" s="2">
        <v>-169</v>
      </c>
      <c r="G1573" s="2">
        <v>8</v>
      </c>
      <c r="H1573" s="2" t="s">
        <v>3</v>
      </c>
      <c r="I1573" s="2" t="s">
        <v>3</v>
      </c>
    </row>
    <row r="1574" spans="1:9" x14ac:dyDescent="0.3">
      <c r="A1574" t="s">
        <v>25</v>
      </c>
      <c r="B1574" s="1">
        <v>44958</v>
      </c>
      <c r="C1574" s="2" t="s">
        <v>3</v>
      </c>
      <c r="D1574" s="2" t="s">
        <v>3</v>
      </c>
      <c r="E1574" s="2">
        <v>489</v>
      </c>
      <c r="F1574" s="2">
        <v>-97</v>
      </c>
      <c r="G1574" s="2">
        <v>-3</v>
      </c>
      <c r="H1574" s="2" t="s">
        <v>3</v>
      </c>
      <c r="I1574" s="2" t="s">
        <v>3</v>
      </c>
    </row>
    <row r="1575" spans="1:9" hidden="1" x14ac:dyDescent="0.3">
      <c r="A1575" t="s">
        <v>25</v>
      </c>
      <c r="B1575" s="1">
        <v>44927</v>
      </c>
      <c r="C1575" s="2" t="s">
        <v>3</v>
      </c>
      <c r="D1575" s="2" t="s">
        <v>3</v>
      </c>
      <c r="E1575" s="2">
        <v>589</v>
      </c>
      <c r="F1575" s="2" t="s">
        <v>3</v>
      </c>
      <c r="G1575" s="2" t="s">
        <v>3</v>
      </c>
      <c r="H1575" s="2" t="s">
        <v>3</v>
      </c>
      <c r="I1575" s="2" t="s">
        <v>3</v>
      </c>
    </row>
    <row r="1576" spans="1:9" hidden="1" x14ac:dyDescent="0.3">
      <c r="A1576" t="s">
        <v>25</v>
      </c>
      <c r="B1576" s="1">
        <v>44896</v>
      </c>
      <c r="C1576" s="2" t="s">
        <v>3</v>
      </c>
      <c r="D1576" s="2" t="s">
        <v>3</v>
      </c>
      <c r="E1576" s="2">
        <v>602</v>
      </c>
      <c r="F1576" s="2" t="s">
        <v>3</v>
      </c>
      <c r="G1576" s="2" t="s">
        <v>3</v>
      </c>
      <c r="H1576" s="2" t="s">
        <v>3</v>
      </c>
      <c r="I1576" s="2" t="s">
        <v>3</v>
      </c>
    </row>
    <row r="1577" spans="1:9" hidden="1" x14ac:dyDescent="0.3">
      <c r="A1577" t="s">
        <v>25</v>
      </c>
      <c r="B1577" s="1">
        <v>44866</v>
      </c>
      <c r="C1577" s="2" t="s">
        <v>3</v>
      </c>
      <c r="D1577" s="2" t="s">
        <v>3</v>
      </c>
      <c r="E1577" s="2">
        <v>389</v>
      </c>
      <c r="F1577" s="2" t="s">
        <v>3</v>
      </c>
      <c r="G1577" s="2" t="s">
        <v>3</v>
      </c>
      <c r="H1577" s="2" t="s">
        <v>3</v>
      </c>
      <c r="I1577" s="2" t="s">
        <v>3</v>
      </c>
    </row>
    <row r="1578" spans="1:9" hidden="1" x14ac:dyDescent="0.3">
      <c r="A1578" t="s">
        <v>25</v>
      </c>
      <c r="B1578" s="1">
        <v>44835</v>
      </c>
      <c r="C1578" s="2" t="s">
        <v>3</v>
      </c>
      <c r="D1578" s="2" t="s">
        <v>3</v>
      </c>
      <c r="E1578" s="2">
        <v>145</v>
      </c>
      <c r="F1578" s="2" t="s">
        <v>3</v>
      </c>
      <c r="G1578" s="2" t="s">
        <v>3</v>
      </c>
      <c r="H1578" s="2" t="s">
        <v>3</v>
      </c>
      <c r="I1578" s="2" t="s">
        <v>3</v>
      </c>
    </row>
    <row r="1579" spans="1:9" hidden="1" x14ac:dyDescent="0.3">
      <c r="A1579" t="s">
        <v>25</v>
      </c>
      <c r="B1579" s="1">
        <v>44805</v>
      </c>
      <c r="C1579" s="2" t="s">
        <v>3</v>
      </c>
      <c r="D1579" s="2" t="s">
        <v>3</v>
      </c>
      <c r="E1579" s="2">
        <v>115</v>
      </c>
      <c r="F1579" s="2" t="s">
        <v>3</v>
      </c>
      <c r="G1579" s="2" t="s">
        <v>3</v>
      </c>
      <c r="H1579" s="2" t="s">
        <v>3</v>
      </c>
      <c r="I1579" s="2" t="s">
        <v>3</v>
      </c>
    </row>
    <row r="1580" spans="1:9" hidden="1" x14ac:dyDescent="0.3">
      <c r="A1580" t="s">
        <v>25</v>
      </c>
      <c r="B1580" s="1">
        <v>44774</v>
      </c>
      <c r="C1580" s="2" t="s">
        <v>3</v>
      </c>
      <c r="D1580" s="2" t="s">
        <v>3</v>
      </c>
      <c r="E1580" s="2">
        <v>169</v>
      </c>
      <c r="F1580" s="2" t="s">
        <v>3</v>
      </c>
      <c r="G1580" s="2" t="s">
        <v>3</v>
      </c>
      <c r="H1580" s="2" t="s">
        <v>3</v>
      </c>
      <c r="I1580" s="2" t="s">
        <v>3</v>
      </c>
    </row>
    <row r="1581" spans="1:9" hidden="1" x14ac:dyDescent="0.3">
      <c r="A1581" t="s">
        <v>25</v>
      </c>
      <c r="B1581" s="1">
        <v>44743</v>
      </c>
      <c r="C1581" s="2" t="s">
        <v>3</v>
      </c>
      <c r="D1581" s="2" t="s">
        <v>3</v>
      </c>
      <c r="E1581" s="2">
        <v>168</v>
      </c>
      <c r="F1581" s="2" t="s">
        <v>3</v>
      </c>
      <c r="G1581" s="2" t="s">
        <v>3</v>
      </c>
      <c r="H1581" s="2" t="s">
        <v>3</v>
      </c>
      <c r="I1581" s="2" t="s">
        <v>3</v>
      </c>
    </row>
    <row r="1582" spans="1:9" hidden="1" x14ac:dyDescent="0.3">
      <c r="A1582" t="s">
        <v>25</v>
      </c>
      <c r="B1582" s="1">
        <v>44713</v>
      </c>
      <c r="C1582" s="2" t="s">
        <v>3</v>
      </c>
      <c r="D1582" s="2" t="s">
        <v>3</v>
      </c>
      <c r="E1582" s="2">
        <v>162</v>
      </c>
      <c r="F1582" s="2" t="s">
        <v>3</v>
      </c>
      <c r="G1582" s="2" t="s">
        <v>3</v>
      </c>
      <c r="H1582" s="2" t="s">
        <v>3</v>
      </c>
      <c r="I1582" s="2" t="s">
        <v>3</v>
      </c>
    </row>
    <row r="1583" spans="1:9" hidden="1" x14ac:dyDescent="0.3">
      <c r="A1583" t="s">
        <v>25</v>
      </c>
      <c r="B1583" s="1">
        <v>44682</v>
      </c>
      <c r="C1583" s="2" t="s">
        <v>3</v>
      </c>
      <c r="D1583" s="2" t="s">
        <v>3</v>
      </c>
      <c r="E1583" s="2">
        <v>160</v>
      </c>
      <c r="F1583" s="2" t="s">
        <v>3</v>
      </c>
      <c r="G1583" s="2" t="s">
        <v>3</v>
      </c>
      <c r="H1583" s="2" t="s">
        <v>3</v>
      </c>
      <c r="I1583" s="2" t="s">
        <v>3</v>
      </c>
    </row>
    <row r="1584" spans="1:9" hidden="1" x14ac:dyDescent="0.3">
      <c r="A1584" t="s">
        <v>25</v>
      </c>
      <c r="B1584" s="1">
        <v>44652</v>
      </c>
      <c r="C1584" s="2" t="s">
        <v>3</v>
      </c>
      <c r="D1584" s="2" t="s">
        <v>3</v>
      </c>
      <c r="E1584" s="2">
        <v>209</v>
      </c>
      <c r="F1584" s="2" t="s">
        <v>3</v>
      </c>
      <c r="G1584" s="2" t="s">
        <v>3</v>
      </c>
      <c r="H1584" s="2" t="s">
        <v>3</v>
      </c>
      <c r="I1584" s="2" t="s">
        <v>3</v>
      </c>
    </row>
    <row r="1585" spans="1:9" hidden="1" x14ac:dyDescent="0.3">
      <c r="A1585" t="s">
        <v>25</v>
      </c>
      <c r="B1585" s="1">
        <v>44621</v>
      </c>
      <c r="C1585" s="2" t="s">
        <v>3</v>
      </c>
      <c r="D1585" s="2" t="s">
        <v>3</v>
      </c>
      <c r="E1585" s="2">
        <v>293</v>
      </c>
      <c r="F1585" s="2" t="s">
        <v>3</v>
      </c>
      <c r="G1585" s="2" t="s">
        <v>3</v>
      </c>
      <c r="H1585" s="2" t="s">
        <v>3</v>
      </c>
      <c r="I1585" s="2" t="s">
        <v>3</v>
      </c>
    </row>
    <row r="1586" spans="1:9" hidden="1" x14ac:dyDescent="0.3">
      <c r="A1586" t="s">
        <v>25</v>
      </c>
      <c r="B1586" s="1">
        <v>44593</v>
      </c>
      <c r="C1586" s="2" t="s">
        <v>3</v>
      </c>
      <c r="D1586" s="2" t="s">
        <v>3</v>
      </c>
      <c r="E1586" s="2">
        <v>316</v>
      </c>
      <c r="F1586" s="2" t="s">
        <v>3</v>
      </c>
      <c r="G1586" s="2" t="s">
        <v>3</v>
      </c>
      <c r="H1586" s="2" t="s">
        <v>3</v>
      </c>
      <c r="I1586" s="2" t="s">
        <v>3</v>
      </c>
    </row>
    <row r="1587" spans="1:9" hidden="1" x14ac:dyDescent="0.3">
      <c r="A1587" t="s">
        <v>25</v>
      </c>
      <c r="B1587" s="1">
        <v>44562</v>
      </c>
      <c r="C1587" s="2" t="s">
        <v>3</v>
      </c>
      <c r="D1587" s="2" t="s">
        <v>3</v>
      </c>
      <c r="E1587" s="2">
        <v>177</v>
      </c>
      <c r="F1587" s="2" t="s">
        <v>3</v>
      </c>
      <c r="G1587" s="2" t="s">
        <v>3</v>
      </c>
      <c r="H1587" s="2" t="s">
        <v>3</v>
      </c>
      <c r="I1587" s="2" t="s">
        <v>3</v>
      </c>
    </row>
    <row r="1588" spans="1:9" hidden="1" x14ac:dyDescent="0.3">
      <c r="A1588" t="s">
        <v>25</v>
      </c>
      <c r="B1588" s="1">
        <v>44531</v>
      </c>
      <c r="C1588" s="2" t="s">
        <v>3</v>
      </c>
      <c r="D1588" s="2" t="s">
        <v>3</v>
      </c>
      <c r="E1588" s="2">
        <v>215</v>
      </c>
      <c r="F1588" s="2" t="s">
        <v>3</v>
      </c>
      <c r="G1588" s="2" t="s">
        <v>3</v>
      </c>
      <c r="H1588" s="2" t="s">
        <v>3</v>
      </c>
      <c r="I1588" s="2" t="s">
        <v>3</v>
      </c>
    </row>
    <row r="1589" spans="1:9" hidden="1" x14ac:dyDescent="0.3">
      <c r="A1589" t="s">
        <v>25</v>
      </c>
      <c r="B1589" s="1">
        <v>44501</v>
      </c>
      <c r="C1589" s="2" t="s">
        <v>3</v>
      </c>
      <c r="D1589" s="2" t="s">
        <v>3</v>
      </c>
      <c r="E1589" s="2">
        <v>187</v>
      </c>
      <c r="F1589" s="2" t="s">
        <v>3</v>
      </c>
      <c r="G1589" s="2" t="s">
        <v>3</v>
      </c>
      <c r="H1589" s="2" t="s">
        <v>3</v>
      </c>
      <c r="I1589" s="2" t="s">
        <v>3</v>
      </c>
    </row>
    <row r="1590" spans="1:9" hidden="1" x14ac:dyDescent="0.3">
      <c r="A1590" t="s">
        <v>25</v>
      </c>
      <c r="B1590" s="1">
        <v>44470</v>
      </c>
      <c r="C1590" s="2" t="s">
        <v>3</v>
      </c>
      <c r="D1590" s="2" t="s">
        <v>3</v>
      </c>
      <c r="E1590" s="2">
        <v>493</v>
      </c>
      <c r="F1590" s="2" t="s">
        <v>3</v>
      </c>
      <c r="G1590" s="2" t="s">
        <v>3</v>
      </c>
      <c r="H1590" s="2" t="s">
        <v>3</v>
      </c>
      <c r="I1590" s="2" t="s">
        <v>3</v>
      </c>
    </row>
    <row r="1591" spans="1:9" hidden="1" x14ac:dyDescent="0.3">
      <c r="A1591" t="s">
        <v>25</v>
      </c>
      <c r="B1591" s="1">
        <v>44440</v>
      </c>
      <c r="C1591" s="2" t="s">
        <v>3</v>
      </c>
      <c r="D1591" s="2" t="s">
        <v>3</v>
      </c>
      <c r="E1591" s="2">
        <v>697</v>
      </c>
      <c r="F1591" s="2" t="s">
        <v>3</v>
      </c>
      <c r="G1591" s="2" t="s">
        <v>3</v>
      </c>
      <c r="H1591" s="2" t="s">
        <v>3</v>
      </c>
      <c r="I1591" s="2" t="s">
        <v>3</v>
      </c>
    </row>
    <row r="1592" spans="1:9" hidden="1" x14ac:dyDescent="0.3">
      <c r="A1592" t="s">
        <v>25</v>
      </c>
      <c r="B1592" s="1">
        <v>44409</v>
      </c>
      <c r="C1592" s="2" t="s">
        <v>3</v>
      </c>
      <c r="D1592" s="2" t="s">
        <v>3</v>
      </c>
      <c r="E1592" s="2">
        <v>668</v>
      </c>
      <c r="F1592" s="2" t="s">
        <v>3</v>
      </c>
      <c r="G1592" s="2" t="s">
        <v>3</v>
      </c>
      <c r="H1592" s="2" t="s">
        <v>3</v>
      </c>
      <c r="I1592" s="2" t="s">
        <v>3</v>
      </c>
    </row>
    <row r="1593" spans="1:9" hidden="1" x14ac:dyDescent="0.3">
      <c r="A1593" t="s">
        <v>25</v>
      </c>
      <c r="B1593" s="1">
        <v>44378</v>
      </c>
      <c r="C1593" s="2" t="s">
        <v>3</v>
      </c>
      <c r="D1593" s="2" t="s">
        <v>3</v>
      </c>
      <c r="E1593" s="2">
        <v>699</v>
      </c>
      <c r="F1593" s="2" t="s">
        <v>3</v>
      </c>
      <c r="G1593" s="2" t="s">
        <v>3</v>
      </c>
      <c r="H1593" s="2" t="s">
        <v>3</v>
      </c>
      <c r="I1593" s="2" t="s">
        <v>3</v>
      </c>
    </row>
    <row r="1594" spans="1:9" hidden="1" x14ac:dyDescent="0.3">
      <c r="A1594" t="s">
        <v>25</v>
      </c>
      <c r="B1594" s="1">
        <v>44348</v>
      </c>
      <c r="C1594" s="2" t="s">
        <v>3</v>
      </c>
      <c r="D1594" s="2" t="s">
        <v>3</v>
      </c>
      <c r="E1594" s="2">
        <v>684</v>
      </c>
      <c r="F1594" s="2" t="s">
        <v>3</v>
      </c>
      <c r="G1594" s="2" t="s">
        <v>3</v>
      </c>
      <c r="H1594" s="2" t="s">
        <v>3</v>
      </c>
      <c r="I1594" s="2" t="s">
        <v>3</v>
      </c>
    </row>
    <row r="1595" spans="1:9" hidden="1" x14ac:dyDescent="0.3">
      <c r="A1595" t="s">
        <v>25</v>
      </c>
      <c r="B1595" s="1">
        <v>44317</v>
      </c>
      <c r="C1595" s="2" t="s">
        <v>3</v>
      </c>
      <c r="D1595" s="2" t="s">
        <v>3</v>
      </c>
      <c r="E1595" s="2">
        <v>640</v>
      </c>
      <c r="F1595" s="2" t="s">
        <v>3</v>
      </c>
      <c r="G1595" s="2" t="s">
        <v>3</v>
      </c>
      <c r="H1595" s="2" t="s">
        <v>3</v>
      </c>
      <c r="I1595" s="2" t="s">
        <v>3</v>
      </c>
    </row>
    <row r="1596" spans="1:9" hidden="1" x14ac:dyDescent="0.3">
      <c r="A1596" t="s">
        <v>25</v>
      </c>
      <c r="B1596" s="1">
        <v>44287</v>
      </c>
      <c r="C1596" s="2" t="s">
        <v>3</v>
      </c>
      <c r="D1596" s="2" t="s">
        <v>3</v>
      </c>
      <c r="E1596" s="2">
        <v>640</v>
      </c>
      <c r="F1596" s="2" t="s">
        <v>3</v>
      </c>
      <c r="G1596" s="2" t="s">
        <v>3</v>
      </c>
      <c r="H1596" s="2" t="s">
        <v>3</v>
      </c>
      <c r="I1596" s="2" t="s">
        <v>3</v>
      </c>
    </row>
    <row r="1597" spans="1:9" hidden="1" x14ac:dyDescent="0.3">
      <c r="A1597" t="s">
        <v>25</v>
      </c>
      <c r="B1597" s="1">
        <v>44256</v>
      </c>
      <c r="C1597" s="2" t="s">
        <v>3</v>
      </c>
      <c r="D1597" s="2" t="s">
        <v>3</v>
      </c>
      <c r="E1597" s="2">
        <v>667</v>
      </c>
      <c r="F1597" s="2" t="s">
        <v>3</v>
      </c>
      <c r="G1597" s="2" t="s">
        <v>3</v>
      </c>
      <c r="H1597" s="2" t="s">
        <v>3</v>
      </c>
      <c r="I1597" s="2" t="s">
        <v>3</v>
      </c>
    </row>
    <row r="1598" spans="1:9" hidden="1" x14ac:dyDescent="0.3">
      <c r="A1598" t="s">
        <v>25</v>
      </c>
      <c r="B1598" s="1">
        <v>44228</v>
      </c>
      <c r="C1598" s="2" t="s">
        <v>3</v>
      </c>
      <c r="D1598" s="2" t="s">
        <v>3</v>
      </c>
      <c r="E1598" s="2">
        <v>678</v>
      </c>
      <c r="F1598" s="2" t="s">
        <v>3</v>
      </c>
      <c r="G1598" s="2" t="s">
        <v>3</v>
      </c>
      <c r="H1598" s="2" t="s">
        <v>3</v>
      </c>
      <c r="I1598" s="2" t="s">
        <v>3</v>
      </c>
    </row>
    <row r="1599" spans="1:9" hidden="1" x14ac:dyDescent="0.3">
      <c r="A1599" t="s">
        <v>25</v>
      </c>
      <c r="B1599" s="1">
        <v>44197</v>
      </c>
      <c r="C1599" s="2" t="s">
        <v>3</v>
      </c>
      <c r="D1599" s="2" t="s">
        <v>3</v>
      </c>
      <c r="E1599" s="2">
        <v>665</v>
      </c>
      <c r="F1599" s="2" t="s">
        <v>3</v>
      </c>
      <c r="G1599" s="2" t="s">
        <v>3</v>
      </c>
      <c r="H1599" s="2" t="s">
        <v>3</v>
      </c>
      <c r="I1599" s="2" t="s">
        <v>3</v>
      </c>
    </row>
    <row r="1600" spans="1:9" hidden="1" x14ac:dyDescent="0.3">
      <c r="A1600" t="s">
        <v>25</v>
      </c>
      <c r="B1600" s="1">
        <v>44166</v>
      </c>
      <c r="C1600" s="2" t="s">
        <v>3</v>
      </c>
      <c r="D1600" s="2" t="s">
        <v>3</v>
      </c>
      <c r="E1600" s="2">
        <v>671</v>
      </c>
      <c r="F1600" s="2" t="s">
        <v>3</v>
      </c>
      <c r="G1600" s="2" t="s">
        <v>3</v>
      </c>
      <c r="H1600" s="2" t="s">
        <v>3</v>
      </c>
      <c r="I1600" s="2" t="s">
        <v>3</v>
      </c>
    </row>
    <row r="1601" spans="1:9" hidden="1" x14ac:dyDescent="0.3">
      <c r="A1601" t="s">
        <v>25</v>
      </c>
      <c r="B1601" s="1">
        <v>44136</v>
      </c>
      <c r="C1601" s="2" t="s">
        <v>3</v>
      </c>
      <c r="D1601" s="2" t="s">
        <v>3</v>
      </c>
      <c r="E1601" s="2">
        <v>643</v>
      </c>
      <c r="F1601" s="2" t="s">
        <v>3</v>
      </c>
      <c r="G1601" s="2" t="s">
        <v>3</v>
      </c>
      <c r="H1601" s="2" t="s">
        <v>3</v>
      </c>
      <c r="I1601" s="2" t="s">
        <v>3</v>
      </c>
    </row>
    <row r="1602" spans="1:9" hidden="1" x14ac:dyDescent="0.3">
      <c r="A1602" t="s">
        <v>25</v>
      </c>
      <c r="B1602" s="1">
        <v>44105</v>
      </c>
      <c r="C1602" s="2" t="s">
        <v>3</v>
      </c>
      <c r="D1602" s="2" t="s">
        <v>3</v>
      </c>
      <c r="E1602" s="2">
        <v>515</v>
      </c>
      <c r="F1602" s="2" t="s">
        <v>3</v>
      </c>
      <c r="G1602" s="2" t="s">
        <v>3</v>
      </c>
      <c r="H1602" s="2" t="s">
        <v>3</v>
      </c>
      <c r="I1602" s="2" t="s">
        <v>3</v>
      </c>
    </row>
    <row r="1603" spans="1:9" hidden="1" x14ac:dyDescent="0.3">
      <c r="A1603" t="s">
        <v>25</v>
      </c>
      <c r="B1603" s="1">
        <v>44075</v>
      </c>
      <c r="C1603" s="2" t="s">
        <v>3</v>
      </c>
      <c r="D1603" s="2" t="s">
        <v>3</v>
      </c>
      <c r="E1603" s="2">
        <v>486</v>
      </c>
      <c r="F1603" s="2" t="s">
        <v>3</v>
      </c>
      <c r="G1603" s="2" t="s">
        <v>3</v>
      </c>
      <c r="H1603" s="2" t="s">
        <v>3</v>
      </c>
      <c r="I1603" s="2" t="s">
        <v>3</v>
      </c>
    </row>
    <row r="1604" spans="1:9" hidden="1" x14ac:dyDescent="0.3">
      <c r="A1604" t="s">
        <v>25</v>
      </c>
      <c r="B1604" s="1">
        <v>44044</v>
      </c>
      <c r="C1604" s="2" t="s">
        <v>3</v>
      </c>
      <c r="D1604" s="2" t="s">
        <v>3</v>
      </c>
      <c r="E1604" s="2">
        <v>576</v>
      </c>
      <c r="F1604" s="2" t="s">
        <v>3</v>
      </c>
      <c r="G1604" s="2" t="s">
        <v>3</v>
      </c>
      <c r="H1604" s="2" t="s">
        <v>3</v>
      </c>
      <c r="I1604" s="2" t="s">
        <v>3</v>
      </c>
    </row>
    <row r="1605" spans="1:9" hidden="1" x14ac:dyDescent="0.3">
      <c r="A1605" t="s">
        <v>25</v>
      </c>
      <c r="B1605" s="1">
        <v>44013</v>
      </c>
      <c r="C1605" s="2" t="s">
        <v>3</v>
      </c>
      <c r="D1605" s="2" t="s">
        <v>3</v>
      </c>
      <c r="E1605" s="2">
        <v>590</v>
      </c>
      <c r="F1605" s="2" t="s">
        <v>3</v>
      </c>
      <c r="G1605" s="2" t="s">
        <v>3</v>
      </c>
      <c r="H1605" s="2" t="s">
        <v>3</v>
      </c>
      <c r="I1605" s="2" t="s">
        <v>3</v>
      </c>
    </row>
    <row r="1606" spans="1:9" hidden="1" x14ac:dyDescent="0.3">
      <c r="A1606" t="s">
        <v>25</v>
      </c>
      <c r="B1606" s="1">
        <v>43983</v>
      </c>
      <c r="C1606" s="2" t="s">
        <v>3</v>
      </c>
      <c r="D1606" s="2" t="s">
        <v>3</v>
      </c>
      <c r="E1606" s="2">
        <v>771</v>
      </c>
      <c r="F1606" s="2" t="s">
        <v>3</v>
      </c>
      <c r="G1606" s="2" t="s">
        <v>3</v>
      </c>
      <c r="H1606" s="2" t="s">
        <v>3</v>
      </c>
      <c r="I1606" s="2" t="s">
        <v>3</v>
      </c>
    </row>
    <row r="1607" spans="1:9" hidden="1" x14ac:dyDescent="0.3">
      <c r="A1607" t="s">
        <v>25</v>
      </c>
      <c r="B1607" s="1">
        <v>43952</v>
      </c>
      <c r="C1607" s="2" t="s">
        <v>3</v>
      </c>
      <c r="D1607" s="2" t="s">
        <v>3</v>
      </c>
      <c r="E1607" s="2">
        <v>708</v>
      </c>
      <c r="F1607" s="2" t="s">
        <v>3</v>
      </c>
      <c r="G1607" s="2" t="s">
        <v>3</v>
      </c>
      <c r="H1607" s="2" t="s">
        <v>3</v>
      </c>
      <c r="I1607" s="2" t="s">
        <v>3</v>
      </c>
    </row>
    <row r="1608" spans="1:9" hidden="1" x14ac:dyDescent="0.3">
      <c r="A1608" t="s">
        <v>25</v>
      </c>
      <c r="B1608" s="1">
        <v>43922</v>
      </c>
      <c r="C1608" s="2" t="s">
        <v>3</v>
      </c>
      <c r="D1608" s="2" t="s">
        <v>3</v>
      </c>
      <c r="E1608" s="2">
        <v>654</v>
      </c>
      <c r="F1608" s="2" t="s">
        <v>3</v>
      </c>
      <c r="G1608" s="2" t="s">
        <v>3</v>
      </c>
      <c r="H1608" s="2" t="s">
        <v>3</v>
      </c>
      <c r="I1608" s="2" t="s">
        <v>3</v>
      </c>
    </row>
    <row r="1609" spans="1:9" hidden="1" x14ac:dyDescent="0.3">
      <c r="A1609" t="s">
        <v>25</v>
      </c>
      <c r="B1609" s="1">
        <v>43891</v>
      </c>
      <c r="C1609" s="2" t="s">
        <v>3</v>
      </c>
      <c r="D1609" s="2" t="s">
        <v>3</v>
      </c>
      <c r="E1609" s="2">
        <v>619</v>
      </c>
      <c r="F1609" s="2" t="s">
        <v>3</v>
      </c>
      <c r="G1609" s="2" t="s">
        <v>3</v>
      </c>
      <c r="H1609" s="2" t="s">
        <v>3</v>
      </c>
      <c r="I1609" s="2" t="s">
        <v>3</v>
      </c>
    </row>
    <row r="1610" spans="1:9" hidden="1" x14ac:dyDescent="0.3">
      <c r="A1610" t="s">
        <v>25</v>
      </c>
      <c r="B1610" s="1">
        <v>43862</v>
      </c>
      <c r="C1610" s="2" t="s">
        <v>3</v>
      </c>
      <c r="D1610" s="2" t="s">
        <v>3</v>
      </c>
      <c r="E1610" s="2">
        <v>981</v>
      </c>
      <c r="F1610" s="2" t="s">
        <v>3</v>
      </c>
      <c r="G1610" s="2" t="s">
        <v>3</v>
      </c>
      <c r="H1610" s="2" t="s">
        <v>3</v>
      </c>
      <c r="I1610" s="2" t="s">
        <v>3</v>
      </c>
    </row>
    <row r="1611" spans="1:9" hidden="1" x14ac:dyDescent="0.3">
      <c r="A1611" t="s">
        <v>25</v>
      </c>
      <c r="B1611" s="1">
        <v>43831</v>
      </c>
      <c r="C1611" s="2" t="s">
        <v>3</v>
      </c>
      <c r="D1611" s="2" t="s">
        <v>3</v>
      </c>
      <c r="E1611" s="2">
        <v>913</v>
      </c>
      <c r="F1611" s="2" t="s">
        <v>3</v>
      </c>
      <c r="G1611" s="2" t="s">
        <v>3</v>
      </c>
      <c r="H1611" s="2" t="s">
        <v>3</v>
      </c>
      <c r="I1611" s="2" t="s">
        <v>3</v>
      </c>
    </row>
    <row r="1612" spans="1:9" x14ac:dyDescent="0.3">
      <c r="A1612" t="s">
        <v>26</v>
      </c>
      <c r="B1612" s="1">
        <v>45931</v>
      </c>
      <c r="C1612" s="2" t="s">
        <v>3</v>
      </c>
      <c r="D1612" s="2" t="s">
        <v>3</v>
      </c>
      <c r="E1612" s="2">
        <v>55119</v>
      </c>
      <c r="F1612" s="2">
        <v>830</v>
      </c>
      <c r="G1612" s="2">
        <v>78</v>
      </c>
      <c r="H1612" s="2" t="s">
        <v>3</v>
      </c>
      <c r="I1612" s="2" t="s">
        <v>3</v>
      </c>
    </row>
    <row r="1613" spans="1:9" x14ac:dyDescent="0.3">
      <c r="A1613" t="s">
        <v>26</v>
      </c>
      <c r="B1613" s="1">
        <v>45901</v>
      </c>
      <c r="C1613" s="2" t="s">
        <v>3</v>
      </c>
      <c r="D1613" s="2" t="s">
        <v>3</v>
      </c>
      <c r="E1613" s="2">
        <v>54159</v>
      </c>
      <c r="F1613" s="2">
        <v>589</v>
      </c>
      <c r="G1613" s="2">
        <v>94</v>
      </c>
      <c r="H1613" s="2" t="s">
        <v>3</v>
      </c>
      <c r="I1613" s="2" t="s">
        <v>3</v>
      </c>
    </row>
    <row r="1614" spans="1:9" x14ac:dyDescent="0.3">
      <c r="A1614" t="s">
        <v>26</v>
      </c>
      <c r="B1614" s="1">
        <v>45870</v>
      </c>
      <c r="C1614" s="2" t="s">
        <v>3</v>
      </c>
      <c r="D1614" s="2" t="s">
        <v>3</v>
      </c>
      <c r="E1614" s="2">
        <v>53522</v>
      </c>
      <c r="F1614" s="2">
        <v>-5752</v>
      </c>
      <c r="G1614" s="2">
        <v>543</v>
      </c>
      <c r="H1614" s="2" t="s">
        <v>3</v>
      </c>
      <c r="I1614" s="2" t="s">
        <v>3</v>
      </c>
    </row>
    <row r="1615" spans="1:9" x14ac:dyDescent="0.3">
      <c r="A1615" t="s">
        <v>26</v>
      </c>
      <c r="B1615" s="1">
        <v>45839</v>
      </c>
      <c r="C1615" s="2" t="s">
        <v>3</v>
      </c>
      <c r="D1615" s="2" t="s">
        <v>3</v>
      </c>
      <c r="E1615" s="2">
        <v>58661</v>
      </c>
      <c r="F1615" s="2">
        <v>1213</v>
      </c>
      <c r="G1615" s="2">
        <v>-282</v>
      </c>
      <c r="H1615" s="2" t="s">
        <v>3</v>
      </c>
      <c r="I1615" s="2" t="s">
        <v>3</v>
      </c>
    </row>
    <row r="1616" spans="1:9" x14ac:dyDescent="0.3">
      <c r="A1616" t="s">
        <v>26</v>
      </c>
      <c r="B1616" s="1">
        <v>45809</v>
      </c>
      <c r="C1616" s="2" t="s">
        <v>3</v>
      </c>
      <c r="D1616" s="2" t="s">
        <v>3</v>
      </c>
      <c r="E1616" s="2">
        <v>57655</v>
      </c>
      <c r="F1616" s="2">
        <v>1902</v>
      </c>
      <c r="G1616" s="2">
        <v>620</v>
      </c>
      <c r="H1616" s="2" t="s">
        <v>3</v>
      </c>
      <c r="I1616" s="2" t="s">
        <v>3</v>
      </c>
    </row>
    <row r="1617" spans="1:9" x14ac:dyDescent="0.3">
      <c r="A1617" t="s">
        <v>26</v>
      </c>
      <c r="B1617" s="1">
        <v>45778</v>
      </c>
      <c r="C1617" s="2" t="s">
        <v>3</v>
      </c>
      <c r="D1617" s="2" t="s">
        <v>3</v>
      </c>
      <c r="E1617" s="2">
        <v>55303</v>
      </c>
      <c r="F1617" s="2">
        <v>1611</v>
      </c>
      <c r="G1617" s="2">
        <v>-474</v>
      </c>
      <c r="H1617" s="2" t="s">
        <v>3</v>
      </c>
      <c r="I1617" s="2" t="s">
        <v>3</v>
      </c>
    </row>
    <row r="1618" spans="1:9" x14ac:dyDescent="0.3">
      <c r="A1618" t="s">
        <v>26</v>
      </c>
      <c r="B1618" s="1">
        <v>45748</v>
      </c>
      <c r="C1618" s="2" t="s">
        <v>3</v>
      </c>
      <c r="D1618" s="2" t="s">
        <v>3</v>
      </c>
      <c r="E1618" s="2">
        <v>54176</v>
      </c>
      <c r="F1618" s="2">
        <v>5152</v>
      </c>
      <c r="G1618" s="2">
        <v>351</v>
      </c>
      <c r="H1618" s="2" t="s">
        <v>3</v>
      </c>
      <c r="I1618" s="2" t="s">
        <v>3</v>
      </c>
    </row>
    <row r="1619" spans="1:9" x14ac:dyDescent="0.3">
      <c r="A1619" t="s">
        <v>26</v>
      </c>
      <c r="B1619" s="1">
        <v>45717</v>
      </c>
      <c r="C1619" s="2" t="s">
        <v>3</v>
      </c>
      <c r="D1619" s="2" t="s">
        <v>3</v>
      </c>
      <c r="E1619" s="2">
        <v>48739</v>
      </c>
      <c r="F1619" s="2">
        <v>2265</v>
      </c>
      <c r="G1619" s="2">
        <v>55</v>
      </c>
      <c r="H1619" s="2" t="s">
        <v>3</v>
      </c>
      <c r="I1619" s="2" t="s">
        <v>3</v>
      </c>
    </row>
    <row r="1620" spans="1:9" x14ac:dyDescent="0.3">
      <c r="A1620" t="s">
        <v>26</v>
      </c>
      <c r="B1620" s="1">
        <v>45689</v>
      </c>
      <c r="C1620" s="2" t="s">
        <v>3</v>
      </c>
      <c r="D1620" s="2" t="s">
        <v>3</v>
      </c>
      <c r="E1620" s="2">
        <v>46360</v>
      </c>
      <c r="F1620" s="2">
        <v>-676</v>
      </c>
      <c r="G1620" s="2">
        <v>733</v>
      </c>
      <c r="H1620" s="2" t="s">
        <v>3</v>
      </c>
      <c r="I1620" s="2" t="s">
        <v>3</v>
      </c>
    </row>
    <row r="1621" spans="1:9" x14ac:dyDescent="0.3">
      <c r="A1621" t="s">
        <v>26</v>
      </c>
      <c r="B1621" s="1">
        <v>45658</v>
      </c>
      <c r="C1621" s="2" t="s">
        <v>3</v>
      </c>
      <c r="D1621" s="2" t="s">
        <v>3</v>
      </c>
      <c r="E1621" s="2">
        <v>46350</v>
      </c>
      <c r="F1621" s="2">
        <v>878</v>
      </c>
      <c r="G1621" s="2">
        <v>166</v>
      </c>
      <c r="H1621" s="2" t="s">
        <v>3</v>
      </c>
      <c r="I1621" s="2" t="s">
        <v>3</v>
      </c>
    </row>
    <row r="1622" spans="1:9" x14ac:dyDescent="0.3">
      <c r="A1622" t="s">
        <v>26</v>
      </c>
      <c r="B1622" s="1">
        <v>45627</v>
      </c>
      <c r="C1622" s="2" t="s">
        <v>3</v>
      </c>
      <c r="D1622" s="2" t="s">
        <v>3</v>
      </c>
      <c r="E1622" s="2">
        <v>45143</v>
      </c>
      <c r="F1622" s="2">
        <v>-30</v>
      </c>
      <c r="G1622" s="2">
        <v>-613</v>
      </c>
      <c r="H1622" s="2" t="s">
        <v>3</v>
      </c>
      <c r="I1622" s="2" t="s">
        <v>3</v>
      </c>
    </row>
    <row r="1623" spans="1:9" x14ac:dyDescent="0.3">
      <c r="A1623" t="s">
        <v>26</v>
      </c>
      <c r="B1623" s="1">
        <v>45597</v>
      </c>
      <c r="C1623" s="2" t="s">
        <v>3</v>
      </c>
      <c r="D1623" s="2" t="s">
        <v>3</v>
      </c>
      <c r="E1623" s="2">
        <v>45670</v>
      </c>
      <c r="F1623" s="2">
        <v>1766</v>
      </c>
      <c r="G1623" s="2">
        <v>214</v>
      </c>
      <c r="H1623" s="2" t="s">
        <v>3</v>
      </c>
      <c r="I1623" s="2" t="s">
        <v>3</v>
      </c>
    </row>
    <row r="1624" spans="1:9" x14ac:dyDescent="0.3">
      <c r="A1624" t="s">
        <v>26</v>
      </c>
      <c r="B1624" s="1">
        <v>45566</v>
      </c>
      <c r="C1624" s="2" t="s">
        <v>3</v>
      </c>
      <c r="D1624" s="2" t="s">
        <v>3</v>
      </c>
      <c r="E1624" s="2">
        <v>43367</v>
      </c>
      <c r="F1624" s="2">
        <v>-159</v>
      </c>
      <c r="G1624" s="2">
        <v>-999</v>
      </c>
      <c r="H1624" s="2" t="s">
        <v>3</v>
      </c>
      <c r="I1624" s="2" t="s">
        <v>3</v>
      </c>
    </row>
    <row r="1625" spans="1:9" x14ac:dyDescent="0.3">
      <c r="A1625" t="s">
        <v>26</v>
      </c>
      <c r="B1625" s="1">
        <v>45536</v>
      </c>
      <c r="C1625" s="2" t="s">
        <v>3</v>
      </c>
      <c r="D1625" s="2" t="s">
        <v>3</v>
      </c>
      <c r="E1625" s="2">
        <v>44175</v>
      </c>
      <c r="F1625" s="2">
        <v>503</v>
      </c>
      <c r="G1625" s="2">
        <v>412</v>
      </c>
      <c r="H1625" s="2" t="s">
        <v>3</v>
      </c>
      <c r="I1625" s="2" t="s">
        <v>3</v>
      </c>
    </row>
    <row r="1626" spans="1:9" x14ac:dyDescent="0.3">
      <c r="A1626" t="s">
        <v>26</v>
      </c>
      <c r="B1626" s="1">
        <v>45505</v>
      </c>
      <c r="C1626" s="2" t="s">
        <v>3</v>
      </c>
      <c r="D1626" s="2" t="s">
        <v>3</v>
      </c>
      <c r="E1626" s="2">
        <v>43314</v>
      </c>
      <c r="F1626" s="2">
        <v>-182</v>
      </c>
      <c r="G1626" s="2">
        <v>323</v>
      </c>
      <c r="H1626" s="2" t="s">
        <v>3</v>
      </c>
      <c r="I1626" s="2" t="s">
        <v>3</v>
      </c>
    </row>
    <row r="1627" spans="1:9" x14ac:dyDescent="0.3">
      <c r="A1627" t="s">
        <v>26</v>
      </c>
      <c r="B1627" s="1">
        <v>45474</v>
      </c>
      <c r="C1627" s="2" t="s">
        <v>3</v>
      </c>
      <c r="D1627" s="2" t="s">
        <v>3</v>
      </c>
      <c r="E1627" s="2">
        <v>43130</v>
      </c>
      <c r="F1627" s="2">
        <v>-191</v>
      </c>
      <c r="G1627" s="2">
        <v>770</v>
      </c>
      <c r="H1627" s="2" t="s">
        <v>3</v>
      </c>
      <c r="I1627" s="2" t="s">
        <v>3</v>
      </c>
    </row>
    <row r="1628" spans="1:9" x14ac:dyDescent="0.3">
      <c r="A1628" t="s">
        <v>26</v>
      </c>
      <c r="B1628" s="1">
        <v>45444</v>
      </c>
      <c r="C1628" s="2" t="s">
        <v>3</v>
      </c>
      <c r="D1628" s="2" t="s">
        <v>3</v>
      </c>
      <c r="E1628" s="2">
        <v>42056</v>
      </c>
      <c r="F1628" s="2">
        <v>2870</v>
      </c>
      <c r="G1628" s="2">
        <v>269</v>
      </c>
      <c r="H1628" s="2" t="s">
        <v>3</v>
      </c>
      <c r="I1628" s="2" t="s">
        <v>3</v>
      </c>
    </row>
    <row r="1629" spans="1:9" x14ac:dyDescent="0.3">
      <c r="A1629" t="s">
        <v>26</v>
      </c>
      <c r="B1629" s="1">
        <v>45413</v>
      </c>
      <c r="C1629" s="2" t="s">
        <v>3</v>
      </c>
      <c r="D1629" s="2" t="s">
        <v>3</v>
      </c>
      <c r="E1629" s="2">
        <v>38964</v>
      </c>
      <c r="F1629" s="2">
        <v>582</v>
      </c>
      <c r="G1629" s="2">
        <v>388</v>
      </c>
      <c r="H1629" s="2" t="s">
        <v>3</v>
      </c>
      <c r="I1629" s="2" t="s">
        <v>3</v>
      </c>
    </row>
    <row r="1630" spans="1:9" x14ac:dyDescent="0.3">
      <c r="A1630" t="s">
        <v>26</v>
      </c>
      <c r="B1630" s="1">
        <v>45383</v>
      </c>
      <c r="C1630" s="2" t="s">
        <v>3</v>
      </c>
      <c r="D1630" s="2" t="s">
        <v>3</v>
      </c>
      <c r="E1630" s="2">
        <v>37983</v>
      </c>
      <c r="F1630" s="2">
        <v>-1125</v>
      </c>
      <c r="G1630" s="2">
        <v>-696</v>
      </c>
      <c r="H1630" s="2" t="s">
        <v>3</v>
      </c>
      <c r="I1630" s="2" t="s">
        <v>3</v>
      </c>
    </row>
    <row r="1631" spans="1:9" x14ac:dyDescent="0.3">
      <c r="A1631" t="s">
        <v>26</v>
      </c>
      <c r="B1631" s="1">
        <v>45352</v>
      </c>
      <c r="C1631" s="2" t="s">
        <v>3</v>
      </c>
      <c r="D1631" s="2" t="s">
        <v>3</v>
      </c>
      <c r="E1631" s="2">
        <v>39734</v>
      </c>
      <c r="F1631" s="2">
        <v>-147</v>
      </c>
      <c r="G1631" s="2">
        <v>177</v>
      </c>
      <c r="H1631" s="2" t="s">
        <v>3</v>
      </c>
      <c r="I1631" s="2" t="s">
        <v>3</v>
      </c>
    </row>
    <row r="1632" spans="1:9" x14ac:dyDescent="0.3">
      <c r="A1632" t="s">
        <v>26</v>
      </c>
      <c r="B1632" s="1">
        <v>45323</v>
      </c>
      <c r="C1632" s="2" t="s">
        <v>3</v>
      </c>
      <c r="D1632" s="2" t="s">
        <v>3</v>
      </c>
      <c r="E1632" s="2">
        <v>40081</v>
      </c>
      <c r="F1632" s="2">
        <v>221</v>
      </c>
      <c r="G1632" s="2">
        <v>-536</v>
      </c>
      <c r="H1632" s="2" t="s">
        <v>3</v>
      </c>
      <c r="I1632" s="2" t="s">
        <v>3</v>
      </c>
    </row>
    <row r="1633" spans="1:9" x14ac:dyDescent="0.3">
      <c r="A1633" t="s">
        <v>26</v>
      </c>
      <c r="B1633" s="1">
        <v>45292</v>
      </c>
      <c r="C1633" s="2" t="s">
        <v>3</v>
      </c>
      <c r="D1633" s="2" t="s">
        <v>3</v>
      </c>
      <c r="E1633" s="2">
        <v>40545</v>
      </c>
      <c r="F1633" s="2">
        <v>-527</v>
      </c>
      <c r="G1633" s="2">
        <v>-89</v>
      </c>
      <c r="H1633" s="2" t="s">
        <v>3</v>
      </c>
      <c r="I1633" s="2" t="s">
        <v>3</v>
      </c>
    </row>
    <row r="1634" spans="1:9" x14ac:dyDescent="0.3">
      <c r="A1634" t="s">
        <v>26</v>
      </c>
      <c r="B1634" s="1">
        <v>45261</v>
      </c>
      <c r="C1634" s="2" t="s">
        <v>3</v>
      </c>
      <c r="D1634" s="2" t="s">
        <v>3</v>
      </c>
      <c r="E1634" s="2">
        <v>41040</v>
      </c>
      <c r="F1634" s="2">
        <v>-872</v>
      </c>
      <c r="G1634" s="2">
        <v>725</v>
      </c>
      <c r="H1634" s="2" t="s">
        <v>3</v>
      </c>
      <c r="I1634" s="2" t="s">
        <v>3</v>
      </c>
    </row>
    <row r="1635" spans="1:9" x14ac:dyDescent="0.3">
      <c r="A1635" t="s">
        <v>26</v>
      </c>
      <c r="B1635" s="1">
        <v>45231</v>
      </c>
      <c r="C1635" s="2" t="s">
        <v>3</v>
      </c>
      <c r="D1635" s="2" t="s">
        <v>3</v>
      </c>
      <c r="E1635" s="2">
        <v>41104</v>
      </c>
      <c r="F1635" s="2">
        <v>508</v>
      </c>
      <c r="G1635" s="2">
        <v>966</v>
      </c>
      <c r="H1635" s="2" t="s">
        <v>3</v>
      </c>
      <c r="I1635" s="2" t="s">
        <v>3</v>
      </c>
    </row>
    <row r="1636" spans="1:9" x14ac:dyDescent="0.3">
      <c r="A1636" t="s">
        <v>26</v>
      </c>
      <c r="B1636" s="1">
        <v>45200</v>
      </c>
      <c r="C1636" s="2" t="s">
        <v>3</v>
      </c>
      <c r="D1636" s="2" t="s">
        <v>3</v>
      </c>
      <c r="E1636" s="2">
        <v>39862</v>
      </c>
      <c r="F1636" s="2">
        <v>-3085</v>
      </c>
      <c r="G1636" s="2">
        <v>46</v>
      </c>
      <c r="H1636" s="2" t="s">
        <v>3</v>
      </c>
      <c r="I1636" s="2" t="s">
        <v>3</v>
      </c>
    </row>
    <row r="1637" spans="1:9" x14ac:dyDescent="0.3">
      <c r="A1637" t="s">
        <v>26</v>
      </c>
      <c r="B1637" s="1">
        <v>45170</v>
      </c>
      <c r="C1637" s="2" t="s">
        <v>3</v>
      </c>
      <c r="D1637" s="2" t="s">
        <v>3</v>
      </c>
      <c r="E1637" s="2">
        <v>43168</v>
      </c>
      <c r="F1637" s="2">
        <v>41</v>
      </c>
      <c r="G1637" s="2">
        <v>-831</v>
      </c>
      <c r="H1637" s="2" t="s">
        <v>3</v>
      </c>
      <c r="I1637" s="2" t="s">
        <v>3</v>
      </c>
    </row>
    <row r="1638" spans="1:9" x14ac:dyDescent="0.3">
      <c r="A1638" t="s">
        <v>26</v>
      </c>
      <c r="B1638" s="1">
        <v>45139</v>
      </c>
      <c r="C1638" s="2" t="s">
        <v>3</v>
      </c>
      <c r="D1638" s="2" t="s">
        <v>3</v>
      </c>
      <c r="E1638" s="2">
        <v>43564</v>
      </c>
      <c r="F1638" s="2">
        <v>1231</v>
      </c>
      <c r="G1638" s="2">
        <v>95</v>
      </c>
      <c r="H1638" s="2" t="s">
        <v>3</v>
      </c>
      <c r="I1638" s="2" t="s">
        <v>3</v>
      </c>
    </row>
    <row r="1639" spans="1:9" x14ac:dyDescent="0.3">
      <c r="A1639" t="s">
        <v>26</v>
      </c>
      <c r="B1639" s="1">
        <v>45108</v>
      </c>
      <c r="C1639" s="2" t="s">
        <v>3</v>
      </c>
      <c r="D1639" s="2" t="s">
        <v>3</v>
      </c>
      <c r="E1639" s="2">
        <v>42374</v>
      </c>
      <c r="F1639" s="2">
        <v>-60</v>
      </c>
      <c r="G1639" s="2">
        <v>-64</v>
      </c>
      <c r="H1639" s="2" t="s">
        <v>3</v>
      </c>
      <c r="I1639" s="2" t="s">
        <v>3</v>
      </c>
    </row>
    <row r="1640" spans="1:9" x14ac:dyDescent="0.3">
      <c r="A1640" t="s">
        <v>26</v>
      </c>
      <c r="B1640" s="1">
        <v>45078</v>
      </c>
      <c r="C1640" s="2" t="s">
        <v>3</v>
      </c>
      <c r="D1640" s="2" t="s">
        <v>3</v>
      </c>
      <c r="E1640" s="2">
        <v>42529</v>
      </c>
      <c r="F1640" s="2">
        <v>1825</v>
      </c>
      <c r="G1640" s="2">
        <v>-428</v>
      </c>
      <c r="H1640" s="2" t="s">
        <v>3</v>
      </c>
      <c r="I1640" s="2" t="s">
        <v>3</v>
      </c>
    </row>
    <row r="1641" spans="1:9" x14ac:dyDescent="0.3">
      <c r="A1641" t="s">
        <v>26</v>
      </c>
      <c r="B1641" s="1">
        <v>45047</v>
      </c>
      <c r="C1641" s="2" t="s">
        <v>3</v>
      </c>
      <c r="D1641" s="2" t="s">
        <v>3</v>
      </c>
      <c r="E1641" s="2">
        <v>41130</v>
      </c>
      <c r="F1641" s="2">
        <v>1620</v>
      </c>
      <c r="G1641" s="2">
        <v>-377</v>
      </c>
      <c r="H1641" s="2" t="s">
        <v>3</v>
      </c>
      <c r="I1641" s="2" t="s">
        <v>3</v>
      </c>
    </row>
    <row r="1642" spans="1:9" x14ac:dyDescent="0.3">
      <c r="A1642" t="s">
        <v>26</v>
      </c>
      <c r="B1642" s="1">
        <v>45017</v>
      </c>
      <c r="C1642" s="2" t="s">
        <v>3</v>
      </c>
      <c r="D1642" s="2" t="s">
        <v>3</v>
      </c>
      <c r="E1642" s="2">
        <v>39874</v>
      </c>
      <c r="F1642" s="2">
        <v>1957</v>
      </c>
      <c r="G1642" s="2">
        <v>99</v>
      </c>
      <c r="H1642" s="2" t="s">
        <v>3</v>
      </c>
      <c r="I1642" s="2" t="s">
        <v>3</v>
      </c>
    </row>
    <row r="1643" spans="1:9" x14ac:dyDescent="0.3">
      <c r="A1643" t="s">
        <v>26</v>
      </c>
      <c r="B1643" s="1">
        <v>44986</v>
      </c>
      <c r="C1643" s="2" t="s">
        <v>3</v>
      </c>
      <c r="D1643" s="2" t="s">
        <v>3</v>
      </c>
      <c r="E1643" s="2">
        <v>37767</v>
      </c>
      <c r="F1643" s="2">
        <v>-207</v>
      </c>
      <c r="G1643" s="2">
        <v>884</v>
      </c>
      <c r="H1643" s="2" t="s">
        <v>3</v>
      </c>
      <c r="I1643" s="2" t="s">
        <v>3</v>
      </c>
    </row>
    <row r="1644" spans="1:9" x14ac:dyDescent="0.3">
      <c r="A1644" t="s">
        <v>26</v>
      </c>
      <c r="B1644" s="1">
        <v>44958</v>
      </c>
      <c r="C1644" s="2" t="s">
        <v>3</v>
      </c>
      <c r="D1644" s="2" t="s">
        <v>3</v>
      </c>
      <c r="E1644" s="2">
        <v>37142</v>
      </c>
      <c r="F1644" s="2">
        <v>1123</v>
      </c>
      <c r="G1644" s="2">
        <v>-761</v>
      </c>
      <c r="H1644" s="2" t="s">
        <v>3</v>
      </c>
      <c r="I1644" s="2" t="s">
        <v>3</v>
      </c>
    </row>
    <row r="1645" spans="1:9" hidden="1" x14ac:dyDescent="0.3">
      <c r="A1645" t="s">
        <v>26</v>
      </c>
      <c r="B1645" s="1">
        <v>44927</v>
      </c>
      <c r="C1645" s="2" t="s">
        <v>3</v>
      </c>
      <c r="D1645" s="2" t="s">
        <v>3</v>
      </c>
      <c r="E1645" s="2">
        <v>36689</v>
      </c>
      <c r="F1645" s="2" t="s">
        <v>3</v>
      </c>
      <c r="G1645" s="2" t="s">
        <v>3</v>
      </c>
      <c r="H1645" s="2" t="s">
        <v>3</v>
      </c>
      <c r="I1645" s="2" t="s">
        <v>3</v>
      </c>
    </row>
    <row r="1646" spans="1:9" hidden="1" x14ac:dyDescent="0.3">
      <c r="A1646" t="s">
        <v>26</v>
      </c>
      <c r="B1646" s="1">
        <v>44896</v>
      </c>
      <c r="C1646" s="2" t="s">
        <v>3</v>
      </c>
      <c r="D1646" s="2" t="s">
        <v>3</v>
      </c>
      <c r="E1646" s="2">
        <v>35309</v>
      </c>
      <c r="F1646" s="2" t="s">
        <v>3</v>
      </c>
      <c r="G1646" s="2" t="s">
        <v>3</v>
      </c>
      <c r="H1646" s="2" t="s">
        <v>3</v>
      </c>
      <c r="I1646" s="2" t="s">
        <v>3</v>
      </c>
    </row>
    <row r="1647" spans="1:9" hidden="1" x14ac:dyDescent="0.3">
      <c r="A1647" t="s">
        <v>26</v>
      </c>
      <c r="B1647" s="1">
        <v>44866</v>
      </c>
      <c r="C1647" s="2" t="s">
        <v>3</v>
      </c>
      <c r="D1647" s="2" t="s">
        <v>3</v>
      </c>
      <c r="E1647" s="2">
        <v>33785</v>
      </c>
      <c r="F1647" s="2" t="s">
        <v>3</v>
      </c>
      <c r="G1647" s="2" t="s">
        <v>3</v>
      </c>
      <c r="H1647" s="2" t="s">
        <v>3</v>
      </c>
      <c r="I1647" s="2" t="s">
        <v>3</v>
      </c>
    </row>
    <row r="1648" spans="1:9" hidden="1" x14ac:dyDescent="0.3">
      <c r="A1648" t="s">
        <v>26</v>
      </c>
      <c r="B1648" s="1">
        <v>44835</v>
      </c>
      <c r="C1648" s="2" t="s">
        <v>3</v>
      </c>
      <c r="D1648" s="2" t="s">
        <v>3</v>
      </c>
      <c r="E1648" s="2">
        <v>31373</v>
      </c>
      <c r="F1648" s="2" t="s">
        <v>3</v>
      </c>
      <c r="G1648" s="2" t="s">
        <v>3</v>
      </c>
      <c r="H1648" s="2" t="s">
        <v>3</v>
      </c>
      <c r="I1648" s="2" t="s">
        <v>3</v>
      </c>
    </row>
    <row r="1649" spans="1:9" hidden="1" x14ac:dyDescent="0.3">
      <c r="A1649" t="s">
        <v>26</v>
      </c>
      <c r="B1649" s="1">
        <v>44805</v>
      </c>
      <c r="C1649" s="2" t="s">
        <v>3</v>
      </c>
      <c r="D1649" s="2" t="s">
        <v>3</v>
      </c>
      <c r="E1649" s="2">
        <v>31244</v>
      </c>
      <c r="F1649" s="2" t="s">
        <v>3</v>
      </c>
      <c r="G1649" s="2" t="s">
        <v>3</v>
      </c>
      <c r="H1649" s="2" t="s">
        <v>3</v>
      </c>
      <c r="I1649" s="2" t="s">
        <v>3</v>
      </c>
    </row>
    <row r="1650" spans="1:9" hidden="1" x14ac:dyDescent="0.3">
      <c r="A1650" t="s">
        <v>26</v>
      </c>
      <c r="B1650" s="1">
        <v>44774</v>
      </c>
      <c r="C1650" s="2" t="s">
        <v>3</v>
      </c>
      <c r="D1650" s="2" t="s">
        <v>3</v>
      </c>
      <c r="E1650" s="2">
        <v>33902</v>
      </c>
      <c r="F1650" s="2" t="s">
        <v>3</v>
      </c>
      <c r="G1650" s="2" t="s">
        <v>3</v>
      </c>
      <c r="H1650" s="2" t="s">
        <v>3</v>
      </c>
      <c r="I1650" s="2" t="s">
        <v>3</v>
      </c>
    </row>
    <row r="1651" spans="1:9" hidden="1" x14ac:dyDescent="0.3">
      <c r="A1651" t="s">
        <v>26</v>
      </c>
      <c r="B1651" s="1">
        <v>44743</v>
      </c>
      <c r="C1651" s="2" t="s">
        <v>3</v>
      </c>
      <c r="D1651" s="2" t="s">
        <v>3</v>
      </c>
      <c r="E1651" s="2">
        <v>35070</v>
      </c>
      <c r="F1651" s="2" t="s">
        <v>3</v>
      </c>
      <c r="G1651" s="2" t="s">
        <v>3</v>
      </c>
      <c r="H1651" s="2" t="s">
        <v>3</v>
      </c>
      <c r="I1651" s="2" t="s">
        <v>3</v>
      </c>
    </row>
    <row r="1652" spans="1:9" hidden="1" x14ac:dyDescent="0.3">
      <c r="A1652" t="s">
        <v>26</v>
      </c>
      <c r="B1652" s="1">
        <v>44713</v>
      </c>
      <c r="C1652" s="2" t="s">
        <v>3</v>
      </c>
      <c r="D1652" s="2" t="s">
        <v>3</v>
      </c>
      <c r="E1652" s="2">
        <v>34086</v>
      </c>
      <c r="F1652" s="2" t="s">
        <v>3</v>
      </c>
      <c r="G1652" s="2" t="s">
        <v>3</v>
      </c>
      <c r="H1652" s="2" t="s">
        <v>3</v>
      </c>
      <c r="I1652" s="2" t="s">
        <v>3</v>
      </c>
    </row>
    <row r="1653" spans="1:9" hidden="1" x14ac:dyDescent="0.3">
      <c r="A1653" t="s">
        <v>26</v>
      </c>
      <c r="B1653" s="1">
        <v>44682</v>
      </c>
      <c r="C1653" s="2" t="s">
        <v>3</v>
      </c>
      <c r="D1653" s="2" t="s">
        <v>3</v>
      </c>
      <c r="E1653" s="2">
        <v>34151</v>
      </c>
      <c r="F1653" s="2" t="s">
        <v>3</v>
      </c>
      <c r="G1653" s="2" t="s">
        <v>3</v>
      </c>
      <c r="H1653" s="2" t="s">
        <v>3</v>
      </c>
      <c r="I1653" s="2" t="s">
        <v>3</v>
      </c>
    </row>
    <row r="1654" spans="1:9" hidden="1" x14ac:dyDescent="0.3">
      <c r="A1654" t="s">
        <v>26</v>
      </c>
      <c r="B1654" s="1">
        <v>44652</v>
      </c>
      <c r="C1654" s="2" t="s">
        <v>3</v>
      </c>
      <c r="D1654" s="2" t="s">
        <v>3</v>
      </c>
      <c r="E1654" s="2">
        <v>33228</v>
      </c>
      <c r="F1654" s="2" t="s">
        <v>3</v>
      </c>
      <c r="G1654" s="2" t="s">
        <v>3</v>
      </c>
      <c r="H1654" s="2" t="s">
        <v>3</v>
      </c>
      <c r="I1654" s="2" t="s">
        <v>3</v>
      </c>
    </row>
    <row r="1655" spans="1:9" hidden="1" x14ac:dyDescent="0.3">
      <c r="A1655" t="s">
        <v>26</v>
      </c>
      <c r="B1655" s="1">
        <v>44621</v>
      </c>
      <c r="C1655" s="2" t="s">
        <v>3</v>
      </c>
      <c r="D1655" s="2" t="s">
        <v>3</v>
      </c>
      <c r="E1655" s="2">
        <v>36690</v>
      </c>
      <c r="F1655" s="2" t="s">
        <v>3</v>
      </c>
      <c r="G1655" s="2" t="s">
        <v>3</v>
      </c>
      <c r="H1655" s="2" t="s">
        <v>3</v>
      </c>
      <c r="I1655" s="2" t="s">
        <v>3</v>
      </c>
    </row>
    <row r="1656" spans="1:9" hidden="1" x14ac:dyDescent="0.3">
      <c r="A1656" t="s">
        <v>26</v>
      </c>
      <c r="B1656" s="1">
        <v>44593</v>
      </c>
      <c r="C1656" s="2" t="s">
        <v>3</v>
      </c>
      <c r="D1656" s="2" t="s">
        <v>3</v>
      </c>
      <c r="E1656" s="2">
        <v>36926</v>
      </c>
      <c r="F1656" s="2" t="s">
        <v>3</v>
      </c>
      <c r="G1656" s="2" t="s">
        <v>3</v>
      </c>
      <c r="H1656" s="2" t="s">
        <v>3</v>
      </c>
      <c r="I1656" s="2" t="s">
        <v>3</v>
      </c>
    </row>
    <row r="1657" spans="1:9" hidden="1" x14ac:dyDescent="0.3">
      <c r="A1657" t="s">
        <v>26</v>
      </c>
      <c r="B1657" s="1">
        <v>44562</v>
      </c>
      <c r="C1657" s="2" t="s">
        <v>3</v>
      </c>
      <c r="D1657" s="2" t="s">
        <v>3</v>
      </c>
      <c r="E1657" s="2">
        <v>37010</v>
      </c>
      <c r="F1657" s="2" t="s">
        <v>3</v>
      </c>
      <c r="G1657" s="2" t="s">
        <v>3</v>
      </c>
      <c r="H1657" s="2" t="s">
        <v>3</v>
      </c>
      <c r="I1657" s="2" t="s">
        <v>3</v>
      </c>
    </row>
    <row r="1658" spans="1:9" hidden="1" x14ac:dyDescent="0.3">
      <c r="A1658" t="s">
        <v>26</v>
      </c>
      <c r="B1658" s="1">
        <v>44531</v>
      </c>
      <c r="C1658" s="2" t="s">
        <v>3</v>
      </c>
      <c r="D1658" s="2" t="s">
        <v>3</v>
      </c>
      <c r="E1658" s="2">
        <v>36540</v>
      </c>
      <c r="F1658" s="2" t="s">
        <v>3</v>
      </c>
      <c r="G1658" s="2" t="s">
        <v>3</v>
      </c>
      <c r="H1658" s="2" t="s">
        <v>3</v>
      </c>
      <c r="I1658" s="2" t="s">
        <v>3</v>
      </c>
    </row>
    <row r="1659" spans="1:9" hidden="1" x14ac:dyDescent="0.3">
      <c r="A1659" t="s">
        <v>26</v>
      </c>
      <c r="B1659" s="1">
        <v>44501</v>
      </c>
      <c r="C1659" s="2" t="s">
        <v>3</v>
      </c>
      <c r="D1659" s="2" t="s">
        <v>3</v>
      </c>
      <c r="E1659" s="2">
        <v>50148</v>
      </c>
      <c r="F1659" s="2" t="s">
        <v>3</v>
      </c>
      <c r="G1659" s="2" t="s">
        <v>3</v>
      </c>
      <c r="H1659" s="2" t="s">
        <v>3</v>
      </c>
      <c r="I1659" s="2" t="s">
        <v>3</v>
      </c>
    </row>
    <row r="1660" spans="1:9" hidden="1" x14ac:dyDescent="0.3">
      <c r="A1660" t="s">
        <v>26</v>
      </c>
      <c r="B1660" s="1">
        <v>44470</v>
      </c>
      <c r="C1660" s="2" t="s">
        <v>3</v>
      </c>
      <c r="D1660" s="2" t="s">
        <v>3</v>
      </c>
      <c r="E1660" s="2">
        <v>45504</v>
      </c>
      <c r="F1660" s="2" t="s">
        <v>3</v>
      </c>
      <c r="G1660" s="2" t="s">
        <v>3</v>
      </c>
      <c r="H1660" s="2" t="s">
        <v>3</v>
      </c>
      <c r="I1660" s="2" t="s">
        <v>3</v>
      </c>
    </row>
    <row r="1661" spans="1:9" hidden="1" x14ac:dyDescent="0.3">
      <c r="A1661" t="s">
        <v>26</v>
      </c>
      <c r="B1661" s="1">
        <v>44440</v>
      </c>
      <c r="C1661" s="2" t="s">
        <v>3</v>
      </c>
      <c r="D1661" s="2" t="s">
        <v>3</v>
      </c>
      <c r="E1661" s="2">
        <v>46067</v>
      </c>
      <c r="F1661" s="2" t="s">
        <v>3</v>
      </c>
      <c r="G1661" s="2" t="s">
        <v>3</v>
      </c>
      <c r="H1661" s="2" t="s">
        <v>3</v>
      </c>
      <c r="I1661" s="2" t="s">
        <v>3</v>
      </c>
    </row>
    <row r="1662" spans="1:9" hidden="1" x14ac:dyDescent="0.3">
      <c r="A1662" t="s">
        <v>26</v>
      </c>
      <c r="B1662" s="1">
        <v>44409</v>
      </c>
      <c r="C1662" s="2" t="s">
        <v>3</v>
      </c>
      <c r="D1662" s="2" t="s">
        <v>3</v>
      </c>
      <c r="E1662" s="2">
        <v>46081</v>
      </c>
      <c r="F1662" s="2" t="s">
        <v>3</v>
      </c>
      <c r="G1662" s="2" t="s">
        <v>3</v>
      </c>
      <c r="H1662" s="2" t="s">
        <v>3</v>
      </c>
      <c r="I1662" s="2" t="s">
        <v>3</v>
      </c>
    </row>
    <row r="1663" spans="1:9" hidden="1" x14ac:dyDescent="0.3">
      <c r="A1663" t="s">
        <v>26</v>
      </c>
      <c r="B1663" s="1">
        <v>44378</v>
      </c>
      <c r="C1663" s="2" t="s">
        <v>3</v>
      </c>
      <c r="D1663" s="2" t="s">
        <v>3</v>
      </c>
      <c r="E1663" s="2">
        <v>41091</v>
      </c>
      <c r="F1663" s="2" t="s">
        <v>3</v>
      </c>
      <c r="G1663" s="2" t="s">
        <v>3</v>
      </c>
      <c r="H1663" s="2" t="s">
        <v>3</v>
      </c>
      <c r="I1663" s="2" t="s">
        <v>3</v>
      </c>
    </row>
    <row r="1664" spans="1:9" hidden="1" x14ac:dyDescent="0.3">
      <c r="A1664" t="s">
        <v>26</v>
      </c>
      <c r="B1664" s="1">
        <v>44348</v>
      </c>
      <c r="C1664" s="2" t="s">
        <v>3</v>
      </c>
      <c r="D1664" s="2" t="s">
        <v>3</v>
      </c>
      <c r="E1664" s="2">
        <v>42438</v>
      </c>
      <c r="F1664" s="2" t="s">
        <v>3</v>
      </c>
      <c r="G1664" s="2" t="s">
        <v>3</v>
      </c>
      <c r="H1664" s="2" t="s">
        <v>3</v>
      </c>
      <c r="I1664" s="2" t="s">
        <v>3</v>
      </c>
    </row>
    <row r="1665" spans="1:9" hidden="1" x14ac:dyDescent="0.3">
      <c r="A1665" t="s">
        <v>26</v>
      </c>
      <c r="B1665" s="1">
        <v>44317</v>
      </c>
      <c r="C1665" s="2" t="s">
        <v>3</v>
      </c>
      <c r="D1665" s="2" t="s">
        <v>3</v>
      </c>
      <c r="E1665" s="2">
        <v>44721</v>
      </c>
      <c r="F1665" s="2" t="s">
        <v>3</v>
      </c>
      <c r="G1665" s="2" t="s">
        <v>3</v>
      </c>
      <c r="H1665" s="2" t="s">
        <v>3</v>
      </c>
      <c r="I1665" s="2" t="s">
        <v>3</v>
      </c>
    </row>
    <row r="1666" spans="1:9" hidden="1" x14ac:dyDescent="0.3">
      <c r="A1666" t="s">
        <v>26</v>
      </c>
      <c r="B1666" s="1">
        <v>44287</v>
      </c>
      <c r="C1666" s="2" t="s">
        <v>3</v>
      </c>
      <c r="D1666" s="2" t="s">
        <v>3</v>
      </c>
      <c r="E1666" s="2">
        <v>40037</v>
      </c>
      <c r="F1666" s="2" t="s">
        <v>3</v>
      </c>
      <c r="G1666" s="2" t="s">
        <v>3</v>
      </c>
      <c r="H1666" s="2" t="s">
        <v>3</v>
      </c>
      <c r="I1666" s="2" t="s">
        <v>3</v>
      </c>
    </row>
    <row r="1667" spans="1:9" hidden="1" x14ac:dyDescent="0.3">
      <c r="A1667" t="s">
        <v>26</v>
      </c>
      <c r="B1667" s="1">
        <v>44256</v>
      </c>
      <c r="C1667" s="2" t="s">
        <v>3</v>
      </c>
      <c r="D1667" s="2" t="s">
        <v>3</v>
      </c>
      <c r="E1667" s="2">
        <v>41883</v>
      </c>
      <c r="F1667" s="2" t="s">
        <v>3</v>
      </c>
      <c r="G1667" s="2" t="s">
        <v>3</v>
      </c>
      <c r="H1667" s="2" t="s">
        <v>3</v>
      </c>
      <c r="I1667" s="2" t="s">
        <v>3</v>
      </c>
    </row>
    <row r="1668" spans="1:9" hidden="1" x14ac:dyDescent="0.3">
      <c r="A1668" t="s">
        <v>26</v>
      </c>
      <c r="B1668" s="1">
        <v>44228</v>
      </c>
      <c r="C1668" s="2" t="s">
        <v>3</v>
      </c>
      <c r="D1668" s="2" t="s">
        <v>3</v>
      </c>
      <c r="E1668" s="2">
        <v>39669</v>
      </c>
      <c r="F1668" s="2" t="s">
        <v>3</v>
      </c>
      <c r="G1668" s="2" t="s">
        <v>3</v>
      </c>
      <c r="H1668" s="2" t="s">
        <v>3</v>
      </c>
      <c r="I1668" s="2" t="s">
        <v>3</v>
      </c>
    </row>
    <row r="1669" spans="1:9" hidden="1" x14ac:dyDescent="0.3">
      <c r="A1669" t="s">
        <v>26</v>
      </c>
      <c r="B1669" s="1">
        <v>44197</v>
      </c>
      <c r="C1669" s="2" t="s">
        <v>3</v>
      </c>
      <c r="D1669" s="2" t="s">
        <v>3</v>
      </c>
      <c r="E1669" s="2">
        <v>41785</v>
      </c>
      <c r="F1669" s="2" t="s">
        <v>3</v>
      </c>
      <c r="G1669" s="2" t="s">
        <v>3</v>
      </c>
      <c r="H1669" s="2" t="s">
        <v>3</v>
      </c>
      <c r="I1669" s="2" t="s">
        <v>3</v>
      </c>
    </row>
    <row r="1670" spans="1:9" hidden="1" x14ac:dyDescent="0.3">
      <c r="A1670" t="s">
        <v>26</v>
      </c>
      <c r="B1670" s="1">
        <v>44166</v>
      </c>
      <c r="C1670" s="2" t="s">
        <v>3</v>
      </c>
      <c r="D1670" s="2" t="s">
        <v>3</v>
      </c>
      <c r="E1670" s="2">
        <v>31635</v>
      </c>
      <c r="F1670" s="2" t="s">
        <v>3</v>
      </c>
      <c r="G1670" s="2" t="s">
        <v>3</v>
      </c>
      <c r="H1670" s="2" t="s">
        <v>3</v>
      </c>
      <c r="I1670" s="2" t="s">
        <v>3</v>
      </c>
    </row>
    <row r="1671" spans="1:9" hidden="1" x14ac:dyDescent="0.3">
      <c r="A1671" t="s">
        <v>26</v>
      </c>
      <c r="B1671" s="1">
        <v>44136</v>
      </c>
      <c r="C1671" s="2" t="s">
        <v>3</v>
      </c>
      <c r="D1671" s="2" t="s">
        <v>3</v>
      </c>
      <c r="E1671" s="2">
        <v>29663</v>
      </c>
      <c r="F1671" s="2" t="s">
        <v>3</v>
      </c>
      <c r="G1671" s="2" t="s">
        <v>3</v>
      </c>
      <c r="H1671" s="2" t="s">
        <v>3</v>
      </c>
      <c r="I1671" s="2" t="s">
        <v>3</v>
      </c>
    </row>
    <row r="1672" spans="1:9" hidden="1" x14ac:dyDescent="0.3">
      <c r="A1672" t="s">
        <v>26</v>
      </c>
      <c r="B1672" s="1">
        <v>44105</v>
      </c>
      <c r="C1672" s="2" t="s">
        <v>3</v>
      </c>
      <c r="D1672" s="2" t="s">
        <v>3</v>
      </c>
      <c r="E1672" s="2">
        <v>30529</v>
      </c>
      <c r="F1672" s="2" t="s">
        <v>3</v>
      </c>
      <c r="G1672" s="2" t="s">
        <v>3</v>
      </c>
      <c r="H1672" s="2" t="s">
        <v>3</v>
      </c>
      <c r="I1672" s="2" t="s">
        <v>3</v>
      </c>
    </row>
    <row r="1673" spans="1:9" hidden="1" x14ac:dyDescent="0.3">
      <c r="A1673" t="s">
        <v>26</v>
      </c>
      <c r="B1673" s="1">
        <v>44075</v>
      </c>
      <c r="C1673" s="2" t="s">
        <v>3</v>
      </c>
      <c r="D1673" s="2" t="s">
        <v>3</v>
      </c>
      <c r="E1673" s="2">
        <v>29882</v>
      </c>
      <c r="F1673" s="2" t="s">
        <v>3</v>
      </c>
      <c r="G1673" s="2" t="s">
        <v>3</v>
      </c>
      <c r="H1673" s="2" t="s">
        <v>3</v>
      </c>
      <c r="I1673" s="2" t="s">
        <v>3</v>
      </c>
    </row>
    <row r="1674" spans="1:9" hidden="1" x14ac:dyDescent="0.3">
      <c r="A1674" t="s">
        <v>26</v>
      </c>
      <c r="B1674" s="1">
        <v>44044</v>
      </c>
      <c r="C1674" s="2" t="s">
        <v>3</v>
      </c>
      <c r="D1674" s="2" t="s">
        <v>3</v>
      </c>
      <c r="E1674" s="2">
        <v>25587</v>
      </c>
      <c r="F1674" s="2" t="s">
        <v>3</v>
      </c>
      <c r="G1674" s="2" t="s">
        <v>3</v>
      </c>
      <c r="H1674" s="2" t="s">
        <v>3</v>
      </c>
      <c r="I1674" s="2" t="s">
        <v>3</v>
      </c>
    </row>
    <row r="1675" spans="1:9" hidden="1" x14ac:dyDescent="0.3">
      <c r="A1675" t="s">
        <v>26</v>
      </c>
      <c r="B1675" s="1">
        <v>44013</v>
      </c>
      <c r="C1675" s="2" t="s">
        <v>3</v>
      </c>
      <c r="D1675" s="2" t="s">
        <v>3</v>
      </c>
      <c r="E1675" s="2">
        <v>30706</v>
      </c>
      <c r="F1675" s="2" t="s">
        <v>3</v>
      </c>
      <c r="G1675" s="2" t="s">
        <v>3</v>
      </c>
      <c r="H1675" s="2" t="s">
        <v>3</v>
      </c>
      <c r="I1675" s="2" t="s">
        <v>3</v>
      </c>
    </row>
    <row r="1676" spans="1:9" hidden="1" x14ac:dyDescent="0.3">
      <c r="A1676" t="s">
        <v>26</v>
      </c>
      <c r="B1676" s="1">
        <v>43983</v>
      </c>
      <c r="C1676" s="2" t="s">
        <v>3</v>
      </c>
      <c r="D1676" s="2" t="s">
        <v>3</v>
      </c>
      <c r="E1676" s="2">
        <v>29857</v>
      </c>
      <c r="F1676" s="2" t="s">
        <v>3</v>
      </c>
      <c r="G1676" s="2" t="s">
        <v>3</v>
      </c>
      <c r="H1676" s="2" t="s">
        <v>3</v>
      </c>
      <c r="I1676" s="2" t="s">
        <v>3</v>
      </c>
    </row>
    <row r="1677" spans="1:9" hidden="1" x14ac:dyDescent="0.3">
      <c r="A1677" t="s">
        <v>26</v>
      </c>
      <c r="B1677" s="1">
        <v>43952</v>
      </c>
      <c r="C1677" s="2" t="s">
        <v>3</v>
      </c>
      <c r="D1677" s="2" t="s">
        <v>3</v>
      </c>
      <c r="E1677" s="2">
        <v>32969</v>
      </c>
      <c r="F1677" s="2" t="s">
        <v>3</v>
      </c>
      <c r="G1677" s="2" t="s">
        <v>3</v>
      </c>
      <c r="H1677" s="2" t="s">
        <v>3</v>
      </c>
      <c r="I1677" s="2" t="s">
        <v>3</v>
      </c>
    </row>
    <row r="1678" spans="1:9" hidden="1" x14ac:dyDescent="0.3">
      <c r="A1678" t="s">
        <v>26</v>
      </c>
      <c r="B1678" s="1">
        <v>43922</v>
      </c>
      <c r="C1678" s="2" t="s">
        <v>3</v>
      </c>
      <c r="D1678" s="2" t="s">
        <v>3</v>
      </c>
      <c r="E1678" s="2">
        <v>28463</v>
      </c>
      <c r="F1678" s="2" t="s">
        <v>3</v>
      </c>
      <c r="G1678" s="2" t="s">
        <v>3</v>
      </c>
      <c r="H1678" s="2" t="s">
        <v>3</v>
      </c>
      <c r="I1678" s="2" t="s">
        <v>3</v>
      </c>
    </row>
    <row r="1679" spans="1:9" hidden="1" x14ac:dyDescent="0.3">
      <c r="A1679" t="s">
        <v>26</v>
      </c>
      <c r="B1679" s="1">
        <v>43891</v>
      </c>
      <c r="C1679" s="2" t="s">
        <v>3</v>
      </c>
      <c r="D1679" s="2" t="s">
        <v>3</v>
      </c>
      <c r="E1679" s="2">
        <v>31642</v>
      </c>
      <c r="F1679" s="2" t="s">
        <v>3</v>
      </c>
      <c r="G1679" s="2" t="s">
        <v>3</v>
      </c>
      <c r="H1679" s="2" t="s">
        <v>3</v>
      </c>
      <c r="I1679" s="2" t="s">
        <v>3</v>
      </c>
    </row>
    <row r="1680" spans="1:9" hidden="1" x14ac:dyDescent="0.3">
      <c r="A1680" t="s">
        <v>26</v>
      </c>
      <c r="B1680" s="1">
        <v>43862</v>
      </c>
      <c r="C1680" s="2" t="s">
        <v>3</v>
      </c>
      <c r="D1680" s="2" t="s">
        <v>3</v>
      </c>
      <c r="E1680" s="2">
        <v>30853</v>
      </c>
      <c r="F1680" s="2" t="s">
        <v>3</v>
      </c>
      <c r="G1680" s="2" t="s">
        <v>3</v>
      </c>
      <c r="H1680" s="2" t="s">
        <v>3</v>
      </c>
      <c r="I1680" s="2" t="s">
        <v>3</v>
      </c>
    </row>
    <row r="1681" spans="1:9" hidden="1" x14ac:dyDescent="0.3">
      <c r="A1681" t="s">
        <v>26</v>
      </c>
      <c r="B1681" s="1">
        <v>43831</v>
      </c>
      <c r="C1681" s="2" t="s">
        <v>3</v>
      </c>
      <c r="D1681" s="2" t="s">
        <v>3</v>
      </c>
      <c r="E1681" s="2">
        <v>32583</v>
      </c>
      <c r="F1681" s="2" t="s">
        <v>3</v>
      </c>
      <c r="G1681" s="2" t="s">
        <v>3</v>
      </c>
      <c r="H1681" s="2" t="s">
        <v>3</v>
      </c>
      <c r="I1681" s="2" t="s">
        <v>3</v>
      </c>
    </row>
    <row r="1682" spans="1:9" x14ac:dyDescent="0.3">
      <c r="A1682" t="s">
        <v>27</v>
      </c>
      <c r="B1682" s="1">
        <v>45931</v>
      </c>
      <c r="C1682" s="2" t="s">
        <v>3</v>
      </c>
      <c r="D1682" s="2" t="s">
        <v>3</v>
      </c>
      <c r="E1682" s="2">
        <v>10826</v>
      </c>
      <c r="F1682" s="2">
        <v>310</v>
      </c>
      <c r="G1682" s="2">
        <v>11</v>
      </c>
      <c r="H1682" s="2" t="s">
        <v>3</v>
      </c>
      <c r="I1682" s="2" t="s">
        <v>3</v>
      </c>
    </row>
    <row r="1683" spans="1:9" x14ac:dyDescent="0.3">
      <c r="A1683" t="s">
        <v>27</v>
      </c>
      <c r="B1683" s="1">
        <v>45901</v>
      </c>
      <c r="C1683" s="2" t="s">
        <v>3</v>
      </c>
      <c r="D1683" s="2" t="s">
        <v>3</v>
      </c>
      <c r="E1683" s="2">
        <v>10505</v>
      </c>
      <c r="F1683" s="2">
        <v>-599</v>
      </c>
      <c r="G1683" s="2">
        <v>23</v>
      </c>
      <c r="H1683" s="2" t="s">
        <v>3</v>
      </c>
      <c r="I1683" s="2" t="s">
        <v>3</v>
      </c>
    </row>
    <row r="1684" spans="1:9" x14ac:dyDescent="0.3">
      <c r="A1684" t="s">
        <v>27</v>
      </c>
      <c r="B1684" s="1">
        <v>45870</v>
      </c>
      <c r="C1684" s="2" t="s">
        <v>3</v>
      </c>
      <c r="D1684" s="2" t="s">
        <v>3</v>
      </c>
      <c r="E1684" s="2">
        <v>11081</v>
      </c>
      <c r="F1684" s="2">
        <v>182</v>
      </c>
      <c r="G1684" s="2">
        <v>55</v>
      </c>
      <c r="H1684" s="2" t="s">
        <v>3</v>
      </c>
      <c r="I1684" s="2" t="s">
        <v>3</v>
      </c>
    </row>
    <row r="1685" spans="1:9" x14ac:dyDescent="0.3">
      <c r="A1685" t="s">
        <v>27</v>
      </c>
      <c r="B1685" s="1">
        <v>45839</v>
      </c>
      <c r="C1685" s="2" t="s">
        <v>3</v>
      </c>
      <c r="D1685" s="2" t="s">
        <v>3</v>
      </c>
      <c r="E1685" s="2">
        <v>10844</v>
      </c>
      <c r="F1685" s="2">
        <v>799</v>
      </c>
      <c r="G1685" s="2">
        <v>-21</v>
      </c>
      <c r="H1685" s="2" t="s">
        <v>3</v>
      </c>
      <c r="I1685" s="2" t="s">
        <v>3</v>
      </c>
    </row>
    <row r="1686" spans="1:9" x14ac:dyDescent="0.3">
      <c r="A1686" t="s">
        <v>27</v>
      </c>
      <c r="B1686" s="1">
        <v>45809</v>
      </c>
      <c r="C1686" s="2" t="s">
        <v>3</v>
      </c>
      <c r="D1686" s="2" t="s">
        <v>3</v>
      </c>
      <c r="E1686" s="2">
        <v>10066</v>
      </c>
      <c r="F1686" s="2">
        <v>-601</v>
      </c>
      <c r="G1686" s="2">
        <v>32</v>
      </c>
      <c r="H1686" s="2" t="s">
        <v>3</v>
      </c>
      <c r="I1686" s="2" t="s">
        <v>3</v>
      </c>
    </row>
    <row r="1687" spans="1:9" x14ac:dyDescent="0.3">
      <c r="A1687" t="s">
        <v>27</v>
      </c>
      <c r="B1687" s="1">
        <v>45778</v>
      </c>
      <c r="C1687" s="2" t="s">
        <v>3</v>
      </c>
      <c r="D1687" s="2" t="s">
        <v>3</v>
      </c>
      <c r="E1687" s="2">
        <v>10635</v>
      </c>
      <c r="F1687" s="2">
        <v>-80</v>
      </c>
      <c r="G1687" s="2">
        <v>-28</v>
      </c>
      <c r="H1687" s="2" t="s">
        <v>3</v>
      </c>
      <c r="I1687" s="2" t="s">
        <v>3</v>
      </c>
    </row>
    <row r="1688" spans="1:9" x14ac:dyDescent="0.3">
      <c r="A1688" t="s">
        <v>27</v>
      </c>
      <c r="B1688" s="1">
        <v>45748</v>
      </c>
      <c r="C1688" s="2" t="s">
        <v>3</v>
      </c>
      <c r="D1688" s="2" t="s">
        <v>3</v>
      </c>
      <c r="E1688" s="2">
        <v>10743</v>
      </c>
      <c r="F1688" s="2">
        <v>-678</v>
      </c>
      <c r="G1688" s="2">
        <v>46</v>
      </c>
      <c r="H1688" s="2" t="s">
        <v>3</v>
      </c>
      <c r="I1688" s="2" t="s">
        <v>3</v>
      </c>
    </row>
    <row r="1689" spans="1:9" x14ac:dyDescent="0.3">
      <c r="A1689" t="s">
        <v>27</v>
      </c>
      <c r="B1689" s="1">
        <v>45717</v>
      </c>
      <c r="C1689" s="2" t="s">
        <v>3</v>
      </c>
      <c r="D1689" s="2" t="s">
        <v>3</v>
      </c>
      <c r="E1689" s="2">
        <v>11375</v>
      </c>
      <c r="F1689" s="2">
        <v>-484</v>
      </c>
      <c r="G1689" s="2">
        <v>24</v>
      </c>
      <c r="H1689" s="2" t="s">
        <v>3</v>
      </c>
      <c r="I1689" s="2" t="s">
        <v>3</v>
      </c>
    </row>
    <row r="1690" spans="1:9" x14ac:dyDescent="0.3">
      <c r="A1690" t="s">
        <v>27</v>
      </c>
      <c r="B1690" s="1">
        <v>45689</v>
      </c>
      <c r="C1690" s="2" t="s">
        <v>3</v>
      </c>
      <c r="D1690" s="2" t="s">
        <v>3</v>
      </c>
      <c r="E1690" s="2">
        <v>11836</v>
      </c>
      <c r="F1690" s="2">
        <v>849</v>
      </c>
      <c r="G1690" s="2">
        <v>43</v>
      </c>
      <c r="H1690" s="2" t="s">
        <v>3</v>
      </c>
      <c r="I1690" s="2" t="s">
        <v>3</v>
      </c>
    </row>
    <row r="1691" spans="1:9" x14ac:dyDescent="0.3">
      <c r="A1691" t="s">
        <v>27</v>
      </c>
      <c r="B1691" s="1">
        <v>45658</v>
      </c>
      <c r="C1691" s="2" t="s">
        <v>3</v>
      </c>
      <c r="D1691" s="2" t="s">
        <v>3</v>
      </c>
      <c r="E1691" s="2">
        <v>10942</v>
      </c>
      <c r="F1691" s="2">
        <v>-332</v>
      </c>
      <c r="G1691" s="2">
        <v>22</v>
      </c>
      <c r="H1691" s="2" t="s">
        <v>3</v>
      </c>
      <c r="I1691" s="2" t="s">
        <v>3</v>
      </c>
    </row>
    <row r="1692" spans="1:9" x14ac:dyDescent="0.3">
      <c r="A1692" t="s">
        <v>27</v>
      </c>
      <c r="B1692" s="1">
        <v>45627</v>
      </c>
      <c r="C1692" s="2" t="s">
        <v>3</v>
      </c>
      <c r="D1692" s="2" t="s">
        <v>3</v>
      </c>
      <c r="E1692" s="2">
        <v>11252</v>
      </c>
      <c r="F1692" s="2">
        <v>-98</v>
      </c>
      <c r="G1692" s="2">
        <v>6</v>
      </c>
      <c r="H1692" s="2" t="s">
        <v>3</v>
      </c>
      <c r="I1692" s="2" t="s">
        <v>3</v>
      </c>
    </row>
    <row r="1693" spans="1:9" x14ac:dyDescent="0.3">
      <c r="A1693" t="s">
        <v>27</v>
      </c>
      <c r="B1693" s="1">
        <v>45597</v>
      </c>
      <c r="C1693" s="2" t="s">
        <v>3</v>
      </c>
      <c r="D1693" s="2" t="s">
        <v>3</v>
      </c>
      <c r="E1693" s="2">
        <v>11345</v>
      </c>
      <c r="F1693" s="2">
        <v>508</v>
      </c>
      <c r="G1693" s="2">
        <v>15</v>
      </c>
      <c r="H1693" s="2" t="s">
        <v>3</v>
      </c>
      <c r="I1693" s="2" t="s">
        <v>3</v>
      </c>
    </row>
    <row r="1694" spans="1:9" x14ac:dyDescent="0.3">
      <c r="A1694" t="s">
        <v>27</v>
      </c>
      <c r="B1694" s="1">
        <v>45566</v>
      </c>
      <c r="C1694" s="2" t="s">
        <v>3</v>
      </c>
      <c r="D1694" s="2" t="s">
        <v>3</v>
      </c>
      <c r="E1694" s="2">
        <v>10822</v>
      </c>
      <c r="F1694" s="2">
        <v>2073</v>
      </c>
      <c r="G1694" s="2">
        <v>-54</v>
      </c>
      <c r="H1694" s="2" t="s">
        <v>3</v>
      </c>
      <c r="I1694" s="2" t="s">
        <v>3</v>
      </c>
    </row>
    <row r="1695" spans="1:9" x14ac:dyDescent="0.3">
      <c r="A1695" t="s">
        <v>27</v>
      </c>
      <c r="B1695" s="1">
        <v>45536</v>
      </c>
      <c r="C1695" s="2" t="s">
        <v>3</v>
      </c>
      <c r="D1695" s="2" t="s">
        <v>3</v>
      </c>
      <c r="E1695" s="2">
        <v>8804</v>
      </c>
      <c r="F1695" s="2">
        <v>925</v>
      </c>
      <c r="G1695" s="2">
        <v>31</v>
      </c>
      <c r="H1695" s="2" t="s">
        <v>3</v>
      </c>
      <c r="I1695" s="2" t="s">
        <v>3</v>
      </c>
    </row>
    <row r="1696" spans="1:9" x14ac:dyDescent="0.3">
      <c r="A1696" t="s">
        <v>27</v>
      </c>
      <c r="B1696" s="1">
        <v>45505</v>
      </c>
      <c r="C1696" s="2" t="s">
        <v>3</v>
      </c>
      <c r="D1696" s="2" t="s">
        <v>3</v>
      </c>
      <c r="E1696" s="2">
        <v>7848</v>
      </c>
      <c r="F1696" s="2">
        <v>-192</v>
      </c>
      <c r="G1696" s="2">
        <v>47</v>
      </c>
      <c r="H1696" s="2" t="s">
        <v>3</v>
      </c>
      <c r="I1696" s="2" t="s">
        <v>3</v>
      </c>
    </row>
    <row r="1697" spans="1:9" x14ac:dyDescent="0.3">
      <c r="A1697" t="s">
        <v>27</v>
      </c>
      <c r="B1697" s="1">
        <v>45474</v>
      </c>
      <c r="C1697" s="2" t="s">
        <v>3</v>
      </c>
      <c r="D1697" s="2" t="s">
        <v>3</v>
      </c>
      <c r="E1697" s="2">
        <v>7992</v>
      </c>
      <c r="F1697" s="2">
        <v>292</v>
      </c>
      <c r="G1697" s="2">
        <v>51</v>
      </c>
      <c r="H1697" s="2" t="s">
        <v>3</v>
      </c>
      <c r="I1697" s="2" t="s">
        <v>3</v>
      </c>
    </row>
    <row r="1698" spans="1:9" x14ac:dyDescent="0.3">
      <c r="A1698" t="s">
        <v>27</v>
      </c>
      <c r="B1698" s="1">
        <v>45444</v>
      </c>
      <c r="C1698" s="2" t="s">
        <v>3</v>
      </c>
      <c r="D1698" s="2" t="s">
        <v>3</v>
      </c>
      <c r="E1698" s="2">
        <v>7649</v>
      </c>
      <c r="F1698" s="2">
        <v>55</v>
      </c>
      <c r="G1698" s="2">
        <v>23</v>
      </c>
      <c r="H1698" s="2" t="s">
        <v>3</v>
      </c>
      <c r="I1698" s="2" t="s">
        <v>3</v>
      </c>
    </row>
    <row r="1699" spans="1:9" x14ac:dyDescent="0.3">
      <c r="A1699" t="s">
        <v>27</v>
      </c>
      <c r="B1699" s="1">
        <v>45413</v>
      </c>
      <c r="C1699" s="2" t="s">
        <v>3</v>
      </c>
      <c r="D1699" s="2" t="s">
        <v>3</v>
      </c>
      <c r="E1699" s="2">
        <v>7571</v>
      </c>
      <c r="F1699" s="2">
        <v>260</v>
      </c>
      <c r="G1699" s="2">
        <v>31</v>
      </c>
      <c r="H1699" s="2" t="s">
        <v>3</v>
      </c>
      <c r="I1699" s="2" t="s">
        <v>3</v>
      </c>
    </row>
    <row r="1700" spans="1:9" x14ac:dyDescent="0.3">
      <c r="A1700" t="s">
        <v>27</v>
      </c>
      <c r="B1700" s="1">
        <v>45383</v>
      </c>
      <c r="C1700" s="2" t="s">
        <v>3</v>
      </c>
      <c r="D1700" s="2" t="s">
        <v>3</v>
      </c>
      <c r="E1700" s="2">
        <v>7282</v>
      </c>
      <c r="F1700" s="2">
        <v>551</v>
      </c>
      <c r="G1700" s="2">
        <v>-23</v>
      </c>
      <c r="H1700" s="2" t="s">
        <v>3</v>
      </c>
      <c r="I1700" s="2" t="s">
        <v>3</v>
      </c>
    </row>
    <row r="1701" spans="1:9" x14ac:dyDescent="0.3">
      <c r="A1701" t="s">
        <v>27</v>
      </c>
      <c r="B1701" s="1">
        <v>45352</v>
      </c>
      <c r="C1701" s="2" t="s">
        <v>3</v>
      </c>
      <c r="D1701" s="2" t="s">
        <v>3</v>
      </c>
      <c r="E1701" s="2">
        <v>6755</v>
      </c>
      <c r="F1701" s="2">
        <v>548</v>
      </c>
      <c r="G1701" s="2">
        <v>9</v>
      </c>
      <c r="H1701" s="2" t="s">
        <v>3</v>
      </c>
      <c r="I1701" s="2" t="s">
        <v>3</v>
      </c>
    </row>
    <row r="1702" spans="1:9" x14ac:dyDescent="0.3">
      <c r="A1702" t="s">
        <v>27</v>
      </c>
      <c r="B1702" s="1">
        <v>45323</v>
      </c>
      <c r="C1702" s="2" t="s">
        <v>3</v>
      </c>
      <c r="D1702" s="2" t="s">
        <v>3</v>
      </c>
      <c r="E1702" s="2">
        <v>6198</v>
      </c>
      <c r="F1702" s="2">
        <v>1261</v>
      </c>
      <c r="G1702" s="2">
        <v>-18</v>
      </c>
      <c r="H1702" s="2" t="s">
        <v>3</v>
      </c>
      <c r="I1702" s="2" t="s">
        <v>3</v>
      </c>
    </row>
    <row r="1703" spans="1:9" x14ac:dyDescent="0.3">
      <c r="A1703" t="s">
        <v>27</v>
      </c>
      <c r="B1703" s="1">
        <v>45292</v>
      </c>
      <c r="C1703" s="2" t="s">
        <v>3</v>
      </c>
      <c r="D1703" s="2" t="s">
        <v>3</v>
      </c>
      <c r="E1703" s="2">
        <v>4955</v>
      </c>
      <c r="F1703" s="2">
        <v>-686</v>
      </c>
      <c r="G1703" s="2">
        <v>12</v>
      </c>
      <c r="H1703" s="2" t="s">
        <v>3</v>
      </c>
      <c r="I1703" s="2" t="s">
        <v>3</v>
      </c>
    </row>
    <row r="1704" spans="1:9" x14ac:dyDescent="0.3">
      <c r="A1704" t="s">
        <v>27</v>
      </c>
      <c r="B1704" s="1">
        <v>45261</v>
      </c>
      <c r="C1704" s="2" t="s">
        <v>3</v>
      </c>
      <c r="D1704" s="2" t="s">
        <v>3</v>
      </c>
      <c r="E1704" s="2">
        <v>5630</v>
      </c>
      <c r="F1704" s="2">
        <v>-600</v>
      </c>
      <c r="G1704" s="2">
        <v>38</v>
      </c>
      <c r="H1704" s="2" t="s">
        <v>3</v>
      </c>
      <c r="I1704" s="2" t="s">
        <v>3</v>
      </c>
    </row>
    <row r="1705" spans="1:9" x14ac:dyDescent="0.3">
      <c r="A1705" t="s">
        <v>27</v>
      </c>
      <c r="B1705" s="1">
        <v>45231</v>
      </c>
      <c r="C1705" s="2" t="s">
        <v>3</v>
      </c>
      <c r="D1705" s="2" t="s">
        <v>3</v>
      </c>
      <c r="E1705" s="2">
        <v>6190</v>
      </c>
      <c r="F1705" s="2">
        <v>-732</v>
      </c>
      <c r="G1705" s="2">
        <v>42</v>
      </c>
      <c r="H1705" s="2" t="s">
        <v>3</v>
      </c>
      <c r="I1705" s="2" t="s">
        <v>3</v>
      </c>
    </row>
    <row r="1706" spans="1:9" x14ac:dyDescent="0.3">
      <c r="A1706" t="s">
        <v>27</v>
      </c>
      <c r="B1706" s="1">
        <v>45200</v>
      </c>
      <c r="C1706" s="2" t="s">
        <v>3</v>
      </c>
      <c r="D1706" s="2" t="s">
        <v>3</v>
      </c>
      <c r="E1706" s="2">
        <v>6879</v>
      </c>
      <c r="F1706" s="2">
        <v>-735</v>
      </c>
      <c r="G1706" s="2">
        <v>17</v>
      </c>
      <c r="H1706" s="2" t="s">
        <v>3</v>
      </c>
      <c r="I1706" s="2" t="s">
        <v>3</v>
      </c>
    </row>
    <row r="1707" spans="1:9" x14ac:dyDescent="0.3">
      <c r="A1707" t="s">
        <v>27</v>
      </c>
      <c r="B1707" s="1">
        <v>45170</v>
      </c>
      <c r="C1707" s="2" t="s">
        <v>3</v>
      </c>
      <c r="D1707" s="2" t="s">
        <v>3</v>
      </c>
      <c r="E1707" s="2">
        <v>7599</v>
      </c>
      <c r="F1707" s="2">
        <v>61</v>
      </c>
      <c r="G1707" s="2">
        <v>5</v>
      </c>
      <c r="H1707" s="2" t="s">
        <v>3</v>
      </c>
      <c r="I1707" s="2" t="s">
        <v>3</v>
      </c>
    </row>
    <row r="1708" spans="1:9" x14ac:dyDescent="0.3">
      <c r="A1708" t="s">
        <v>27</v>
      </c>
      <c r="B1708" s="1">
        <v>45139</v>
      </c>
      <c r="C1708" s="2" t="s">
        <v>3</v>
      </c>
      <c r="D1708" s="2" t="s">
        <v>3</v>
      </c>
      <c r="E1708" s="2">
        <v>7531</v>
      </c>
      <c r="F1708" s="2">
        <v>-351</v>
      </c>
      <c r="G1708" s="2">
        <v>20</v>
      </c>
      <c r="H1708" s="2" t="s">
        <v>3</v>
      </c>
      <c r="I1708" s="2" t="s">
        <v>3</v>
      </c>
    </row>
    <row r="1709" spans="1:9" x14ac:dyDescent="0.3">
      <c r="A1709" t="s">
        <v>27</v>
      </c>
      <c r="B1709" s="1">
        <v>45108</v>
      </c>
      <c r="C1709" s="2" t="s">
        <v>3</v>
      </c>
      <c r="D1709" s="2" t="s">
        <v>3</v>
      </c>
      <c r="E1709" s="2">
        <v>7862</v>
      </c>
      <c r="F1709" s="2">
        <v>-1</v>
      </c>
      <c r="G1709" s="2">
        <v>22</v>
      </c>
      <c r="H1709" s="2" t="s">
        <v>3</v>
      </c>
      <c r="I1709" s="2" t="s">
        <v>3</v>
      </c>
    </row>
    <row r="1710" spans="1:9" x14ac:dyDescent="0.3">
      <c r="A1710" t="s">
        <v>27</v>
      </c>
      <c r="B1710" s="1">
        <v>45078</v>
      </c>
      <c r="C1710" s="2" t="s">
        <v>3</v>
      </c>
      <c r="D1710" s="2" t="s">
        <v>3</v>
      </c>
      <c r="E1710" s="2">
        <v>7841</v>
      </c>
      <c r="F1710" s="2">
        <v>144</v>
      </c>
      <c r="G1710" s="2">
        <v>-2</v>
      </c>
      <c r="H1710" s="2" t="s">
        <v>3</v>
      </c>
      <c r="I1710" s="2" t="s">
        <v>3</v>
      </c>
    </row>
    <row r="1711" spans="1:9" x14ac:dyDescent="0.3">
      <c r="A1711" t="s">
        <v>27</v>
      </c>
      <c r="B1711" s="1">
        <v>45047</v>
      </c>
      <c r="C1711" s="2" t="s">
        <v>3</v>
      </c>
      <c r="D1711" s="2" t="s">
        <v>3</v>
      </c>
      <c r="E1711" s="2">
        <v>7699</v>
      </c>
      <c r="F1711" s="2">
        <v>8</v>
      </c>
      <c r="G1711" s="2">
        <v>-9</v>
      </c>
      <c r="H1711" s="2" t="s">
        <v>3</v>
      </c>
      <c r="I1711" s="2" t="s">
        <v>3</v>
      </c>
    </row>
    <row r="1712" spans="1:9" x14ac:dyDescent="0.3">
      <c r="A1712" t="s">
        <v>27</v>
      </c>
      <c r="B1712" s="1">
        <v>45017</v>
      </c>
      <c r="C1712" s="2" t="s">
        <v>3</v>
      </c>
      <c r="D1712" s="2" t="s">
        <v>3</v>
      </c>
      <c r="E1712" s="2">
        <v>7701</v>
      </c>
      <c r="F1712" s="2">
        <v>-108</v>
      </c>
      <c r="G1712" s="2">
        <v>13</v>
      </c>
      <c r="H1712" s="2" t="s">
        <v>3</v>
      </c>
      <c r="I1712" s="2" t="s">
        <v>3</v>
      </c>
    </row>
    <row r="1713" spans="1:9" x14ac:dyDescent="0.3">
      <c r="A1713" t="s">
        <v>27</v>
      </c>
      <c r="B1713" s="1">
        <v>44986</v>
      </c>
      <c r="C1713" s="2" t="s">
        <v>3</v>
      </c>
      <c r="D1713" s="2" t="s">
        <v>3</v>
      </c>
      <c r="E1713" s="2">
        <v>7796</v>
      </c>
      <c r="F1713" s="2">
        <v>-240</v>
      </c>
      <c r="G1713" s="2">
        <v>75</v>
      </c>
      <c r="H1713" s="2" t="s">
        <v>3</v>
      </c>
      <c r="I1713" s="2" t="s">
        <v>3</v>
      </c>
    </row>
    <row r="1714" spans="1:9" x14ac:dyDescent="0.3">
      <c r="A1714" t="s">
        <v>27</v>
      </c>
      <c r="B1714" s="1">
        <v>44958</v>
      </c>
      <c r="C1714" s="2" t="s">
        <v>3</v>
      </c>
      <c r="D1714" s="2" t="s">
        <v>3</v>
      </c>
      <c r="E1714" s="2">
        <v>7960</v>
      </c>
      <c r="F1714" s="2">
        <v>910</v>
      </c>
      <c r="G1714" s="2">
        <v>-28</v>
      </c>
      <c r="H1714" s="2" t="s">
        <v>3</v>
      </c>
      <c r="I1714" s="2" t="s">
        <v>3</v>
      </c>
    </row>
    <row r="1715" spans="1:9" hidden="1" x14ac:dyDescent="0.3">
      <c r="A1715" t="s">
        <v>27</v>
      </c>
      <c r="B1715" s="1">
        <v>44927</v>
      </c>
      <c r="C1715" s="2" t="s">
        <v>3</v>
      </c>
      <c r="D1715" s="2" t="s">
        <v>3</v>
      </c>
      <c r="E1715" s="2">
        <v>7077</v>
      </c>
      <c r="F1715" s="2" t="s">
        <v>3</v>
      </c>
      <c r="G1715" s="2" t="s">
        <v>3</v>
      </c>
      <c r="H1715" s="2" t="s">
        <v>3</v>
      </c>
      <c r="I1715" s="2" t="s">
        <v>3</v>
      </c>
    </row>
    <row r="1716" spans="1:9" hidden="1" x14ac:dyDescent="0.3">
      <c r="A1716" t="s">
        <v>27</v>
      </c>
      <c r="B1716" s="1">
        <v>44896</v>
      </c>
      <c r="C1716" s="2" t="s">
        <v>3</v>
      </c>
      <c r="D1716" s="2" t="s">
        <v>3</v>
      </c>
      <c r="E1716" s="2">
        <v>6514</v>
      </c>
      <c r="F1716" s="2" t="s">
        <v>3</v>
      </c>
      <c r="G1716" s="2" t="s">
        <v>3</v>
      </c>
      <c r="H1716" s="2" t="s">
        <v>3</v>
      </c>
      <c r="I1716" s="2" t="s">
        <v>3</v>
      </c>
    </row>
    <row r="1717" spans="1:9" hidden="1" x14ac:dyDescent="0.3">
      <c r="A1717" t="s">
        <v>27</v>
      </c>
      <c r="B1717" s="1">
        <v>44866</v>
      </c>
      <c r="C1717" s="2" t="s">
        <v>3</v>
      </c>
      <c r="D1717" s="2" t="s">
        <v>3</v>
      </c>
      <c r="E1717" s="2">
        <v>6497</v>
      </c>
      <c r="F1717" s="2" t="s">
        <v>3</v>
      </c>
      <c r="G1717" s="2" t="s">
        <v>3</v>
      </c>
      <c r="H1717" s="2" t="s">
        <v>3</v>
      </c>
      <c r="I1717" s="2" t="s">
        <v>3</v>
      </c>
    </row>
    <row r="1718" spans="1:9" hidden="1" x14ac:dyDescent="0.3">
      <c r="A1718" t="s">
        <v>27</v>
      </c>
      <c r="B1718" s="1">
        <v>44835</v>
      </c>
      <c r="C1718" s="2" t="s">
        <v>3</v>
      </c>
      <c r="D1718" s="2" t="s">
        <v>3</v>
      </c>
      <c r="E1718" s="2">
        <v>6652</v>
      </c>
      <c r="F1718" s="2" t="s">
        <v>3</v>
      </c>
      <c r="G1718" s="2" t="s">
        <v>3</v>
      </c>
      <c r="H1718" s="2" t="s">
        <v>3</v>
      </c>
      <c r="I1718" s="2" t="s">
        <v>3</v>
      </c>
    </row>
    <row r="1719" spans="1:9" hidden="1" x14ac:dyDescent="0.3">
      <c r="A1719" t="s">
        <v>27</v>
      </c>
      <c r="B1719" s="1">
        <v>44805</v>
      </c>
      <c r="C1719" s="2" t="s">
        <v>3</v>
      </c>
      <c r="D1719" s="2" t="s">
        <v>3</v>
      </c>
      <c r="E1719" s="2">
        <v>6789</v>
      </c>
      <c r="F1719" s="2" t="s">
        <v>3</v>
      </c>
      <c r="G1719" s="2" t="s">
        <v>3</v>
      </c>
      <c r="H1719" s="2" t="s">
        <v>3</v>
      </c>
      <c r="I1719" s="2" t="s">
        <v>3</v>
      </c>
    </row>
    <row r="1720" spans="1:9" hidden="1" x14ac:dyDescent="0.3">
      <c r="A1720" t="s">
        <v>27</v>
      </c>
      <c r="B1720" s="1">
        <v>44774</v>
      </c>
      <c r="C1720" s="2" t="s">
        <v>3</v>
      </c>
      <c r="D1720" s="2" t="s">
        <v>3</v>
      </c>
      <c r="E1720" s="2">
        <v>7112</v>
      </c>
      <c r="F1720" s="2" t="s">
        <v>3</v>
      </c>
      <c r="G1720" s="2" t="s">
        <v>3</v>
      </c>
      <c r="H1720" s="2" t="s">
        <v>3</v>
      </c>
      <c r="I1720" s="2" t="s">
        <v>3</v>
      </c>
    </row>
    <row r="1721" spans="1:9" hidden="1" x14ac:dyDescent="0.3">
      <c r="A1721" t="s">
        <v>27</v>
      </c>
      <c r="B1721" s="1">
        <v>44743</v>
      </c>
      <c r="C1721" s="2" t="s">
        <v>3</v>
      </c>
      <c r="D1721" s="2" t="s">
        <v>3</v>
      </c>
      <c r="E1721" s="2">
        <v>7359</v>
      </c>
      <c r="F1721" s="2" t="s">
        <v>3</v>
      </c>
      <c r="G1721" s="2" t="s">
        <v>3</v>
      </c>
      <c r="H1721" s="2" t="s">
        <v>3</v>
      </c>
      <c r="I1721" s="2" t="s">
        <v>3</v>
      </c>
    </row>
    <row r="1722" spans="1:9" hidden="1" x14ac:dyDescent="0.3">
      <c r="A1722" t="s">
        <v>27</v>
      </c>
      <c r="B1722" s="1">
        <v>44713</v>
      </c>
      <c r="C1722" s="2" t="s">
        <v>3</v>
      </c>
      <c r="D1722" s="2" t="s">
        <v>3</v>
      </c>
      <c r="E1722" s="2">
        <v>7175</v>
      </c>
      <c r="F1722" s="2" t="s">
        <v>3</v>
      </c>
      <c r="G1722" s="2" t="s">
        <v>3</v>
      </c>
      <c r="H1722" s="2" t="s">
        <v>3</v>
      </c>
      <c r="I1722" s="2" t="s">
        <v>3</v>
      </c>
    </row>
    <row r="1723" spans="1:9" hidden="1" x14ac:dyDescent="0.3">
      <c r="A1723" t="s">
        <v>27</v>
      </c>
      <c r="B1723" s="1">
        <v>44682</v>
      </c>
      <c r="C1723" s="2" t="s">
        <v>3</v>
      </c>
      <c r="D1723" s="2" t="s">
        <v>3</v>
      </c>
      <c r="E1723" s="2">
        <v>6998</v>
      </c>
      <c r="F1723" s="2" t="s">
        <v>3</v>
      </c>
      <c r="G1723" s="2" t="s">
        <v>3</v>
      </c>
      <c r="H1723" s="2" t="s">
        <v>3</v>
      </c>
      <c r="I1723" s="2" t="s">
        <v>3</v>
      </c>
    </row>
    <row r="1724" spans="1:9" hidden="1" x14ac:dyDescent="0.3">
      <c r="A1724" t="s">
        <v>27</v>
      </c>
      <c r="B1724" s="1">
        <v>44652</v>
      </c>
      <c r="C1724" s="2" t="s">
        <v>3</v>
      </c>
      <c r="D1724" s="2" t="s">
        <v>3</v>
      </c>
      <c r="E1724" s="2">
        <v>6329</v>
      </c>
      <c r="F1724" s="2" t="s">
        <v>3</v>
      </c>
      <c r="G1724" s="2" t="s">
        <v>3</v>
      </c>
      <c r="H1724" s="2" t="s">
        <v>3</v>
      </c>
      <c r="I1724" s="2" t="s">
        <v>3</v>
      </c>
    </row>
    <row r="1725" spans="1:9" hidden="1" x14ac:dyDescent="0.3">
      <c r="A1725" t="s">
        <v>27</v>
      </c>
      <c r="B1725" s="1">
        <v>44621</v>
      </c>
      <c r="C1725" s="2" t="s">
        <v>3</v>
      </c>
      <c r="D1725" s="2" t="s">
        <v>3</v>
      </c>
      <c r="E1725" s="2">
        <v>6197</v>
      </c>
      <c r="F1725" s="2" t="s">
        <v>3</v>
      </c>
      <c r="G1725" s="2" t="s">
        <v>3</v>
      </c>
      <c r="H1725" s="2" t="s">
        <v>3</v>
      </c>
      <c r="I1725" s="2" t="s">
        <v>3</v>
      </c>
    </row>
    <row r="1726" spans="1:9" hidden="1" x14ac:dyDescent="0.3">
      <c r="A1726" t="s">
        <v>27</v>
      </c>
      <c r="B1726" s="1">
        <v>44593</v>
      </c>
      <c r="C1726" s="2" t="s">
        <v>3</v>
      </c>
      <c r="D1726" s="2" t="s">
        <v>3</v>
      </c>
      <c r="E1726" s="2">
        <v>6308</v>
      </c>
      <c r="F1726" s="2" t="s">
        <v>3</v>
      </c>
      <c r="G1726" s="2" t="s">
        <v>3</v>
      </c>
      <c r="H1726" s="2" t="s">
        <v>3</v>
      </c>
      <c r="I1726" s="2" t="s">
        <v>3</v>
      </c>
    </row>
    <row r="1727" spans="1:9" hidden="1" x14ac:dyDescent="0.3">
      <c r="A1727" t="s">
        <v>27</v>
      </c>
      <c r="B1727" s="1">
        <v>44562</v>
      </c>
      <c r="C1727" s="2" t="s">
        <v>3</v>
      </c>
      <c r="D1727" s="2" t="s">
        <v>3</v>
      </c>
      <c r="E1727" s="2">
        <v>5932</v>
      </c>
      <c r="F1727" s="2" t="s">
        <v>3</v>
      </c>
      <c r="G1727" s="2" t="s">
        <v>3</v>
      </c>
      <c r="H1727" s="2" t="s">
        <v>3</v>
      </c>
      <c r="I1727" s="2" t="s">
        <v>3</v>
      </c>
    </row>
    <row r="1728" spans="1:9" hidden="1" x14ac:dyDescent="0.3">
      <c r="A1728" t="s">
        <v>27</v>
      </c>
      <c r="B1728" s="1">
        <v>44531</v>
      </c>
      <c r="C1728" s="2" t="s">
        <v>3</v>
      </c>
      <c r="D1728" s="2" t="s">
        <v>3</v>
      </c>
      <c r="E1728" s="2">
        <v>5415</v>
      </c>
      <c r="F1728" s="2" t="s">
        <v>3</v>
      </c>
      <c r="G1728" s="2" t="s">
        <v>3</v>
      </c>
      <c r="H1728" s="2" t="s">
        <v>3</v>
      </c>
      <c r="I1728" s="2" t="s">
        <v>3</v>
      </c>
    </row>
    <row r="1729" spans="1:9" hidden="1" x14ac:dyDescent="0.3">
      <c r="A1729" t="s">
        <v>27</v>
      </c>
      <c r="B1729" s="1">
        <v>44501</v>
      </c>
      <c r="C1729" s="2" t="s">
        <v>3</v>
      </c>
      <c r="D1729" s="2" t="s">
        <v>3</v>
      </c>
      <c r="E1729" s="2">
        <v>5229</v>
      </c>
      <c r="F1729" s="2" t="s">
        <v>3</v>
      </c>
      <c r="G1729" s="2" t="s">
        <v>3</v>
      </c>
      <c r="H1729" s="2" t="s">
        <v>3</v>
      </c>
      <c r="I1729" s="2" t="s">
        <v>3</v>
      </c>
    </row>
    <row r="1730" spans="1:9" hidden="1" x14ac:dyDescent="0.3">
      <c r="A1730" t="s">
        <v>27</v>
      </c>
      <c r="B1730" s="1">
        <v>44470</v>
      </c>
      <c r="C1730" s="2" t="s">
        <v>3</v>
      </c>
      <c r="D1730" s="2" t="s">
        <v>3</v>
      </c>
      <c r="E1730" s="2">
        <v>5279</v>
      </c>
      <c r="F1730" s="2" t="s">
        <v>3</v>
      </c>
      <c r="G1730" s="2" t="s">
        <v>3</v>
      </c>
      <c r="H1730" s="2" t="s">
        <v>3</v>
      </c>
      <c r="I1730" s="2" t="s">
        <v>3</v>
      </c>
    </row>
    <row r="1731" spans="1:9" hidden="1" x14ac:dyDescent="0.3">
      <c r="A1731" t="s">
        <v>27</v>
      </c>
      <c r="B1731" s="1">
        <v>44440</v>
      </c>
      <c r="C1731" s="2" t="s">
        <v>3</v>
      </c>
      <c r="D1731" s="2" t="s">
        <v>3</v>
      </c>
      <c r="E1731" s="2">
        <v>4996</v>
      </c>
      <c r="F1731" s="2" t="s">
        <v>3</v>
      </c>
      <c r="G1731" s="2" t="s">
        <v>3</v>
      </c>
      <c r="H1731" s="2" t="s">
        <v>3</v>
      </c>
      <c r="I1731" s="2" t="s">
        <v>3</v>
      </c>
    </row>
    <row r="1732" spans="1:9" hidden="1" x14ac:dyDescent="0.3">
      <c r="A1732" t="s">
        <v>27</v>
      </c>
      <c r="B1732" s="1">
        <v>44409</v>
      </c>
      <c r="C1732" s="2" t="s">
        <v>3</v>
      </c>
      <c r="D1732" s="2" t="s">
        <v>3</v>
      </c>
      <c r="E1732" s="2">
        <v>4565</v>
      </c>
      <c r="F1732" s="2" t="s">
        <v>3</v>
      </c>
      <c r="G1732" s="2" t="s">
        <v>3</v>
      </c>
      <c r="H1732" s="2" t="s">
        <v>3</v>
      </c>
      <c r="I1732" s="2" t="s">
        <v>3</v>
      </c>
    </row>
    <row r="1733" spans="1:9" hidden="1" x14ac:dyDescent="0.3">
      <c r="A1733" t="s">
        <v>27</v>
      </c>
      <c r="B1733" s="1">
        <v>44378</v>
      </c>
      <c r="C1733" s="2" t="s">
        <v>3</v>
      </c>
      <c r="D1733" s="2" t="s">
        <v>3</v>
      </c>
      <c r="E1733" s="2">
        <v>4626</v>
      </c>
      <c r="F1733" s="2" t="s">
        <v>3</v>
      </c>
      <c r="G1733" s="2" t="s">
        <v>3</v>
      </c>
      <c r="H1733" s="2" t="s">
        <v>3</v>
      </c>
      <c r="I1733" s="2" t="s">
        <v>3</v>
      </c>
    </row>
    <row r="1734" spans="1:9" hidden="1" x14ac:dyDescent="0.3">
      <c r="A1734" t="s">
        <v>27</v>
      </c>
      <c r="B1734" s="1">
        <v>44348</v>
      </c>
      <c r="C1734" s="2" t="s">
        <v>3</v>
      </c>
      <c r="D1734" s="2" t="s">
        <v>3</v>
      </c>
      <c r="E1734" s="2">
        <v>5051</v>
      </c>
      <c r="F1734" s="2" t="s">
        <v>3</v>
      </c>
      <c r="G1734" s="2" t="s">
        <v>3</v>
      </c>
      <c r="H1734" s="2" t="s">
        <v>3</v>
      </c>
      <c r="I1734" s="2" t="s">
        <v>3</v>
      </c>
    </row>
    <row r="1735" spans="1:9" hidden="1" x14ac:dyDescent="0.3">
      <c r="A1735" t="s">
        <v>27</v>
      </c>
      <c r="B1735" s="1">
        <v>44317</v>
      </c>
      <c r="C1735" s="2" t="s">
        <v>3</v>
      </c>
      <c r="D1735" s="2" t="s">
        <v>3</v>
      </c>
      <c r="E1735" s="2">
        <v>4445</v>
      </c>
      <c r="F1735" s="2" t="s">
        <v>3</v>
      </c>
      <c r="G1735" s="2" t="s">
        <v>3</v>
      </c>
      <c r="H1735" s="2" t="s">
        <v>3</v>
      </c>
      <c r="I1735" s="2" t="s">
        <v>3</v>
      </c>
    </row>
    <row r="1736" spans="1:9" hidden="1" x14ac:dyDescent="0.3">
      <c r="A1736" t="s">
        <v>27</v>
      </c>
      <c r="B1736" s="1">
        <v>44287</v>
      </c>
      <c r="C1736" s="2" t="s">
        <v>3</v>
      </c>
      <c r="D1736" s="2" t="s">
        <v>3</v>
      </c>
      <c r="E1736" s="2">
        <v>5022</v>
      </c>
      <c r="F1736" s="2" t="s">
        <v>3</v>
      </c>
      <c r="G1736" s="2" t="s">
        <v>3</v>
      </c>
      <c r="H1736" s="2" t="s">
        <v>3</v>
      </c>
      <c r="I1736" s="2" t="s">
        <v>3</v>
      </c>
    </row>
    <row r="1737" spans="1:9" hidden="1" x14ac:dyDescent="0.3">
      <c r="A1737" t="s">
        <v>27</v>
      </c>
      <c r="B1737" s="1">
        <v>44256</v>
      </c>
      <c r="C1737" s="2" t="s">
        <v>3</v>
      </c>
      <c r="D1737" s="2" t="s">
        <v>3</v>
      </c>
      <c r="E1737" s="2">
        <v>5169</v>
      </c>
      <c r="F1737" s="2" t="s">
        <v>3</v>
      </c>
      <c r="G1737" s="2" t="s">
        <v>3</v>
      </c>
      <c r="H1737" s="2" t="s">
        <v>3</v>
      </c>
      <c r="I1737" s="2" t="s">
        <v>3</v>
      </c>
    </row>
    <row r="1738" spans="1:9" hidden="1" x14ac:dyDescent="0.3">
      <c r="A1738" t="s">
        <v>27</v>
      </c>
      <c r="B1738" s="1">
        <v>44228</v>
      </c>
      <c r="C1738" s="2" t="s">
        <v>3</v>
      </c>
      <c r="D1738" s="2" t="s">
        <v>3</v>
      </c>
      <c r="E1738" s="2">
        <v>5893</v>
      </c>
      <c r="F1738" s="2" t="s">
        <v>3</v>
      </c>
      <c r="G1738" s="2" t="s">
        <v>3</v>
      </c>
      <c r="H1738" s="2" t="s">
        <v>3</v>
      </c>
      <c r="I1738" s="2" t="s">
        <v>3</v>
      </c>
    </row>
    <row r="1739" spans="1:9" hidden="1" x14ac:dyDescent="0.3">
      <c r="A1739" t="s">
        <v>27</v>
      </c>
      <c r="B1739" s="1">
        <v>44197</v>
      </c>
      <c r="C1739" s="2" t="s">
        <v>3</v>
      </c>
      <c r="D1739" s="2" t="s">
        <v>3</v>
      </c>
      <c r="E1739" s="2">
        <v>5750</v>
      </c>
      <c r="F1739" s="2" t="s">
        <v>3</v>
      </c>
      <c r="G1739" s="2" t="s">
        <v>3</v>
      </c>
      <c r="H1739" s="2" t="s">
        <v>3</v>
      </c>
      <c r="I1739" s="2" t="s">
        <v>3</v>
      </c>
    </row>
    <row r="1740" spans="1:9" hidden="1" x14ac:dyDescent="0.3">
      <c r="A1740" t="s">
        <v>27</v>
      </c>
      <c r="B1740" s="1">
        <v>44166</v>
      </c>
      <c r="C1740" s="2" t="s">
        <v>3</v>
      </c>
      <c r="D1740" s="2" t="s">
        <v>3</v>
      </c>
      <c r="E1740" s="2">
        <v>4979</v>
      </c>
      <c r="F1740" s="2" t="s">
        <v>3</v>
      </c>
      <c r="G1740" s="2" t="s">
        <v>3</v>
      </c>
      <c r="H1740" s="2" t="s">
        <v>3</v>
      </c>
      <c r="I1740" s="2" t="s">
        <v>3</v>
      </c>
    </row>
    <row r="1741" spans="1:9" hidden="1" x14ac:dyDescent="0.3">
      <c r="A1741" t="s">
        <v>27</v>
      </c>
      <c r="B1741" s="1">
        <v>44136</v>
      </c>
      <c r="C1741" s="2" t="s">
        <v>3</v>
      </c>
      <c r="D1741" s="2" t="s">
        <v>3</v>
      </c>
      <c r="E1741" s="2">
        <v>5681</v>
      </c>
      <c r="F1741" s="2" t="s">
        <v>3</v>
      </c>
      <c r="G1741" s="2" t="s">
        <v>3</v>
      </c>
      <c r="H1741" s="2" t="s">
        <v>3</v>
      </c>
      <c r="I1741" s="2" t="s">
        <v>3</v>
      </c>
    </row>
    <row r="1742" spans="1:9" hidden="1" x14ac:dyDescent="0.3">
      <c r="A1742" t="s">
        <v>27</v>
      </c>
      <c r="B1742" s="1">
        <v>44105</v>
      </c>
      <c r="C1742" s="2" t="s">
        <v>3</v>
      </c>
      <c r="D1742" s="2" t="s">
        <v>3</v>
      </c>
      <c r="E1742" s="2">
        <v>5363</v>
      </c>
      <c r="F1742" s="2" t="s">
        <v>3</v>
      </c>
      <c r="G1742" s="2" t="s">
        <v>3</v>
      </c>
      <c r="H1742" s="2" t="s">
        <v>3</v>
      </c>
      <c r="I1742" s="2" t="s">
        <v>3</v>
      </c>
    </row>
    <row r="1743" spans="1:9" hidden="1" x14ac:dyDescent="0.3">
      <c r="A1743" t="s">
        <v>27</v>
      </c>
      <c r="B1743" s="1">
        <v>44075</v>
      </c>
      <c r="C1743" s="2" t="s">
        <v>3</v>
      </c>
      <c r="D1743" s="2" t="s">
        <v>3</v>
      </c>
      <c r="E1743" s="2">
        <v>4965</v>
      </c>
      <c r="F1743" s="2" t="s">
        <v>3</v>
      </c>
      <c r="G1743" s="2" t="s">
        <v>3</v>
      </c>
      <c r="H1743" s="2" t="s">
        <v>3</v>
      </c>
      <c r="I1743" s="2" t="s">
        <v>3</v>
      </c>
    </row>
    <row r="1744" spans="1:9" hidden="1" x14ac:dyDescent="0.3">
      <c r="A1744" t="s">
        <v>27</v>
      </c>
      <c r="B1744" s="1">
        <v>44044</v>
      </c>
      <c r="C1744" s="2" t="s">
        <v>3</v>
      </c>
      <c r="D1744" s="2" t="s">
        <v>3</v>
      </c>
      <c r="E1744" s="2">
        <v>5189</v>
      </c>
      <c r="F1744" s="2" t="s">
        <v>3</v>
      </c>
      <c r="G1744" s="2" t="s">
        <v>3</v>
      </c>
      <c r="H1744" s="2" t="s">
        <v>3</v>
      </c>
      <c r="I1744" s="2" t="s">
        <v>3</v>
      </c>
    </row>
    <row r="1745" spans="1:9" hidden="1" x14ac:dyDescent="0.3">
      <c r="A1745" t="s">
        <v>27</v>
      </c>
      <c r="B1745" s="1">
        <v>44013</v>
      </c>
      <c r="C1745" s="2" t="s">
        <v>3</v>
      </c>
      <c r="D1745" s="2" t="s">
        <v>3</v>
      </c>
      <c r="E1745" s="2">
        <v>4998</v>
      </c>
      <c r="F1745" s="2" t="s">
        <v>3</v>
      </c>
      <c r="G1745" s="2" t="s">
        <v>3</v>
      </c>
      <c r="H1745" s="2" t="s">
        <v>3</v>
      </c>
      <c r="I1745" s="2" t="s">
        <v>3</v>
      </c>
    </row>
    <row r="1746" spans="1:9" hidden="1" x14ac:dyDescent="0.3">
      <c r="A1746" t="s">
        <v>27</v>
      </c>
      <c r="B1746" s="1">
        <v>43983</v>
      </c>
      <c r="C1746" s="2" t="s">
        <v>3</v>
      </c>
      <c r="D1746" s="2" t="s">
        <v>3</v>
      </c>
      <c r="E1746" s="2">
        <v>4895</v>
      </c>
      <c r="F1746" s="2" t="s">
        <v>3</v>
      </c>
      <c r="G1746" s="2" t="s">
        <v>3</v>
      </c>
      <c r="H1746" s="2" t="s">
        <v>3</v>
      </c>
      <c r="I1746" s="2" t="s">
        <v>3</v>
      </c>
    </row>
    <row r="1747" spans="1:9" hidden="1" x14ac:dyDescent="0.3">
      <c r="A1747" t="s">
        <v>27</v>
      </c>
      <c r="B1747" s="1">
        <v>43952</v>
      </c>
      <c r="C1747" s="2" t="s">
        <v>3</v>
      </c>
      <c r="D1747" s="2" t="s">
        <v>3</v>
      </c>
      <c r="E1747" s="2">
        <v>4974</v>
      </c>
      <c r="F1747" s="2" t="s">
        <v>3</v>
      </c>
      <c r="G1747" s="2" t="s">
        <v>3</v>
      </c>
      <c r="H1747" s="2" t="s">
        <v>3</v>
      </c>
      <c r="I1747" s="2" t="s">
        <v>3</v>
      </c>
    </row>
    <row r="1748" spans="1:9" hidden="1" x14ac:dyDescent="0.3">
      <c r="A1748" t="s">
        <v>27</v>
      </c>
      <c r="B1748" s="1">
        <v>43922</v>
      </c>
      <c r="C1748" s="2" t="s">
        <v>3</v>
      </c>
      <c r="D1748" s="2" t="s">
        <v>3</v>
      </c>
      <c r="E1748" s="2">
        <v>4970</v>
      </c>
      <c r="F1748" s="2" t="s">
        <v>3</v>
      </c>
      <c r="G1748" s="2" t="s">
        <v>3</v>
      </c>
      <c r="H1748" s="2" t="s">
        <v>3</v>
      </c>
      <c r="I1748" s="2" t="s">
        <v>3</v>
      </c>
    </row>
    <row r="1749" spans="1:9" hidden="1" x14ac:dyDescent="0.3">
      <c r="A1749" t="s">
        <v>27</v>
      </c>
      <c r="B1749" s="1">
        <v>43891</v>
      </c>
      <c r="C1749" s="2" t="s">
        <v>3</v>
      </c>
      <c r="D1749" s="2" t="s">
        <v>3</v>
      </c>
      <c r="E1749" s="2">
        <v>5277</v>
      </c>
      <c r="F1749" s="2" t="s">
        <v>3</v>
      </c>
      <c r="G1749" s="2" t="s">
        <v>3</v>
      </c>
      <c r="H1749" s="2" t="s">
        <v>3</v>
      </c>
      <c r="I1749" s="2" t="s">
        <v>3</v>
      </c>
    </row>
    <row r="1750" spans="1:9" hidden="1" x14ac:dyDescent="0.3">
      <c r="A1750" t="s">
        <v>27</v>
      </c>
      <c r="B1750" s="1">
        <v>43862</v>
      </c>
      <c r="C1750" s="2" t="s">
        <v>3</v>
      </c>
      <c r="D1750" s="2" t="s">
        <v>3</v>
      </c>
      <c r="E1750" s="2">
        <v>5850</v>
      </c>
      <c r="F1750" s="2" t="s">
        <v>3</v>
      </c>
      <c r="G1750" s="2" t="s">
        <v>3</v>
      </c>
      <c r="H1750" s="2" t="s">
        <v>3</v>
      </c>
      <c r="I1750" s="2" t="s">
        <v>3</v>
      </c>
    </row>
    <row r="1751" spans="1:9" hidden="1" x14ac:dyDescent="0.3">
      <c r="A1751" t="s">
        <v>27</v>
      </c>
      <c r="B1751" s="1">
        <v>43831</v>
      </c>
      <c r="C1751" s="2" t="s">
        <v>3</v>
      </c>
      <c r="D1751" s="2" t="s">
        <v>3</v>
      </c>
      <c r="E1751" s="2">
        <v>5788</v>
      </c>
      <c r="F1751" s="2" t="s">
        <v>3</v>
      </c>
      <c r="G1751" s="2" t="s">
        <v>3</v>
      </c>
      <c r="H1751" s="2" t="s">
        <v>3</v>
      </c>
      <c r="I1751" s="2" t="s">
        <v>3</v>
      </c>
    </row>
    <row r="1752" spans="1:9" x14ac:dyDescent="0.3">
      <c r="A1752" t="s">
        <v>28</v>
      </c>
      <c r="B1752" s="1">
        <v>45931</v>
      </c>
      <c r="C1752" s="2">
        <v>30</v>
      </c>
      <c r="D1752" s="2">
        <v>1</v>
      </c>
      <c r="E1752" s="2">
        <v>23</v>
      </c>
      <c r="F1752" s="2">
        <v>3</v>
      </c>
      <c r="G1752" s="2">
        <v>0</v>
      </c>
      <c r="H1752" s="2">
        <v>7</v>
      </c>
      <c r="I1752" s="2">
        <v>-2</v>
      </c>
    </row>
    <row r="1753" spans="1:9" x14ac:dyDescent="0.3">
      <c r="A1753" t="s">
        <v>28</v>
      </c>
      <c r="B1753" s="1">
        <v>45901</v>
      </c>
      <c r="C1753" s="2">
        <v>31</v>
      </c>
      <c r="D1753" s="2">
        <v>-6</v>
      </c>
      <c r="E1753" s="2">
        <v>22</v>
      </c>
      <c r="F1753" s="2">
        <v>2</v>
      </c>
      <c r="G1753" s="2">
        <v>0</v>
      </c>
      <c r="H1753" s="2">
        <v>9</v>
      </c>
      <c r="I1753" s="2">
        <v>-8</v>
      </c>
    </row>
    <row r="1754" spans="1:9" x14ac:dyDescent="0.3">
      <c r="A1754" t="s">
        <v>28</v>
      </c>
      <c r="B1754" s="1">
        <v>45870</v>
      </c>
      <c r="C1754" s="2">
        <v>39</v>
      </c>
      <c r="D1754" s="2">
        <v>2</v>
      </c>
      <c r="E1754" s="2">
        <v>22</v>
      </c>
      <c r="F1754" s="2">
        <v>1</v>
      </c>
      <c r="G1754" s="2">
        <v>0</v>
      </c>
      <c r="H1754" s="2">
        <v>17</v>
      </c>
      <c r="I1754" s="2">
        <v>1</v>
      </c>
    </row>
    <row r="1755" spans="1:9" x14ac:dyDescent="0.3">
      <c r="A1755" t="s">
        <v>28</v>
      </c>
      <c r="B1755" s="1">
        <v>45839</v>
      </c>
      <c r="C1755" s="2">
        <v>38</v>
      </c>
      <c r="D1755" s="2">
        <v>0</v>
      </c>
      <c r="E1755" s="2">
        <v>22</v>
      </c>
      <c r="F1755" s="2">
        <v>0</v>
      </c>
      <c r="G1755" s="2">
        <v>0</v>
      </c>
      <c r="H1755" s="2">
        <v>16</v>
      </c>
      <c r="I1755" s="2">
        <v>0</v>
      </c>
    </row>
    <row r="1756" spans="1:9" x14ac:dyDescent="0.3">
      <c r="A1756" t="s">
        <v>28</v>
      </c>
      <c r="B1756" s="1">
        <v>45809</v>
      </c>
      <c r="C1756" s="2">
        <v>39</v>
      </c>
      <c r="D1756" s="2">
        <v>6</v>
      </c>
      <c r="E1756" s="2">
        <v>23</v>
      </c>
      <c r="F1756" s="2">
        <v>0</v>
      </c>
      <c r="G1756" s="2">
        <v>0</v>
      </c>
      <c r="H1756" s="2">
        <v>16</v>
      </c>
      <c r="I1756" s="2">
        <v>6</v>
      </c>
    </row>
    <row r="1757" spans="1:9" x14ac:dyDescent="0.3">
      <c r="A1757" t="s">
        <v>28</v>
      </c>
      <c r="B1757" s="1">
        <v>45778</v>
      </c>
      <c r="C1757" s="2">
        <v>42</v>
      </c>
      <c r="D1757" s="2">
        <v>10</v>
      </c>
      <c r="E1757" s="2">
        <v>32</v>
      </c>
      <c r="F1757" s="2">
        <v>4</v>
      </c>
      <c r="G1757" s="2">
        <v>0</v>
      </c>
      <c r="H1757" s="2">
        <v>10</v>
      </c>
      <c r="I1757" s="2">
        <v>6</v>
      </c>
    </row>
    <row r="1758" spans="1:9" x14ac:dyDescent="0.3">
      <c r="A1758" t="s">
        <v>28</v>
      </c>
      <c r="B1758" s="1">
        <v>45748</v>
      </c>
      <c r="C1758" s="2">
        <v>31</v>
      </c>
      <c r="D1758" s="2">
        <v>3</v>
      </c>
      <c r="E1758" s="2">
        <v>27</v>
      </c>
      <c r="F1758" s="2">
        <v>2</v>
      </c>
      <c r="G1758" s="2">
        <v>0</v>
      </c>
      <c r="H1758" s="2">
        <v>4</v>
      </c>
      <c r="I1758" s="2">
        <v>1</v>
      </c>
    </row>
    <row r="1759" spans="1:9" x14ac:dyDescent="0.3">
      <c r="A1759" t="s">
        <v>28</v>
      </c>
      <c r="B1759" s="1">
        <v>45717</v>
      </c>
      <c r="C1759" s="2">
        <v>35</v>
      </c>
      <c r="D1759" s="2">
        <v>-2</v>
      </c>
      <c r="E1759" s="2">
        <v>32</v>
      </c>
      <c r="F1759" s="2">
        <v>1</v>
      </c>
      <c r="G1759" s="2">
        <v>0</v>
      </c>
      <c r="H1759" s="2">
        <v>3</v>
      </c>
      <c r="I1759" s="2">
        <v>-3</v>
      </c>
    </row>
    <row r="1760" spans="1:9" x14ac:dyDescent="0.3">
      <c r="A1760" t="s">
        <v>28</v>
      </c>
      <c r="B1760" s="1">
        <v>45689</v>
      </c>
      <c r="C1760" s="2">
        <v>36</v>
      </c>
      <c r="D1760" s="2">
        <v>0</v>
      </c>
      <c r="E1760" s="2">
        <v>30</v>
      </c>
      <c r="F1760" s="2">
        <v>0</v>
      </c>
      <c r="G1760" s="2">
        <v>0</v>
      </c>
      <c r="H1760" s="2">
        <v>6</v>
      </c>
      <c r="I1760" s="2">
        <v>0</v>
      </c>
    </row>
    <row r="1761" spans="1:9" x14ac:dyDescent="0.3">
      <c r="A1761" t="s">
        <v>28</v>
      </c>
      <c r="B1761" s="1">
        <v>45658</v>
      </c>
      <c r="C1761" s="2">
        <v>38</v>
      </c>
      <c r="D1761" s="2">
        <v>2</v>
      </c>
      <c r="E1761" s="2">
        <v>32</v>
      </c>
      <c r="F1761" s="2">
        <v>5</v>
      </c>
      <c r="G1761" s="2">
        <v>0</v>
      </c>
      <c r="H1761" s="2">
        <v>6</v>
      </c>
      <c r="I1761" s="2">
        <v>-3</v>
      </c>
    </row>
    <row r="1762" spans="1:9" x14ac:dyDescent="0.3">
      <c r="A1762" t="s">
        <v>28</v>
      </c>
      <c r="B1762" s="1">
        <v>45627</v>
      </c>
      <c r="C1762" s="2">
        <v>42</v>
      </c>
      <c r="D1762" s="2">
        <v>9</v>
      </c>
      <c r="E1762" s="2">
        <v>33</v>
      </c>
      <c r="F1762" s="2">
        <v>4</v>
      </c>
      <c r="G1762" s="2">
        <v>0</v>
      </c>
      <c r="H1762" s="2">
        <v>9</v>
      </c>
      <c r="I1762" s="2">
        <v>5</v>
      </c>
    </row>
    <row r="1763" spans="1:9" x14ac:dyDescent="0.3">
      <c r="A1763" t="s">
        <v>28</v>
      </c>
      <c r="B1763" s="1">
        <v>45597</v>
      </c>
      <c r="C1763" s="2">
        <v>35</v>
      </c>
      <c r="D1763" s="2">
        <v>2</v>
      </c>
      <c r="E1763" s="2">
        <v>31</v>
      </c>
      <c r="F1763" s="2">
        <v>2</v>
      </c>
      <c r="G1763" s="2">
        <v>0</v>
      </c>
      <c r="H1763" s="2">
        <v>4</v>
      </c>
      <c r="I1763" s="2">
        <v>0</v>
      </c>
    </row>
    <row r="1764" spans="1:9" x14ac:dyDescent="0.3">
      <c r="A1764" t="s">
        <v>28</v>
      </c>
      <c r="B1764" s="1">
        <v>45566</v>
      </c>
      <c r="C1764" s="2">
        <v>28</v>
      </c>
      <c r="D1764" s="2">
        <v>2</v>
      </c>
      <c r="E1764" s="2">
        <v>24</v>
      </c>
      <c r="F1764" s="2">
        <v>1</v>
      </c>
      <c r="G1764" s="2">
        <v>-2</v>
      </c>
      <c r="H1764" s="2">
        <v>4</v>
      </c>
      <c r="I1764" s="2">
        <v>1</v>
      </c>
    </row>
    <row r="1765" spans="1:9" x14ac:dyDescent="0.3">
      <c r="A1765" t="s">
        <v>28</v>
      </c>
      <c r="B1765" s="1">
        <v>45536</v>
      </c>
      <c r="C1765" s="2">
        <v>170</v>
      </c>
      <c r="D1765" s="2">
        <v>2</v>
      </c>
      <c r="E1765" s="2">
        <v>167</v>
      </c>
      <c r="F1765" s="2">
        <v>2</v>
      </c>
      <c r="G1765" s="2">
        <v>10</v>
      </c>
      <c r="H1765" s="2">
        <v>3</v>
      </c>
      <c r="I1765" s="2">
        <v>0</v>
      </c>
    </row>
    <row r="1766" spans="1:9" x14ac:dyDescent="0.3">
      <c r="A1766" t="s">
        <v>28</v>
      </c>
      <c r="B1766" s="1">
        <v>45505</v>
      </c>
      <c r="C1766" s="2">
        <v>161</v>
      </c>
      <c r="D1766" s="2">
        <v>2</v>
      </c>
      <c r="E1766" s="2">
        <v>158</v>
      </c>
      <c r="F1766" s="2">
        <v>1</v>
      </c>
      <c r="G1766" s="2">
        <v>0</v>
      </c>
      <c r="H1766" s="2">
        <v>3</v>
      </c>
      <c r="I1766" s="2">
        <v>1</v>
      </c>
    </row>
    <row r="1767" spans="1:9" x14ac:dyDescent="0.3">
      <c r="A1767" t="s">
        <v>28</v>
      </c>
      <c r="B1767" s="1">
        <v>45474</v>
      </c>
      <c r="C1767" s="2">
        <v>202</v>
      </c>
      <c r="D1767" s="2">
        <v>-20</v>
      </c>
      <c r="E1767" s="2">
        <v>200</v>
      </c>
      <c r="F1767" s="2">
        <v>-20</v>
      </c>
      <c r="G1767" s="2">
        <v>2</v>
      </c>
      <c r="H1767" s="2">
        <v>2</v>
      </c>
      <c r="I1767" s="2">
        <v>0</v>
      </c>
    </row>
    <row r="1768" spans="1:9" x14ac:dyDescent="0.3">
      <c r="A1768" t="s">
        <v>28</v>
      </c>
      <c r="B1768" s="1">
        <v>45444</v>
      </c>
      <c r="C1768" s="2">
        <v>220</v>
      </c>
      <c r="D1768" s="2">
        <v>0</v>
      </c>
      <c r="E1768" s="2">
        <v>218</v>
      </c>
      <c r="F1768" s="2">
        <v>1</v>
      </c>
      <c r="G1768" s="2">
        <v>1</v>
      </c>
      <c r="H1768" s="2">
        <v>2</v>
      </c>
      <c r="I1768" s="2">
        <v>-1</v>
      </c>
    </row>
    <row r="1769" spans="1:9" x14ac:dyDescent="0.3">
      <c r="A1769" t="s">
        <v>28</v>
      </c>
      <c r="B1769" s="1">
        <v>45413</v>
      </c>
      <c r="C1769" s="2">
        <v>221</v>
      </c>
      <c r="D1769" s="2">
        <v>3</v>
      </c>
      <c r="E1769" s="2">
        <v>218</v>
      </c>
      <c r="F1769" s="2">
        <v>1</v>
      </c>
      <c r="G1769" s="2">
        <v>-2</v>
      </c>
      <c r="H1769" s="2">
        <v>3</v>
      </c>
      <c r="I1769" s="2">
        <v>2</v>
      </c>
    </row>
    <row r="1770" spans="1:9" x14ac:dyDescent="0.3">
      <c r="A1770" t="s">
        <v>28</v>
      </c>
      <c r="B1770" s="1">
        <v>45383</v>
      </c>
      <c r="C1770" s="2">
        <v>221</v>
      </c>
      <c r="D1770" s="2">
        <v>2</v>
      </c>
      <c r="E1770" s="2">
        <v>220</v>
      </c>
      <c r="F1770" s="2">
        <v>2</v>
      </c>
      <c r="G1770" s="2">
        <v>0</v>
      </c>
      <c r="H1770" s="2">
        <v>1</v>
      </c>
      <c r="I1770" s="2">
        <v>0</v>
      </c>
    </row>
    <row r="1771" spans="1:9" x14ac:dyDescent="0.3">
      <c r="A1771" t="s">
        <v>28</v>
      </c>
      <c r="B1771" s="1">
        <v>45352</v>
      </c>
      <c r="C1771" s="2">
        <v>213</v>
      </c>
      <c r="D1771" s="2">
        <v>1</v>
      </c>
      <c r="E1771" s="2">
        <v>212</v>
      </c>
      <c r="F1771" s="2">
        <v>1</v>
      </c>
      <c r="G1771" s="2">
        <v>0</v>
      </c>
      <c r="H1771" s="2">
        <v>1</v>
      </c>
      <c r="I1771" s="2">
        <v>0</v>
      </c>
    </row>
    <row r="1772" spans="1:9" x14ac:dyDescent="0.3">
      <c r="A1772" t="s">
        <v>28</v>
      </c>
      <c r="B1772" s="1">
        <v>45323</v>
      </c>
      <c r="C1772" s="2">
        <v>212</v>
      </c>
      <c r="D1772" s="2">
        <v>3</v>
      </c>
      <c r="E1772" s="2">
        <v>211</v>
      </c>
      <c r="F1772" s="2">
        <v>3</v>
      </c>
      <c r="G1772" s="2">
        <v>0</v>
      </c>
      <c r="H1772" s="2">
        <v>1</v>
      </c>
      <c r="I1772" s="2">
        <v>0</v>
      </c>
    </row>
    <row r="1773" spans="1:9" x14ac:dyDescent="0.3">
      <c r="A1773" t="s">
        <v>28</v>
      </c>
      <c r="B1773" s="1">
        <v>45292</v>
      </c>
      <c r="C1773" s="2">
        <v>210</v>
      </c>
      <c r="D1773" s="2">
        <v>0</v>
      </c>
      <c r="E1773" s="2">
        <v>209</v>
      </c>
      <c r="F1773" s="2">
        <v>2</v>
      </c>
      <c r="G1773" s="2">
        <v>-2</v>
      </c>
      <c r="H1773" s="2">
        <v>1</v>
      </c>
      <c r="I1773" s="2">
        <v>-2</v>
      </c>
    </row>
    <row r="1774" spans="1:9" x14ac:dyDescent="0.3">
      <c r="A1774" t="s">
        <v>28</v>
      </c>
      <c r="B1774" s="1">
        <v>45261</v>
      </c>
      <c r="C1774" s="2">
        <v>216</v>
      </c>
      <c r="D1774" s="2">
        <v>3</v>
      </c>
      <c r="E1774" s="2">
        <v>213</v>
      </c>
      <c r="F1774" s="2">
        <v>3</v>
      </c>
      <c r="G1774" s="2">
        <v>0</v>
      </c>
      <c r="H1774" s="2">
        <v>3</v>
      </c>
      <c r="I1774" s="2">
        <v>0</v>
      </c>
    </row>
    <row r="1775" spans="1:9" x14ac:dyDescent="0.3">
      <c r="A1775" t="s">
        <v>28</v>
      </c>
      <c r="B1775" s="1">
        <v>45231</v>
      </c>
      <c r="C1775" s="2">
        <v>28</v>
      </c>
      <c r="D1775" s="2">
        <v>2</v>
      </c>
      <c r="E1775" s="2">
        <v>25</v>
      </c>
      <c r="F1775" s="2">
        <v>2</v>
      </c>
      <c r="G1775" s="2">
        <v>0</v>
      </c>
      <c r="H1775" s="2">
        <v>3</v>
      </c>
      <c r="I1775" s="2">
        <v>0</v>
      </c>
    </row>
    <row r="1776" spans="1:9" x14ac:dyDescent="0.3">
      <c r="A1776" t="s">
        <v>28</v>
      </c>
      <c r="B1776" s="1">
        <v>45200</v>
      </c>
      <c r="C1776" s="2">
        <v>31</v>
      </c>
      <c r="D1776" s="2">
        <v>-8</v>
      </c>
      <c r="E1776" s="2">
        <v>28</v>
      </c>
      <c r="F1776" s="2">
        <v>1</v>
      </c>
      <c r="G1776" s="2">
        <v>0</v>
      </c>
      <c r="H1776" s="2">
        <v>3</v>
      </c>
      <c r="I1776" s="2">
        <v>-9</v>
      </c>
    </row>
    <row r="1777" spans="1:9" x14ac:dyDescent="0.3">
      <c r="A1777" t="s">
        <v>28</v>
      </c>
      <c r="B1777" s="1">
        <v>45170</v>
      </c>
      <c r="C1777" s="2">
        <v>73</v>
      </c>
      <c r="D1777" s="2">
        <v>10</v>
      </c>
      <c r="E1777" s="2">
        <v>61</v>
      </c>
      <c r="F1777" s="2">
        <v>3</v>
      </c>
      <c r="G1777" s="2">
        <v>0</v>
      </c>
      <c r="H1777" s="2">
        <v>12</v>
      </c>
      <c r="I1777" s="2">
        <v>7</v>
      </c>
    </row>
    <row r="1778" spans="1:9" x14ac:dyDescent="0.3">
      <c r="A1778" t="s">
        <v>28</v>
      </c>
      <c r="B1778" s="1">
        <v>45139</v>
      </c>
      <c r="C1778" s="2">
        <v>31</v>
      </c>
      <c r="D1778" s="2">
        <v>3</v>
      </c>
      <c r="E1778" s="2">
        <v>26</v>
      </c>
      <c r="F1778" s="2">
        <v>3</v>
      </c>
      <c r="G1778" s="2">
        <v>0</v>
      </c>
      <c r="H1778" s="2">
        <v>5</v>
      </c>
      <c r="I1778" s="2">
        <v>0</v>
      </c>
    </row>
    <row r="1779" spans="1:9" x14ac:dyDescent="0.3">
      <c r="A1779" t="s">
        <v>28</v>
      </c>
      <c r="B1779" s="1">
        <v>45108</v>
      </c>
      <c r="C1779" s="2">
        <v>29</v>
      </c>
      <c r="D1779" s="2">
        <v>0</v>
      </c>
      <c r="E1779" s="2">
        <v>24</v>
      </c>
      <c r="F1779" s="2">
        <v>1</v>
      </c>
      <c r="G1779" s="2">
        <v>0</v>
      </c>
      <c r="H1779" s="2">
        <v>5</v>
      </c>
      <c r="I1779" s="2">
        <v>-1</v>
      </c>
    </row>
    <row r="1780" spans="1:9" x14ac:dyDescent="0.3">
      <c r="A1780" t="s">
        <v>28</v>
      </c>
      <c r="B1780" s="1">
        <v>45078</v>
      </c>
      <c r="C1780" s="2">
        <v>33</v>
      </c>
      <c r="D1780" s="2">
        <v>0</v>
      </c>
      <c r="E1780" s="2">
        <v>27</v>
      </c>
      <c r="F1780" s="2">
        <v>2</v>
      </c>
      <c r="G1780" s="2">
        <v>-2</v>
      </c>
      <c r="H1780" s="2">
        <v>6</v>
      </c>
      <c r="I1780" s="2">
        <v>-2</v>
      </c>
    </row>
    <row r="1781" spans="1:9" x14ac:dyDescent="0.3">
      <c r="A1781" t="s">
        <v>28</v>
      </c>
      <c r="B1781" s="1">
        <v>45047</v>
      </c>
      <c r="C1781" s="2">
        <v>36</v>
      </c>
      <c r="D1781" s="2">
        <v>0</v>
      </c>
      <c r="E1781" s="2">
        <v>28</v>
      </c>
      <c r="F1781" s="2">
        <v>0</v>
      </c>
      <c r="G1781" s="2">
        <v>0</v>
      </c>
      <c r="H1781" s="2">
        <v>8</v>
      </c>
      <c r="I1781" s="2">
        <v>0</v>
      </c>
    </row>
    <row r="1782" spans="1:9" x14ac:dyDescent="0.3">
      <c r="A1782" t="s">
        <v>28</v>
      </c>
      <c r="B1782" s="1">
        <v>45017</v>
      </c>
      <c r="C1782" s="2">
        <v>35</v>
      </c>
      <c r="D1782" s="2">
        <v>4</v>
      </c>
      <c r="E1782" s="2">
        <v>27</v>
      </c>
      <c r="F1782" s="2">
        <v>5</v>
      </c>
      <c r="G1782" s="2">
        <v>1</v>
      </c>
      <c r="H1782" s="2">
        <v>8</v>
      </c>
      <c r="I1782" s="2">
        <v>-1</v>
      </c>
    </row>
    <row r="1783" spans="1:9" x14ac:dyDescent="0.3">
      <c r="A1783" t="s">
        <v>28</v>
      </c>
      <c r="B1783" s="1">
        <v>44986</v>
      </c>
      <c r="C1783" s="2">
        <v>77</v>
      </c>
      <c r="D1783" s="2">
        <v>4</v>
      </c>
      <c r="E1783" s="2">
        <v>68</v>
      </c>
      <c r="F1783" s="2">
        <v>8</v>
      </c>
      <c r="G1783" s="2">
        <v>-1</v>
      </c>
      <c r="H1783" s="2">
        <v>9</v>
      </c>
      <c r="I1783" s="2">
        <v>-4</v>
      </c>
    </row>
    <row r="1784" spans="1:9" x14ac:dyDescent="0.3">
      <c r="A1784" t="s">
        <v>28</v>
      </c>
      <c r="B1784" s="1">
        <v>44958</v>
      </c>
      <c r="C1784" s="2">
        <v>75</v>
      </c>
      <c r="D1784" s="2">
        <v>4</v>
      </c>
      <c r="E1784" s="2">
        <v>62</v>
      </c>
      <c r="F1784" s="2">
        <v>4</v>
      </c>
      <c r="G1784" s="2">
        <v>4</v>
      </c>
      <c r="H1784" s="2">
        <v>13</v>
      </c>
      <c r="I1784" s="2">
        <v>0</v>
      </c>
    </row>
    <row r="1785" spans="1:9" hidden="1" x14ac:dyDescent="0.3">
      <c r="A1785" t="s">
        <v>28</v>
      </c>
      <c r="B1785" s="1">
        <v>44927</v>
      </c>
      <c r="C1785" s="2">
        <v>67</v>
      </c>
      <c r="D1785" s="2" t="s">
        <v>3</v>
      </c>
      <c r="E1785" s="2">
        <v>54</v>
      </c>
      <c r="F1785" s="2" t="s">
        <v>3</v>
      </c>
      <c r="G1785" s="2" t="s">
        <v>3</v>
      </c>
      <c r="H1785" s="2">
        <v>13</v>
      </c>
      <c r="I1785" s="2">
        <v>-512</v>
      </c>
    </row>
    <row r="1786" spans="1:9" hidden="1" x14ac:dyDescent="0.3">
      <c r="A1786" t="s">
        <v>28</v>
      </c>
      <c r="B1786" s="1">
        <v>44896</v>
      </c>
      <c r="C1786" s="2">
        <v>629</v>
      </c>
      <c r="D1786" s="2" t="s">
        <v>3</v>
      </c>
      <c r="E1786" s="2">
        <v>104</v>
      </c>
      <c r="F1786" s="2" t="s">
        <v>3</v>
      </c>
      <c r="G1786" s="2" t="s">
        <v>3</v>
      </c>
      <c r="H1786" s="2">
        <v>525</v>
      </c>
      <c r="I1786" s="2">
        <v>-1487</v>
      </c>
    </row>
    <row r="1787" spans="1:9" hidden="1" x14ac:dyDescent="0.3">
      <c r="A1787" t="s">
        <v>28</v>
      </c>
      <c r="B1787" s="1">
        <v>44866</v>
      </c>
      <c r="C1787" s="2">
        <v>2092</v>
      </c>
      <c r="D1787" s="2" t="s">
        <v>3</v>
      </c>
      <c r="E1787" s="2">
        <v>80</v>
      </c>
      <c r="F1787" s="2" t="s">
        <v>3</v>
      </c>
      <c r="G1787" s="2" t="s">
        <v>3</v>
      </c>
      <c r="H1787" s="2">
        <v>2012</v>
      </c>
      <c r="I1787" s="2">
        <v>3</v>
      </c>
    </row>
    <row r="1788" spans="1:9" hidden="1" x14ac:dyDescent="0.3">
      <c r="A1788" t="s">
        <v>28</v>
      </c>
      <c r="B1788" s="1">
        <v>44835</v>
      </c>
      <c r="C1788" s="2">
        <v>2034</v>
      </c>
      <c r="D1788" s="2" t="s">
        <v>3</v>
      </c>
      <c r="E1788" s="2">
        <v>25</v>
      </c>
      <c r="F1788" s="2" t="s">
        <v>3</v>
      </c>
      <c r="G1788" s="2" t="s">
        <v>3</v>
      </c>
      <c r="H1788" s="2">
        <v>2009</v>
      </c>
      <c r="I1788" s="2">
        <v>3</v>
      </c>
    </row>
    <row r="1789" spans="1:9" hidden="1" x14ac:dyDescent="0.3">
      <c r="A1789" t="s">
        <v>28</v>
      </c>
      <c r="B1789" s="1">
        <v>44805</v>
      </c>
      <c r="C1789" s="2">
        <v>2015</v>
      </c>
      <c r="D1789" s="2" t="s">
        <v>3</v>
      </c>
      <c r="E1789" s="2">
        <v>9</v>
      </c>
      <c r="F1789" s="2" t="s">
        <v>3</v>
      </c>
      <c r="G1789" s="2" t="s">
        <v>3</v>
      </c>
      <c r="H1789" s="2">
        <v>2006</v>
      </c>
      <c r="I1789" s="2">
        <v>4</v>
      </c>
    </row>
    <row r="1790" spans="1:9" hidden="1" x14ac:dyDescent="0.3">
      <c r="A1790" t="s">
        <v>28</v>
      </c>
      <c r="B1790" s="1">
        <v>44774</v>
      </c>
      <c r="C1790" s="2">
        <v>2010</v>
      </c>
      <c r="D1790" s="2" t="s">
        <v>3</v>
      </c>
      <c r="E1790" s="2">
        <v>8</v>
      </c>
      <c r="F1790" s="2" t="s">
        <v>3</v>
      </c>
      <c r="G1790" s="2" t="s">
        <v>3</v>
      </c>
      <c r="H1790" s="2">
        <v>2002</v>
      </c>
      <c r="I1790" s="2">
        <v>0</v>
      </c>
    </row>
    <row r="1791" spans="1:9" hidden="1" x14ac:dyDescent="0.3">
      <c r="A1791" t="s">
        <v>28</v>
      </c>
      <c r="B1791" s="1">
        <v>44743</v>
      </c>
      <c r="C1791" s="2">
        <v>2007</v>
      </c>
      <c r="D1791" s="2" t="s">
        <v>3</v>
      </c>
      <c r="E1791" s="2">
        <v>5</v>
      </c>
      <c r="F1791" s="2" t="s">
        <v>3</v>
      </c>
      <c r="G1791" s="2" t="s">
        <v>3</v>
      </c>
      <c r="H1791" s="2">
        <v>2002</v>
      </c>
      <c r="I1791" s="2">
        <v>1</v>
      </c>
    </row>
    <row r="1792" spans="1:9" hidden="1" x14ac:dyDescent="0.3">
      <c r="A1792" t="s">
        <v>28</v>
      </c>
      <c r="B1792" s="1">
        <v>44713</v>
      </c>
      <c r="C1792" s="2">
        <v>2005</v>
      </c>
      <c r="D1792" s="2" t="s">
        <v>3</v>
      </c>
      <c r="E1792" s="2">
        <v>4</v>
      </c>
      <c r="F1792" s="2" t="s">
        <v>3</v>
      </c>
      <c r="G1792" s="2" t="s">
        <v>3</v>
      </c>
      <c r="H1792" s="2">
        <v>2001</v>
      </c>
      <c r="I1792" s="2">
        <v>0</v>
      </c>
    </row>
    <row r="1793" spans="1:9" hidden="1" x14ac:dyDescent="0.3">
      <c r="A1793" t="s">
        <v>28</v>
      </c>
      <c r="B1793" s="1">
        <v>44682</v>
      </c>
      <c r="C1793" s="2">
        <v>2004</v>
      </c>
      <c r="D1793" s="2" t="s">
        <v>3</v>
      </c>
      <c r="E1793" s="2">
        <v>3</v>
      </c>
      <c r="F1793" s="2" t="s">
        <v>3</v>
      </c>
      <c r="G1793" s="2" t="s">
        <v>3</v>
      </c>
      <c r="H1793" s="2">
        <v>2001</v>
      </c>
      <c r="I1793" s="2">
        <v>0</v>
      </c>
    </row>
    <row r="1794" spans="1:9" hidden="1" x14ac:dyDescent="0.3">
      <c r="A1794" t="s">
        <v>28</v>
      </c>
      <c r="B1794" s="1">
        <v>44652</v>
      </c>
      <c r="C1794" s="2">
        <v>2003</v>
      </c>
      <c r="D1794" s="2" t="s">
        <v>3</v>
      </c>
      <c r="E1794" s="2">
        <v>2</v>
      </c>
      <c r="F1794" s="2" t="s">
        <v>3</v>
      </c>
      <c r="G1794" s="2" t="s">
        <v>3</v>
      </c>
      <c r="H1794" s="2">
        <v>2001</v>
      </c>
      <c r="I1794" s="2">
        <v>0</v>
      </c>
    </row>
    <row r="1795" spans="1:9" hidden="1" x14ac:dyDescent="0.3">
      <c r="A1795" t="s">
        <v>28</v>
      </c>
      <c r="B1795" s="1">
        <v>44621</v>
      </c>
      <c r="C1795" s="2">
        <v>2003</v>
      </c>
      <c r="D1795" s="2" t="s">
        <v>3</v>
      </c>
      <c r="E1795" s="2">
        <v>2</v>
      </c>
      <c r="F1795" s="2" t="s">
        <v>3</v>
      </c>
      <c r="G1795" s="2" t="s">
        <v>3</v>
      </c>
      <c r="H1795" s="2">
        <v>2001</v>
      </c>
      <c r="I1795" s="2">
        <v>-1750</v>
      </c>
    </row>
    <row r="1796" spans="1:9" hidden="1" x14ac:dyDescent="0.3">
      <c r="A1796" t="s">
        <v>28</v>
      </c>
      <c r="B1796" s="1">
        <v>44593</v>
      </c>
      <c r="C1796" s="2">
        <v>3753</v>
      </c>
      <c r="D1796" s="2" t="s">
        <v>3</v>
      </c>
      <c r="E1796" s="2">
        <v>2</v>
      </c>
      <c r="F1796" s="2" t="s">
        <v>3</v>
      </c>
      <c r="G1796" s="2" t="s">
        <v>3</v>
      </c>
      <c r="H1796" s="2">
        <v>3751</v>
      </c>
      <c r="I1796" s="2">
        <v>-750</v>
      </c>
    </row>
    <row r="1797" spans="1:9" hidden="1" x14ac:dyDescent="0.3">
      <c r="A1797" t="s">
        <v>28</v>
      </c>
      <c r="B1797" s="1">
        <v>44562</v>
      </c>
      <c r="C1797" s="2">
        <v>4503</v>
      </c>
      <c r="D1797" s="2" t="s">
        <v>3</v>
      </c>
      <c r="E1797" s="2">
        <v>2</v>
      </c>
      <c r="F1797" s="2" t="s">
        <v>3</v>
      </c>
      <c r="G1797" s="2" t="s">
        <v>3</v>
      </c>
      <c r="H1797" s="2">
        <v>4501</v>
      </c>
      <c r="I1797" s="2">
        <v>693</v>
      </c>
    </row>
    <row r="1798" spans="1:9" hidden="1" x14ac:dyDescent="0.3">
      <c r="A1798" t="s">
        <v>28</v>
      </c>
      <c r="B1798" s="1">
        <v>44531</v>
      </c>
      <c r="C1798" s="2">
        <v>3910</v>
      </c>
      <c r="D1798" s="2" t="s">
        <v>3</v>
      </c>
      <c r="E1798" s="2">
        <v>102</v>
      </c>
      <c r="F1798" s="2" t="s">
        <v>3</v>
      </c>
      <c r="G1798" s="2" t="s">
        <v>3</v>
      </c>
      <c r="H1798" s="2">
        <v>3808</v>
      </c>
      <c r="I1798" s="2">
        <v>1500</v>
      </c>
    </row>
    <row r="1799" spans="1:9" hidden="1" x14ac:dyDescent="0.3">
      <c r="A1799" t="s">
        <v>28</v>
      </c>
      <c r="B1799" s="1">
        <v>44501</v>
      </c>
      <c r="C1799" s="2">
        <v>2409</v>
      </c>
      <c r="D1799" s="2" t="s">
        <v>3</v>
      </c>
      <c r="E1799" s="2">
        <v>101</v>
      </c>
      <c r="F1799" s="2" t="s">
        <v>3</v>
      </c>
      <c r="G1799" s="2" t="s">
        <v>3</v>
      </c>
      <c r="H1799" s="2">
        <v>2308</v>
      </c>
      <c r="I1799" s="2">
        <v>-858</v>
      </c>
    </row>
    <row r="1800" spans="1:9" hidden="1" x14ac:dyDescent="0.3">
      <c r="A1800" t="s">
        <v>28</v>
      </c>
      <c r="B1800" s="1">
        <v>44470</v>
      </c>
      <c r="C1800" s="2">
        <v>3720</v>
      </c>
      <c r="D1800" s="2" t="s">
        <v>3</v>
      </c>
      <c r="E1800" s="2">
        <v>554</v>
      </c>
      <c r="F1800" s="2" t="s">
        <v>3</v>
      </c>
      <c r="G1800" s="2" t="s">
        <v>3</v>
      </c>
      <c r="H1800" s="2">
        <v>3166</v>
      </c>
      <c r="I1800" s="2">
        <v>-548</v>
      </c>
    </row>
    <row r="1801" spans="1:9" hidden="1" x14ac:dyDescent="0.3">
      <c r="A1801" t="s">
        <v>28</v>
      </c>
      <c r="B1801" s="1">
        <v>44440</v>
      </c>
      <c r="C1801" s="2">
        <v>3918</v>
      </c>
      <c r="D1801" s="2" t="s">
        <v>3</v>
      </c>
      <c r="E1801" s="2">
        <v>204</v>
      </c>
      <c r="F1801" s="2" t="s">
        <v>3</v>
      </c>
      <c r="G1801" s="2" t="s">
        <v>3</v>
      </c>
      <c r="H1801" s="2">
        <v>3714</v>
      </c>
      <c r="I1801" s="2">
        <v>-87</v>
      </c>
    </row>
    <row r="1802" spans="1:9" hidden="1" x14ac:dyDescent="0.3">
      <c r="A1802" t="s">
        <v>28</v>
      </c>
      <c r="B1802" s="1">
        <v>44409</v>
      </c>
      <c r="C1802" s="2">
        <v>4004</v>
      </c>
      <c r="D1802" s="2" t="s">
        <v>3</v>
      </c>
      <c r="E1802" s="2">
        <v>203</v>
      </c>
      <c r="F1802" s="2" t="s">
        <v>3</v>
      </c>
      <c r="G1802" s="2" t="s">
        <v>3</v>
      </c>
      <c r="H1802" s="2">
        <v>3801</v>
      </c>
      <c r="I1802" s="2">
        <v>100</v>
      </c>
    </row>
    <row r="1803" spans="1:9" hidden="1" x14ac:dyDescent="0.3">
      <c r="A1803" t="s">
        <v>28</v>
      </c>
      <c r="B1803" s="1">
        <v>44378</v>
      </c>
      <c r="C1803" s="2">
        <v>4006</v>
      </c>
      <c r="D1803" s="2" t="s">
        <v>3</v>
      </c>
      <c r="E1803" s="2">
        <v>305</v>
      </c>
      <c r="F1803" s="2" t="s">
        <v>3</v>
      </c>
      <c r="G1803" s="2" t="s">
        <v>3</v>
      </c>
      <c r="H1803" s="2">
        <v>3701</v>
      </c>
      <c r="I1803" s="2">
        <v>0</v>
      </c>
    </row>
    <row r="1804" spans="1:9" hidden="1" x14ac:dyDescent="0.3">
      <c r="A1804" t="s">
        <v>28</v>
      </c>
      <c r="B1804" s="1">
        <v>44348</v>
      </c>
      <c r="C1804" s="2">
        <v>4006</v>
      </c>
      <c r="D1804" s="2" t="s">
        <v>3</v>
      </c>
      <c r="E1804" s="2">
        <v>305</v>
      </c>
      <c r="F1804" s="2" t="s">
        <v>3</v>
      </c>
      <c r="G1804" s="2" t="s">
        <v>3</v>
      </c>
      <c r="H1804" s="2">
        <v>3701</v>
      </c>
      <c r="I1804" s="2">
        <v>201</v>
      </c>
    </row>
    <row r="1805" spans="1:9" hidden="1" x14ac:dyDescent="0.3">
      <c r="A1805" t="s">
        <v>28</v>
      </c>
      <c r="B1805" s="1">
        <v>44317</v>
      </c>
      <c r="C1805" s="2">
        <v>3805</v>
      </c>
      <c r="D1805" s="2" t="s">
        <v>3</v>
      </c>
      <c r="E1805" s="2">
        <v>305</v>
      </c>
      <c r="F1805" s="2" t="s">
        <v>3</v>
      </c>
      <c r="G1805" s="2" t="s">
        <v>3</v>
      </c>
      <c r="H1805" s="2">
        <v>3500</v>
      </c>
      <c r="I1805" s="2">
        <v>-151</v>
      </c>
    </row>
    <row r="1806" spans="1:9" hidden="1" x14ac:dyDescent="0.3">
      <c r="A1806" t="s">
        <v>28</v>
      </c>
      <c r="B1806" s="1">
        <v>44287</v>
      </c>
      <c r="C1806" s="2">
        <v>3957</v>
      </c>
      <c r="D1806" s="2" t="s">
        <v>3</v>
      </c>
      <c r="E1806" s="2">
        <v>306</v>
      </c>
      <c r="F1806" s="2" t="s">
        <v>3</v>
      </c>
      <c r="G1806" s="2" t="s">
        <v>3</v>
      </c>
      <c r="H1806" s="2">
        <v>3651</v>
      </c>
      <c r="I1806" s="2">
        <v>763</v>
      </c>
    </row>
    <row r="1807" spans="1:9" hidden="1" x14ac:dyDescent="0.3">
      <c r="A1807" t="s">
        <v>28</v>
      </c>
      <c r="B1807" s="1">
        <v>44256</v>
      </c>
      <c r="C1807" s="2">
        <v>3976</v>
      </c>
      <c r="D1807" s="2" t="s">
        <v>3</v>
      </c>
      <c r="E1807" s="2">
        <v>1088</v>
      </c>
      <c r="F1807" s="2" t="s">
        <v>3</v>
      </c>
      <c r="G1807" s="2" t="s">
        <v>3</v>
      </c>
      <c r="H1807" s="2">
        <v>2888</v>
      </c>
      <c r="I1807" s="2">
        <v>-2562</v>
      </c>
    </row>
    <row r="1808" spans="1:9" hidden="1" x14ac:dyDescent="0.3">
      <c r="A1808" t="s">
        <v>28</v>
      </c>
      <c r="B1808" s="1">
        <v>44228</v>
      </c>
      <c r="C1808" s="2">
        <v>5756</v>
      </c>
      <c r="D1808" s="2" t="s">
        <v>3</v>
      </c>
      <c r="E1808" s="2">
        <v>306</v>
      </c>
      <c r="F1808" s="2" t="s">
        <v>3</v>
      </c>
      <c r="G1808" s="2" t="s">
        <v>3</v>
      </c>
      <c r="H1808" s="2">
        <v>5450</v>
      </c>
      <c r="I1808" s="2">
        <v>2049</v>
      </c>
    </row>
    <row r="1809" spans="1:9" hidden="1" x14ac:dyDescent="0.3">
      <c r="A1809" t="s">
        <v>28</v>
      </c>
      <c r="B1809" s="1">
        <v>44197</v>
      </c>
      <c r="C1809" s="2">
        <v>6145</v>
      </c>
      <c r="D1809" s="2" t="s">
        <v>3</v>
      </c>
      <c r="E1809" s="2">
        <v>2744</v>
      </c>
      <c r="F1809" s="2" t="s">
        <v>3</v>
      </c>
      <c r="G1809" s="2" t="s">
        <v>3</v>
      </c>
      <c r="H1809" s="2">
        <v>3401</v>
      </c>
      <c r="I1809" s="2">
        <v>-1400</v>
      </c>
    </row>
    <row r="1810" spans="1:9" hidden="1" x14ac:dyDescent="0.3">
      <c r="A1810" t="s">
        <v>28</v>
      </c>
      <c r="B1810" s="1">
        <v>44166</v>
      </c>
      <c r="C1810" s="2">
        <v>6011</v>
      </c>
      <c r="D1810" s="2" t="s">
        <v>3</v>
      </c>
      <c r="E1810" s="2">
        <v>1210</v>
      </c>
      <c r="F1810" s="2" t="s">
        <v>3</v>
      </c>
      <c r="G1810" s="2" t="s">
        <v>3</v>
      </c>
      <c r="H1810" s="2">
        <v>4801</v>
      </c>
      <c r="I1810" s="2">
        <v>1401</v>
      </c>
    </row>
    <row r="1811" spans="1:9" hidden="1" x14ac:dyDescent="0.3">
      <c r="A1811" t="s">
        <v>28</v>
      </c>
      <c r="B1811" s="1">
        <v>44136</v>
      </c>
      <c r="C1811" s="2">
        <v>4968</v>
      </c>
      <c r="D1811" s="2" t="s">
        <v>3</v>
      </c>
      <c r="E1811" s="2">
        <v>1568</v>
      </c>
      <c r="F1811" s="2" t="s">
        <v>3</v>
      </c>
      <c r="G1811" s="2" t="s">
        <v>3</v>
      </c>
      <c r="H1811" s="2">
        <v>3400</v>
      </c>
      <c r="I1811" s="2">
        <v>-124</v>
      </c>
    </row>
    <row r="1812" spans="1:9" hidden="1" x14ac:dyDescent="0.3">
      <c r="A1812" t="s">
        <v>28</v>
      </c>
      <c r="B1812" s="1">
        <v>44105</v>
      </c>
      <c r="C1812" s="2">
        <v>6155</v>
      </c>
      <c r="D1812" s="2" t="s">
        <v>3</v>
      </c>
      <c r="E1812" s="2">
        <v>2631</v>
      </c>
      <c r="F1812" s="2" t="s">
        <v>3</v>
      </c>
      <c r="G1812" s="2" t="s">
        <v>3</v>
      </c>
      <c r="H1812" s="2">
        <v>3524</v>
      </c>
      <c r="I1812" s="2">
        <v>974</v>
      </c>
    </row>
    <row r="1813" spans="1:9" hidden="1" x14ac:dyDescent="0.3">
      <c r="A1813" t="s">
        <v>28</v>
      </c>
      <c r="B1813" s="1">
        <v>44075</v>
      </c>
      <c r="C1813" s="2">
        <v>5963</v>
      </c>
      <c r="D1813" s="2" t="s">
        <v>3</v>
      </c>
      <c r="E1813" s="2">
        <v>3413</v>
      </c>
      <c r="F1813" s="2" t="s">
        <v>3</v>
      </c>
      <c r="G1813" s="2" t="s">
        <v>3</v>
      </c>
      <c r="H1813" s="2">
        <v>2550</v>
      </c>
      <c r="I1813" s="2">
        <v>-651</v>
      </c>
    </row>
    <row r="1814" spans="1:9" hidden="1" x14ac:dyDescent="0.3">
      <c r="A1814" t="s">
        <v>28</v>
      </c>
      <c r="B1814" s="1">
        <v>44044</v>
      </c>
      <c r="C1814" s="2">
        <v>5858</v>
      </c>
      <c r="D1814" s="2" t="s">
        <v>3</v>
      </c>
      <c r="E1814" s="2">
        <v>2657</v>
      </c>
      <c r="F1814" s="2" t="s">
        <v>3</v>
      </c>
      <c r="G1814" s="2" t="s">
        <v>3</v>
      </c>
      <c r="H1814" s="2">
        <v>3201</v>
      </c>
      <c r="I1814" s="2">
        <v>500</v>
      </c>
    </row>
    <row r="1815" spans="1:9" hidden="1" x14ac:dyDescent="0.3">
      <c r="A1815" t="s">
        <v>28</v>
      </c>
      <c r="B1815" s="1">
        <v>44013</v>
      </c>
      <c r="C1815" s="2">
        <v>5879</v>
      </c>
      <c r="D1815" s="2" t="s">
        <v>3</v>
      </c>
      <c r="E1815" s="2">
        <v>3178</v>
      </c>
      <c r="F1815" s="2" t="s">
        <v>3</v>
      </c>
      <c r="G1815" s="2" t="s">
        <v>3</v>
      </c>
      <c r="H1815" s="2">
        <v>2701</v>
      </c>
      <c r="I1815" s="2">
        <v>-300</v>
      </c>
    </row>
    <row r="1816" spans="1:9" hidden="1" x14ac:dyDescent="0.3">
      <c r="A1816" t="s">
        <v>28</v>
      </c>
      <c r="B1816" s="1">
        <v>43983</v>
      </c>
      <c r="C1816" s="2">
        <v>5871</v>
      </c>
      <c r="D1816" s="2" t="s">
        <v>3</v>
      </c>
      <c r="E1816" s="2">
        <v>2870</v>
      </c>
      <c r="F1816" s="2" t="s">
        <v>3</v>
      </c>
      <c r="G1816" s="2" t="s">
        <v>3</v>
      </c>
      <c r="H1816" s="2">
        <v>3001</v>
      </c>
      <c r="I1816" s="2">
        <v>1366</v>
      </c>
    </row>
    <row r="1817" spans="1:9" hidden="1" x14ac:dyDescent="0.3">
      <c r="A1817" t="s">
        <v>28</v>
      </c>
      <c r="B1817" s="1">
        <v>43952</v>
      </c>
      <c r="C1817" s="2">
        <v>5394</v>
      </c>
      <c r="D1817" s="2" t="s">
        <v>3</v>
      </c>
      <c r="E1817" s="2">
        <v>3759</v>
      </c>
      <c r="F1817" s="2" t="s">
        <v>3</v>
      </c>
      <c r="G1817" s="2" t="s">
        <v>3</v>
      </c>
      <c r="H1817" s="2">
        <v>1635</v>
      </c>
      <c r="I1817" s="2">
        <v>-1204</v>
      </c>
    </row>
    <row r="1818" spans="1:9" hidden="1" x14ac:dyDescent="0.3">
      <c r="A1818" t="s">
        <v>28</v>
      </c>
      <c r="B1818" s="1">
        <v>43922</v>
      </c>
      <c r="C1818" s="2">
        <v>6853</v>
      </c>
      <c r="D1818" s="2" t="s">
        <v>3</v>
      </c>
      <c r="E1818" s="2">
        <v>4014</v>
      </c>
      <c r="F1818" s="2" t="s">
        <v>3</v>
      </c>
      <c r="G1818" s="2" t="s">
        <v>3</v>
      </c>
      <c r="H1818" s="2">
        <v>2839</v>
      </c>
      <c r="I1818" s="2">
        <v>2366</v>
      </c>
    </row>
    <row r="1819" spans="1:9" hidden="1" x14ac:dyDescent="0.3">
      <c r="A1819" t="s">
        <v>28</v>
      </c>
      <c r="B1819" s="1">
        <v>43891</v>
      </c>
      <c r="C1819" s="2">
        <v>3854</v>
      </c>
      <c r="D1819" s="2" t="s">
        <v>3</v>
      </c>
      <c r="E1819" s="2">
        <v>3381</v>
      </c>
      <c r="F1819" s="2" t="s">
        <v>3</v>
      </c>
      <c r="G1819" s="2" t="s">
        <v>3</v>
      </c>
      <c r="H1819" s="2">
        <v>473</v>
      </c>
      <c r="I1819" s="2">
        <v>-7804</v>
      </c>
    </row>
    <row r="1820" spans="1:9" hidden="1" x14ac:dyDescent="0.3">
      <c r="A1820" t="s">
        <v>28</v>
      </c>
      <c r="B1820" s="1">
        <v>43862</v>
      </c>
      <c r="C1820" s="2">
        <v>12586</v>
      </c>
      <c r="D1820" s="2" t="s">
        <v>3</v>
      </c>
      <c r="E1820" s="2">
        <v>4309</v>
      </c>
      <c r="F1820" s="2" t="s">
        <v>3</v>
      </c>
      <c r="G1820" s="2" t="s">
        <v>3</v>
      </c>
      <c r="H1820" s="2">
        <v>8277</v>
      </c>
      <c r="I1820" s="2">
        <v>1575</v>
      </c>
    </row>
    <row r="1821" spans="1:9" hidden="1" x14ac:dyDescent="0.3">
      <c r="A1821" t="s">
        <v>28</v>
      </c>
      <c r="B1821" s="1">
        <v>43831</v>
      </c>
      <c r="C1821" s="2">
        <v>10510</v>
      </c>
      <c r="D1821" s="2" t="s">
        <v>3</v>
      </c>
      <c r="E1821" s="2">
        <v>3808</v>
      </c>
      <c r="F1821" s="2" t="s">
        <v>3</v>
      </c>
      <c r="G1821" s="2" t="s">
        <v>3</v>
      </c>
      <c r="H1821" s="2">
        <v>6702</v>
      </c>
      <c r="I1821" s="2">
        <v>998</v>
      </c>
    </row>
    <row r="1822" spans="1:9" x14ac:dyDescent="0.3">
      <c r="A1822" t="s">
        <v>29</v>
      </c>
      <c r="B1822" s="1">
        <v>45931</v>
      </c>
      <c r="C1822" s="2" t="s">
        <v>3</v>
      </c>
      <c r="D1822" s="2" t="s">
        <v>3</v>
      </c>
      <c r="E1822" s="2">
        <v>13612</v>
      </c>
      <c r="F1822" s="2">
        <v>2607</v>
      </c>
      <c r="G1822" s="2">
        <v>20</v>
      </c>
      <c r="H1822" s="2" t="s">
        <v>3</v>
      </c>
      <c r="I1822" s="2" t="s">
        <v>3</v>
      </c>
    </row>
    <row r="1823" spans="1:9" x14ac:dyDescent="0.3">
      <c r="A1823" t="s">
        <v>29</v>
      </c>
      <c r="B1823" s="1">
        <v>45901</v>
      </c>
      <c r="C1823" s="2" t="s">
        <v>3</v>
      </c>
      <c r="D1823" s="2" t="s">
        <v>3</v>
      </c>
      <c r="E1823" s="2">
        <v>11261</v>
      </c>
      <c r="F1823" s="2">
        <v>-254</v>
      </c>
      <c r="G1823" s="2">
        <v>153</v>
      </c>
      <c r="H1823" s="2" t="s">
        <v>3</v>
      </c>
      <c r="I1823" s="2" t="s">
        <v>3</v>
      </c>
    </row>
    <row r="1824" spans="1:9" x14ac:dyDescent="0.3">
      <c r="A1824" t="s">
        <v>29</v>
      </c>
      <c r="B1824" s="1">
        <v>45870</v>
      </c>
      <c r="C1824" s="2" t="s">
        <v>3</v>
      </c>
      <c r="D1824" s="2" t="s">
        <v>3</v>
      </c>
      <c r="E1824" s="2">
        <v>13467</v>
      </c>
      <c r="F1824" s="2">
        <v>255</v>
      </c>
      <c r="G1824" s="2">
        <v>374</v>
      </c>
      <c r="H1824" s="2" t="s">
        <v>3</v>
      </c>
      <c r="I1824" s="2" t="s">
        <v>3</v>
      </c>
    </row>
    <row r="1825" spans="1:9" x14ac:dyDescent="0.3">
      <c r="A1825" t="s">
        <v>29</v>
      </c>
      <c r="B1825" s="1">
        <v>45839</v>
      </c>
      <c r="C1825" s="2" t="s">
        <v>3</v>
      </c>
      <c r="D1825" s="2" t="s">
        <v>3</v>
      </c>
      <c r="E1825" s="2">
        <v>12715</v>
      </c>
      <c r="F1825" s="2">
        <v>-1</v>
      </c>
      <c r="G1825" s="2">
        <v>-285</v>
      </c>
      <c r="H1825" s="2" t="s">
        <v>3</v>
      </c>
      <c r="I1825" s="2" t="s">
        <v>3</v>
      </c>
    </row>
    <row r="1826" spans="1:9" x14ac:dyDescent="0.3">
      <c r="A1826" t="s">
        <v>29</v>
      </c>
      <c r="B1826" s="1">
        <v>45809</v>
      </c>
      <c r="C1826" s="2" t="s">
        <v>3</v>
      </c>
      <c r="D1826" s="2" t="s">
        <v>3</v>
      </c>
      <c r="E1826" s="2">
        <v>12952</v>
      </c>
      <c r="F1826" s="2">
        <v>440</v>
      </c>
      <c r="G1826" s="2">
        <v>-60</v>
      </c>
      <c r="H1826" s="2" t="s">
        <v>3</v>
      </c>
      <c r="I1826" s="2" t="s">
        <v>3</v>
      </c>
    </row>
    <row r="1827" spans="1:9" x14ac:dyDescent="0.3">
      <c r="A1827" t="s">
        <v>29</v>
      </c>
      <c r="B1827" s="1">
        <v>45778</v>
      </c>
      <c r="C1827" s="2" t="s">
        <v>3</v>
      </c>
      <c r="D1827" s="2" t="s">
        <v>3</v>
      </c>
      <c r="E1827" s="2">
        <v>15455</v>
      </c>
      <c r="F1827" s="2">
        <v>3827</v>
      </c>
      <c r="G1827" s="2">
        <v>223</v>
      </c>
      <c r="H1827" s="2" t="s">
        <v>3</v>
      </c>
      <c r="I1827" s="2" t="s">
        <v>3</v>
      </c>
    </row>
    <row r="1828" spans="1:9" x14ac:dyDescent="0.3">
      <c r="A1828" t="s">
        <v>29</v>
      </c>
      <c r="B1828" s="1">
        <v>45748</v>
      </c>
      <c r="C1828" s="2" t="s">
        <v>3</v>
      </c>
      <c r="D1828" s="2" t="s">
        <v>3</v>
      </c>
      <c r="E1828" s="2">
        <v>11643</v>
      </c>
      <c r="F1828" s="2">
        <v>295</v>
      </c>
      <c r="G1828" s="2">
        <v>131</v>
      </c>
      <c r="H1828" s="2" t="s">
        <v>3</v>
      </c>
      <c r="I1828" s="2" t="s">
        <v>3</v>
      </c>
    </row>
    <row r="1829" spans="1:9" x14ac:dyDescent="0.3">
      <c r="A1829" t="s">
        <v>29</v>
      </c>
      <c r="B1829" s="1">
        <v>45717</v>
      </c>
      <c r="C1829" s="2" t="s">
        <v>3</v>
      </c>
      <c r="D1829" s="2" t="s">
        <v>3</v>
      </c>
      <c r="E1829" s="2">
        <v>14499</v>
      </c>
      <c r="F1829" s="2">
        <v>2564</v>
      </c>
      <c r="G1829" s="2">
        <v>19</v>
      </c>
      <c r="H1829" s="2" t="s">
        <v>3</v>
      </c>
      <c r="I1829" s="2" t="s">
        <v>3</v>
      </c>
    </row>
    <row r="1830" spans="1:9" x14ac:dyDescent="0.3">
      <c r="A1830" t="s">
        <v>29</v>
      </c>
      <c r="B1830" s="1">
        <v>45689</v>
      </c>
      <c r="C1830" s="2" t="s">
        <v>3</v>
      </c>
      <c r="D1830" s="2" t="s">
        <v>3</v>
      </c>
      <c r="E1830" s="2">
        <v>14597</v>
      </c>
      <c r="F1830" s="2">
        <v>1081</v>
      </c>
      <c r="G1830" s="2">
        <v>-844</v>
      </c>
      <c r="H1830" s="2" t="s">
        <v>3</v>
      </c>
      <c r="I1830" s="2" t="s">
        <v>3</v>
      </c>
    </row>
    <row r="1831" spans="1:9" x14ac:dyDescent="0.3">
      <c r="A1831" t="s">
        <v>29</v>
      </c>
      <c r="B1831" s="1">
        <v>45658</v>
      </c>
      <c r="C1831" s="2" t="s">
        <v>3</v>
      </c>
      <c r="D1831" s="2" t="s">
        <v>3</v>
      </c>
      <c r="E1831" s="2">
        <v>15661</v>
      </c>
      <c r="F1831" s="2">
        <v>-631</v>
      </c>
      <c r="G1831" s="2">
        <v>13</v>
      </c>
      <c r="H1831" s="2" t="s">
        <v>3</v>
      </c>
      <c r="I1831" s="2" t="s">
        <v>3</v>
      </c>
    </row>
    <row r="1832" spans="1:9" x14ac:dyDescent="0.3">
      <c r="A1832" t="s">
        <v>29</v>
      </c>
      <c r="B1832" s="1">
        <v>45627</v>
      </c>
      <c r="C1832" s="2" t="s">
        <v>3</v>
      </c>
      <c r="D1832" s="2" t="s">
        <v>3</v>
      </c>
      <c r="E1832" s="2">
        <v>16978</v>
      </c>
      <c r="F1832" s="2">
        <v>1355</v>
      </c>
      <c r="G1832" s="2">
        <v>85</v>
      </c>
      <c r="H1832" s="2" t="s">
        <v>3</v>
      </c>
      <c r="I1832" s="2" t="s">
        <v>3</v>
      </c>
    </row>
    <row r="1833" spans="1:9" x14ac:dyDescent="0.3">
      <c r="A1833" t="s">
        <v>29</v>
      </c>
      <c r="B1833" s="1">
        <v>45597</v>
      </c>
      <c r="C1833" s="2" t="s">
        <v>3</v>
      </c>
      <c r="D1833" s="2" t="s">
        <v>3</v>
      </c>
      <c r="E1833" s="2">
        <v>15991</v>
      </c>
      <c r="F1833" s="2">
        <v>-454</v>
      </c>
      <c r="G1833" s="2">
        <v>315</v>
      </c>
      <c r="H1833" s="2" t="s">
        <v>3</v>
      </c>
      <c r="I1833" s="2" t="s">
        <v>3</v>
      </c>
    </row>
    <row r="1834" spans="1:9" x14ac:dyDescent="0.3">
      <c r="A1834" t="s">
        <v>29</v>
      </c>
      <c r="B1834" s="1">
        <v>45566</v>
      </c>
      <c r="C1834" s="2" t="s">
        <v>3</v>
      </c>
      <c r="D1834" s="2" t="s">
        <v>3</v>
      </c>
      <c r="E1834" s="2">
        <v>16360</v>
      </c>
      <c r="F1834" s="2">
        <v>847</v>
      </c>
      <c r="G1834" s="2">
        <v>273</v>
      </c>
      <c r="H1834" s="2" t="s">
        <v>3</v>
      </c>
      <c r="I1834" s="2" t="s">
        <v>3</v>
      </c>
    </row>
    <row r="1835" spans="1:9" x14ac:dyDescent="0.3">
      <c r="A1835" t="s">
        <v>29</v>
      </c>
      <c r="B1835" s="1">
        <v>45536</v>
      </c>
      <c r="C1835" s="2" t="s">
        <v>3</v>
      </c>
      <c r="D1835" s="2" t="s">
        <v>3</v>
      </c>
      <c r="E1835" s="2">
        <v>16543</v>
      </c>
      <c r="F1835" s="2">
        <v>-74</v>
      </c>
      <c r="G1835" s="2">
        <v>74</v>
      </c>
      <c r="H1835" s="2" t="s">
        <v>3</v>
      </c>
      <c r="I1835" s="2" t="s">
        <v>3</v>
      </c>
    </row>
    <row r="1836" spans="1:9" x14ac:dyDescent="0.3">
      <c r="A1836" t="s">
        <v>29</v>
      </c>
      <c r="B1836" s="1">
        <v>45505</v>
      </c>
      <c r="C1836" s="2" t="s">
        <v>3</v>
      </c>
      <c r="D1836" s="2" t="s">
        <v>3</v>
      </c>
      <c r="E1836" s="2">
        <v>17847</v>
      </c>
      <c r="F1836" s="2">
        <v>4581</v>
      </c>
      <c r="G1836" s="2">
        <v>556</v>
      </c>
      <c r="H1836" s="2" t="s">
        <v>3</v>
      </c>
      <c r="I1836" s="2" t="s">
        <v>3</v>
      </c>
    </row>
    <row r="1837" spans="1:9" x14ac:dyDescent="0.3">
      <c r="A1837" t="s">
        <v>29</v>
      </c>
      <c r="B1837" s="1">
        <v>45474</v>
      </c>
      <c r="C1837" s="2" t="s">
        <v>3</v>
      </c>
      <c r="D1837" s="2" t="s">
        <v>3</v>
      </c>
      <c r="E1837" s="2">
        <v>14605</v>
      </c>
      <c r="F1837" s="2">
        <v>711</v>
      </c>
      <c r="G1837" s="2">
        <v>-289</v>
      </c>
      <c r="H1837" s="2" t="s">
        <v>3</v>
      </c>
      <c r="I1837" s="2" t="s">
        <v>3</v>
      </c>
    </row>
    <row r="1838" spans="1:9" x14ac:dyDescent="0.3">
      <c r="A1838" t="s">
        <v>29</v>
      </c>
      <c r="B1838" s="1">
        <v>45444</v>
      </c>
      <c r="C1838" s="2" t="s">
        <v>3</v>
      </c>
      <c r="D1838" s="2" t="s">
        <v>3</v>
      </c>
      <c r="E1838" s="2">
        <v>15413</v>
      </c>
      <c r="F1838" s="2">
        <v>1617</v>
      </c>
      <c r="G1838" s="2">
        <v>147</v>
      </c>
      <c r="H1838" s="2" t="s">
        <v>3</v>
      </c>
      <c r="I1838" s="2" t="s">
        <v>3</v>
      </c>
    </row>
    <row r="1839" spans="1:9" x14ac:dyDescent="0.3">
      <c r="A1839" t="s">
        <v>29</v>
      </c>
      <c r="B1839" s="1">
        <v>45413</v>
      </c>
      <c r="C1839" s="2" t="s">
        <v>3</v>
      </c>
      <c r="D1839" s="2" t="s">
        <v>3</v>
      </c>
      <c r="E1839" s="2">
        <v>13754</v>
      </c>
      <c r="F1839" s="2">
        <v>399</v>
      </c>
      <c r="G1839" s="2">
        <v>51</v>
      </c>
      <c r="H1839" s="2" t="s">
        <v>3</v>
      </c>
      <c r="I1839" s="2" t="s">
        <v>3</v>
      </c>
    </row>
    <row r="1840" spans="1:9" x14ac:dyDescent="0.3">
      <c r="A1840" t="s">
        <v>29</v>
      </c>
      <c r="B1840" s="1">
        <v>45383</v>
      </c>
      <c r="C1840" s="2" t="s">
        <v>3</v>
      </c>
      <c r="D1840" s="2" t="s">
        <v>3</v>
      </c>
      <c r="E1840" s="2">
        <v>15074</v>
      </c>
      <c r="F1840" s="2">
        <v>334</v>
      </c>
      <c r="G1840" s="2">
        <v>-843</v>
      </c>
      <c r="H1840" s="2" t="s">
        <v>3</v>
      </c>
      <c r="I1840" s="2" t="s">
        <v>3</v>
      </c>
    </row>
    <row r="1841" spans="1:9" x14ac:dyDescent="0.3">
      <c r="A1841" t="s">
        <v>29</v>
      </c>
      <c r="B1841" s="1">
        <v>45352</v>
      </c>
      <c r="C1841" s="2" t="s">
        <v>3</v>
      </c>
      <c r="D1841" s="2" t="s">
        <v>3</v>
      </c>
      <c r="E1841" s="2">
        <v>15894</v>
      </c>
      <c r="F1841" s="2">
        <v>2211</v>
      </c>
      <c r="G1841" s="2">
        <v>465</v>
      </c>
      <c r="H1841" s="2" t="s">
        <v>3</v>
      </c>
      <c r="I1841" s="2" t="s">
        <v>3</v>
      </c>
    </row>
    <row r="1842" spans="1:9" x14ac:dyDescent="0.3">
      <c r="A1842" t="s">
        <v>29</v>
      </c>
      <c r="B1842" s="1">
        <v>45323</v>
      </c>
      <c r="C1842" s="2" t="s">
        <v>3</v>
      </c>
      <c r="D1842" s="2" t="s">
        <v>3</v>
      </c>
      <c r="E1842" s="2">
        <v>13649</v>
      </c>
      <c r="F1842" s="2">
        <v>-182</v>
      </c>
      <c r="G1842" s="2">
        <v>-533</v>
      </c>
      <c r="H1842" s="2" t="s">
        <v>3</v>
      </c>
      <c r="I1842" s="2" t="s">
        <v>3</v>
      </c>
    </row>
    <row r="1843" spans="1:9" x14ac:dyDescent="0.3">
      <c r="A1843" t="s">
        <v>29</v>
      </c>
      <c r="B1843" s="1">
        <v>45292</v>
      </c>
      <c r="C1843" s="2" t="s">
        <v>3</v>
      </c>
      <c r="D1843" s="2" t="s">
        <v>3</v>
      </c>
      <c r="E1843" s="2">
        <v>13816</v>
      </c>
      <c r="F1843" s="2">
        <v>-1120</v>
      </c>
      <c r="G1843" s="2">
        <v>-352</v>
      </c>
      <c r="H1843" s="2" t="s">
        <v>3</v>
      </c>
      <c r="I1843" s="2" t="s">
        <v>3</v>
      </c>
    </row>
    <row r="1844" spans="1:9" x14ac:dyDescent="0.3">
      <c r="A1844" t="s">
        <v>29</v>
      </c>
      <c r="B1844" s="1">
        <v>45261</v>
      </c>
      <c r="C1844" s="2" t="s">
        <v>3</v>
      </c>
      <c r="D1844" s="2" t="s">
        <v>3</v>
      </c>
      <c r="E1844" s="2">
        <v>14897</v>
      </c>
      <c r="F1844" s="2">
        <v>-322</v>
      </c>
      <c r="G1844" s="2">
        <v>-1281</v>
      </c>
      <c r="H1844" s="2" t="s">
        <v>3</v>
      </c>
      <c r="I1844" s="2" t="s">
        <v>3</v>
      </c>
    </row>
    <row r="1845" spans="1:9" x14ac:dyDescent="0.3">
      <c r="A1845" t="s">
        <v>29</v>
      </c>
      <c r="B1845" s="1">
        <v>45231</v>
      </c>
      <c r="C1845" s="2" t="s">
        <v>3</v>
      </c>
      <c r="D1845" s="2" t="s">
        <v>3</v>
      </c>
      <c r="E1845" s="2">
        <v>15600</v>
      </c>
      <c r="F1845" s="2">
        <v>2083</v>
      </c>
      <c r="G1845" s="2">
        <v>615</v>
      </c>
      <c r="H1845" s="2" t="s">
        <v>3</v>
      </c>
      <c r="I1845" s="2" t="s">
        <v>3</v>
      </c>
    </row>
    <row r="1846" spans="1:9" x14ac:dyDescent="0.3">
      <c r="A1846" t="s">
        <v>29</v>
      </c>
      <c r="B1846" s="1">
        <v>45200</v>
      </c>
      <c r="C1846" s="2" t="s">
        <v>3</v>
      </c>
      <c r="D1846" s="2" t="s">
        <v>3</v>
      </c>
      <c r="E1846" s="2">
        <v>20807</v>
      </c>
      <c r="F1846" s="2">
        <v>-872</v>
      </c>
      <c r="G1846" s="2">
        <v>2138</v>
      </c>
      <c r="H1846" s="2" t="s">
        <v>3</v>
      </c>
      <c r="I1846" s="2" t="s">
        <v>3</v>
      </c>
    </row>
    <row r="1847" spans="1:9" x14ac:dyDescent="0.3">
      <c r="A1847" t="s">
        <v>29</v>
      </c>
      <c r="B1847" s="1">
        <v>45170</v>
      </c>
      <c r="C1847" s="2" t="s">
        <v>3</v>
      </c>
      <c r="D1847" s="2" t="s">
        <v>3</v>
      </c>
      <c r="E1847" s="2">
        <v>21587</v>
      </c>
      <c r="F1847" s="2">
        <v>2007</v>
      </c>
      <c r="G1847" s="2">
        <v>-1559</v>
      </c>
      <c r="H1847" s="2" t="s">
        <v>3</v>
      </c>
      <c r="I1847" s="2" t="s">
        <v>3</v>
      </c>
    </row>
    <row r="1848" spans="1:9" x14ac:dyDescent="0.3">
      <c r="A1848" t="s">
        <v>29</v>
      </c>
      <c r="B1848" s="1">
        <v>45139</v>
      </c>
      <c r="C1848" s="2" t="s">
        <v>3</v>
      </c>
      <c r="D1848" s="2" t="s">
        <v>3</v>
      </c>
      <c r="E1848" s="2">
        <v>19502</v>
      </c>
      <c r="F1848" s="2">
        <v>1137</v>
      </c>
      <c r="G1848" s="2">
        <v>897</v>
      </c>
      <c r="H1848" s="2" t="s">
        <v>3</v>
      </c>
      <c r="I1848" s="2" t="s">
        <v>3</v>
      </c>
    </row>
    <row r="1849" spans="1:9" x14ac:dyDescent="0.3">
      <c r="A1849" t="s">
        <v>29</v>
      </c>
      <c r="B1849" s="1">
        <v>45108</v>
      </c>
      <c r="C1849" s="2" t="s">
        <v>3</v>
      </c>
      <c r="D1849" s="2" t="s">
        <v>3</v>
      </c>
      <c r="E1849" s="2">
        <v>18275</v>
      </c>
      <c r="F1849" s="2">
        <v>-730</v>
      </c>
      <c r="G1849" s="2">
        <v>1569</v>
      </c>
      <c r="H1849" s="2" t="s">
        <v>3</v>
      </c>
      <c r="I1849" s="2" t="s">
        <v>3</v>
      </c>
    </row>
    <row r="1850" spans="1:9" x14ac:dyDescent="0.3">
      <c r="A1850" t="s">
        <v>29</v>
      </c>
      <c r="B1850" s="1">
        <v>45078</v>
      </c>
      <c r="C1850" s="2" t="s">
        <v>3</v>
      </c>
      <c r="D1850" s="2" t="s">
        <v>3</v>
      </c>
      <c r="E1850" s="2">
        <v>18934</v>
      </c>
      <c r="F1850" s="2">
        <v>1429</v>
      </c>
      <c r="G1850" s="2">
        <v>509</v>
      </c>
      <c r="H1850" s="2" t="s">
        <v>3</v>
      </c>
      <c r="I1850" s="2" t="s">
        <v>3</v>
      </c>
    </row>
    <row r="1851" spans="1:9" x14ac:dyDescent="0.3">
      <c r="A1851" t="s">
        <v>29</v>
      </c>
      <c r="B1851" s="1">
        <v>45047</v>
      </c>
      <c r="C1851" s="2" t="s">
        <v>3</v>
      </c>
      <c r="D1851" s="2" t="s">
        <v>3</v>
      </c>
      <c r="E1851" s="2">
        <v>17464</v>
      </c>
      <c r="F1851" s="2">
        <v>-101</v>
      </c>
      <c r="G1851" s="2">
        <v>34</v>
      </c>
      <c r="H1851" s="2" t="s">
        <v>3</v>
      </c>
      <c r="I1851" s="2" t="s">
        <v>3</v>
      </c>
    </row>
    <row r="1852" spans="1:9" x14ac:dyDescent="0.3">
      <c r="A1852" t="s">
        <v>29</v>
      </c>
      <c r="B1852" s="1">
        <v>45017</v>
      </c>
      <c r="C1852" s="2" t="s">
        <v>3</v>
      </c>
      <c r="D1852" s="2" t="s">
        <v>3</v>
      </c>
      <c r="E1852" s="2">
        <v>17558</v>
      </c>
      <c r="F1852" s="2">
        <v>3266</v>
      </c>
      <c r="G1852" s="2">
        <v>73</v>
      </c>
      <c r="H1852" s="2" t="s">
        <v>3</v>
      </c>
      <c r="I1852" s="2" t="s">
        <v>3</v>
      </c>
    </row>
    <row r="1853" spans="1:9" x14ac:dyDescent="0.3">
      <c r="A1853" t="s">
        <v>29</v>
      </c>
      <c r="B1853" s="1">
        <v>44986</v>
      </c>
      <c r="C1853" s="2" t="s">
        <v>3</v>
      </c>
      <c r="D1853" s="2" t="s">
        <v>3</v>
      </c>
      <c r="E1853" s="2">
        <v>14262</v>
      </c>
      <c r="F1853" s="2">
        <v>-1480</v>
      </c>
      <c r="G1853" s="2">
        <v>-50</v>
      </c>
      <c r="H1853" s="2" t="s">
        <v>3</v>
      </c>
      <c r="I1853" s="2" t="s">
        <v>3</v>
      </c>
    </row>
    <row r="1854" spans="1:9" x14ac:dyDescent="0.3">
      <c r="A1854" t="s">
        <v>29</v>
      </c>
      <c r="B1854" s="1">
        <v>44958</v>
      </c>
      <c r="C1854" s="2" t="s">
        <v>3</v>
      </c>
      <c r="D1854" s="2" t="s">
        <v>3</v>
      </c>
      <c r="E1854" s="2">
        <v>15664</v>
      </c>
      <c r="F1854" s="2">
        <v>876</v>
      </c>
      <c r="G1854" s="2">
        <v>173</v>
      </c>
      <c r="H1854" s="2" t="s">
        <v>3</v>
      </c>
      <c r="I1854" s="2" t="s">
        <v>3</v>
      </c>
    </row>
    <row r="1855" spans="1:9" hidden="1" x14ac:dyDescent="0.3">
      <c r="A1855" t="s">
        <v>29</v>
      </c>
      <c r="B1855" s="1">
        <v>44927</v>
      </c>
      <c r="C1855" s="2" t="s">
        <v>3</v>
      </c>
      <c r="D1855" s="2" t="s">
        <v>3</v>
      </c>
      <c r="E1855" s="2">
        <v>14727</v>
      </c>
      <c r="F1855" s="2" t="s">
        <v>3</v>
      </c>
      <c r="G1855" s="2" t="s">
        <v>3</v>
      </c>
      <c r="H1855" s="2" t="s">
        <v>3</v>
      </c>
      <c r="I1855" s="2" t="s">
        <v>3</v>
      </c>
    </row>
    <row r="1856" spans="1:9" hidden="1" x14ac:dyDescent="0.3">
      <c r="A1856" t="s">
        <v>29</v>
      </c>
      <c r="B1856" s="1">
        <v>44896</v>
      </c>
      <c r="C1856" s="2" t="s">
        <v>3</v>
      </c>
      <c r="D1856" s="2" t="s">
        <v>3</v>
      </c>
      <c r="E1856" s="2">
        <v>15955</v>
      </c>
      <c r="F1856" s="2" t="s">
        <v>3</v>
      </c>
      <c r="G1856" s="2" t="s">
        <v>3</v>
      </c>
      <c r="H1856" s="2" t="s">
        <v>3</v>
      </c>
      <c r="I1856" s="2" t="s">
        <v>3</v>
      </c>
    </row>
    <row r="1857" spans="1:9" hidden="1" x14ac:dyDescent="0.3">
      <c r="A1857" t="s">
        <v>29</v>
      </c>
      <c r="B1857" s="1">
        <v>44866</v>
      </c>
      <c r="C1857" s="2" t="s">
        <v>3</v>
      </c>
      <c r="D1857" s="2" t="s">
        <v>3</v>
      </c>
      <c r="E1857" s="2">
        <v>14130</v>
      </c>
      <c r="F1857" s="2" t="s">
        <v>3</v>
      </c>
      <c r="G1857" s="2" t="s">
        <v>3</v>
      </c>
      <c r="H1857" s="2" t="s">
        <v>3</v>
      </c>
      <c r="I1857" s="2" t="s">
        <v>3</v>
      </c>
    </row>
    <row r="1858" spans="1:9" hidden="1" x14ac:dyDescent="0.3">
      <c r="A1858" t="s">
        <v>29</v>
      </c>
      <c r="B1858" s="1">
        <v>44835</v>
      </c>
      <c r="C1858" s="2" t="s">
        <v>3</v>
      </c>
      <c r="D1858" s="2" t="s">
        <v>3</v>
      </c>
      <c r="E1858" s="2">
        <v>10654</v>
      </c>
      <c r="F1858" s="2" t="s">
        <v>3</v>
      </c>
      <c r="G1858" s="2" t="s">
        <v>3</v>
      </c>
      <c r="H1858" s="2" t="s">
        <v>3</v>
      </c>
      <c r="I1858" s="2" t="s">
        <v>3</v>
      </c>
    </row>
    <row r="1859" spans="1:9" hidden="1" x14ac:dyDescent="0.3">
      <c r="A1859" t="s">
        <v>29</v>
      </c>
      <c r="B1859" s="1">
        <v>44805</v>
      </c>
      <c r="C1859" s="2" t="s">
        <v>3</v>
      </c>
      <c r="D1859" s="2" t="s">
        <v>3</v>
      </c>
      <c r="E1859" s="2">
        <v>11294</v>
      </c>
      <c r="F1859" s="2" t="s">
        <v>3</v>
      </c>
      <c r="G1859" s="2" t="s">
        <v>3</v>
      </c>
      <c r="H1859" s="2" t="s">
        <v>3</v>
      </c>
      <c r="I1859" s="2" t="s">
        <v>3</v>
      </c>
    </row>
    <row r="1860" spans="1:9" hidden="1" x14ac:dyDescent="0.3">
      <c r="A1860" t="s">
        <v>29</v>
      </c>
      <c r="B1860" s="1">
        <v>44774</v>
      </c>
      <c r="C1860" s="2" t="s">
        <v>3</v>
      </c>
      <c r="D1860" s="2" t="s">
        <v>3</v>
      </c>
      <c r="E1860" s="2">
        <v>8922</v>
      </c>
      <c r="F1860" s="2" t="s">
        <v>3</v>
      </c>
      <c r="G1860" s="2" t="s">
        <v>3</v>
      </c>
      <c r="H1860" s="2" t="s">
        <v>3</v>
      </c>
      <c r="I1860" s="2" t="s">
        <v>3</v>
      </c>
    </row>
    <row r="1861" spans="1:9" hidden="1" x14ac:dyDescent="0.3">
      <c r="A1861" t="s">
        <v>29</v>
      </c>
      <c r="B1861" s="1">
        <v>44743</v>
      </c>
      <c r="C1861" s="2" t="s">
        <v>3</v>
      </c>
      <c r="D1861" s="2" t="s">
        <v>3</v>
      </c>
      <c r="E1861" s="2">
        <v>7597</v>
      </c>
      <c r="F1861" s="2" t="s">
        <v>3</v>
      </c>
      <c r="G1861" s="2" t="s">
        <v>3</v>
      </c>
      <c r="H1861" s="2" t="s">
        <v>3</v>
      </c>
      <c r="I1861" s="2" t="s">
        <v>3</v>
      </c>
    </row>
    <row r="1862" spans="1:9" hidden="1" x14ac:dyDescent="0.3">
      <c r="A1862" t="s">
        <v>29</v>
      </c>
      <c r="B1862" s="1">
        <v>44713</v>
      </c>
      <c r="C1862" s="2" t="s">
        <v>3</v>
      </c>
      <c r="D1862" s="2" t="s">
        <v>3</v>
      </c>
      <c r="E1862" s="2">
        <v>7887</v>
      </c>
      <c r="F1862" s="2" t="s">
        <v>3</v>
      </c>
      <c r="G1862" s="2" t="s">
        <v>3</v>
      </c>
      <c r="H1862" s="2" t="s">
        <v>3</v>
      </c>
      <c r="I1862" s="2" t="s">
        <v>3</v>
      </c>
    </row>
    <row r="1863" spans="1:9" hidden="1" x14ac:dyDescent="0.3">
      <c r="A1863" t="s">
        <v>29</v>
      </c>
      <c r="B1863" s="1">
        <v>44682</v>
      </c>
      <c r="C1863" s="2" t="s">
        <v>3</v>
      </c>
      <c r="D1863" s="2" t="s">
        <v>3</v>
      </c>
      <c r="E1863" s="2">
        <v>10579</v>
      </c>
      <c r="F1863" s="2" t="s">
        <v>3</v>
      </c>
      <c r="G1863" s="2" t="s">
        <v>3</v>
      </c>
      <c r="H1863" s="2" t="s">
        <v>3</v>
      </c>
      <c r="I1863" s="2" t="s">
        <v>3</v>
      </c>
    </row>
    <row r="1864" spans="1:9" hidden="1" x14ac:dyDescent="0.3">
      <c r="A1864" t="s">
        <v>29</v>
      </c>
      <c r="B1864" s="1">
        <v>44652</v>
      </c>
      <c r="C1864" s="2" t="s">
        <v>3</v>
      </c>
      <c r="D1864" s="2" t="s">
        <v>3</v>
      </c>
      <c r="E1864" s="2">
        <v>12168</v>
      </c>
      <c r="F1864" s="2" t="s">
        <v>3</v>
      </c>
      <c r="G1864" s="2" t="s">
        <v>3</v>
      </c>
      <c r="H1864" s="2" t="s">
        <v>3</v>
      </c>
      <c r="I1864" s="2" t="s">
        <v>3</v>
      </c>
    </row>
    <row r="1865" spans="1:9" hidden="1" x14ac:dyDescent="0.3">
      <c r="A1865" t="s">
        <v>29</v>
      </c>
      <c r="B1865" s="1">
        <v>44621</v>
      </c>
      <c r="C1865" s="2" t="s">
        <v>3</v>
      </c>
      <c r="D1865" s="2" t="s">
        <v>3</v>
      </c>
      <c r="E1865" s="2">
        <v>12421</v>
      </c>
      <c r="F1865" s="2" t="s">
        <v>3</v>
      </c>
      <c r="G1865" s="2" t="s">
        <v>3</v>
      </c>
      <c r="H1865" s="2" t="s">
        <v>3</v>
      </c>
      <c r="I1865" s="2" t="s">
        <v>3</v>
      </c>
    </row>
    <row r="1866" spans="1:9" hidden="1" x14ac:dyDescent="0.3">
      <c r="A1866" t="s">
        <v>29</v>
      </c>
      <c r="B1866" s="1">
        <v>44593</v>
      </c>
      <c r="C1866" s="2" t="s">
        <v>3</v>
      </c>
      <c r="D1866" s="2" t="s">
        <v>3</v>
      </c>
      <c r="E1866" s="2">
        <v>13702</v>
      </c>
      <c r="F1866" s="2" t="s">
        <v>3</v>
      </c>
      <c r="G1866" s="2" t="s">
        <v>3</v>
      </c>
      <c r="H1866" s="2" t="s">
        <v>3</v>
      </c>
      <c r="I1866" s="2" t="s">
        <v>3</v>
      </c>
    </row>
    <row r="1867" spans="1:9" hidden="1" x14ac:dyDescent="0.3">
      <c r="A1867" t="s">
        <v>29</v>
      </c>
      <c r="B1867" s="1">
        <v>44562</v>
      </c>
      <c r="C1867" s="2" t="s">
        <v>3</v>
      </c>
      <c r="D1867" s="2" t="s">
        <v>3</v>
      </c>
      <c r="E1867" s="2">
        <v>15078</v>
      </c>
      <c r="F1867" s="2" t="s">
        <v>3</v>
      </c>
      <c r="G1867" s="2" t="s">
        <v>3</v>
      </c>
      <c r="H1867" s="2" t="s">
        <v>3</v>
      </c>
      <c r="I1867" s="2" t="s">
        <v>3</v>
      </c>
    </row>
    <row r="1868" spans="1:9" hidden="1" x14ac:dyDescent="0.3">
      <c r="A1868" t="s">
        <v>29</v>
      </c>
      <c r="B1868" s="1">
        <v>44531</v>
      </c>
      <c r="C1868" s="2" t="s">
        <v>3</v>
      </c>
      <c r="D1868" s="2" t="s">
        <v>3</v>
      </c>
      <c r="E1868" s="2">
        <v>15750</v>
      </c>
      <c r="F1868" s="2" t="s">
        <v>3</v>
      </c>
      <c r="G1868" s="2" t="s">
        <v>3</v>
      </c>
      <c r="H1868" s="2" t="s">
        <v>3</v>
      </c>
      <c r="I1868" s="2" t="s">
        <v>3</v>
      </c>
    </row>
    <row r="1869" spans="1:9" hidden="1" x14ac:dyDescent="0.3">
      <c r="A1869" t="s">
        <v>29</v>
      </c>
      <c r="B1869" s="1">
        <v>44501</v>
      </c>
      <c r="C1869" s="2" t="s">
        <v>3</v>
      </c>
      <c r="D1869" s="2" t="s">
        <v>3</v>
      </c>
      <c r="E1869" s="2">
        <v>14786</v>
      </c>
      <c r="F1869" s="2" t="s">
        <v>3</v>
      </c>
      <c r="G1869" s="2" t="s">
        <v>3</v>
      </c>
      <c r="H1869" s="2" t="s">
        <v>3</v>
      </c>
      <c r="I1869" s="2" t="s">
        <v>3</v>
      </c>
    </row>
    <row r="1870" spans="1:9" hidden="1" x14ac:dyDescent="0.3">
      <c r="A1870" t="s">
        <v>29</v>
      </c>
      <c r="B1870" s="1">
        <v>44470</v>
      </c>
      <c r="C1870" s="2" t="s">
        <v>3</v>
      </c>
      <c r="D1870" s="2" t="s">
        <v>3</v>
      </c>
      <c r="E1870" s="2">
        <v>13955</v>
      </c>
      <c r="F1870" s="2" t="s">
        <v>3</v>
      </c>
      <c r="G1870" s="2" t="s">
        <v>3</v>
      </c>
      <c r="H1870" s="2" t="s">
        <v>3</v>
      </c>
      <c r="I1870" s="2" t="s">
        <v>3</v>
      </c>
    </row>
    <row r="1871" spans="1:9" hidden="1" x14ac:dyDescent="0.3">
      <c r="A1871" t="s">
        <v>29</v>
      </c>
      <c r="B1871" s="1">
        <v>44440</v>
      </c>
      <c r="C1871" s="2" t="s">
        <v>3</v>
      </c>
      <c r="D1871" s="2" t="s">
        <v>3</v>
      </c>
      <c r="E1871" s="2">
        <v>7548</v>
      </c>
      <c r="F1871" s="2" t="s">
        <v>3</v>
      </c>
      <c r="G1871" s="2" t="s">
        <v>3</v>
      </c>
      <c r="H1871" s="2" t="s">
        <v>3</v>
      </c>
      <c r="I1871" s="2" t="s">
        <v>3</v>
      </c>
    </row>
    <row r="1872" spans="1:9" hidden="1" x14ac:dyDescent="0.3">
      <c r="A1872" t="s">
        <v>29</v>
      </c>
      <c r="B1872" s="1">
        <v>44409</v>
      </c>
      <c r="C1872" s="2" t="s">
        <v>3</v>
      </c>
      <c r="D1872" s="2" t="s">
        <v>3</v>
      </c>
      <c r="E1872" s="2">
        <v>6640</v>
      </c>
      <c r="F1872" s="2" t="s">
        <v>3</v>
      </c>
      <c r="G1872" s="2" t="s">
        <v>3</v>
      </c>
      <c r="H1872" s="2" t="s">
        <v>3</v>
      </c>
      <c r="I1872" s="2" t="s">
        <v>3</v>
      </c>
    </row>
    <row r="1873" spans="1:9" hidden="1" x14ac:dyDescent="0.3">
      <c r="A1873" t="s">
        <v>29</v>
      </c>
      <c r="B1873" s="1">
        <v>44378</v>
      </c>
      <c r="C1873" s="2" t="s">
        <v>3</v>
      </c>
      <c r="D1873" s="2" t="s">
        <v>3</v>
      </c>
      <c r="E1873" s="2">
        <v>6620</v>
      </c>
      <c r="F1873" s="2" t="s">
        <v>3</v>
      </c>
      <c r="G1873" s="2" t="s">
        <v>3</v>
      </c>
      <c r="H1873" s="2" t="s">
        <v>3</v>
      </c>
      <c r="I1873" s="2" t="s">
        <v>3</v>
      </c>
    </row>
    <row r="1874" spans="1:9" hidden="1" x14ac:dyDescent="0.3">
      <c r="A1874" t="s">
        <v>29</v>
      </c>
      <c r="B1874" s="1">
        <v>44348</v>
      </c>
      <c r="C1874" s="2" t="s">
        <v>3</v>
      </c>
      <c r="D1874" s="2" t="s">
        <v>3</v>
      </c>
      <c r="E1874" s="2">
        <v>6028</v>
      </c>
      <c r="F1874" s="2" t="s">
        <v>3</v>
      </c>
      <c r="G1874" s="2" t="s">
        <v>3</v>
      </c>
      <c r="H1874" s="2" t="s">
        <v>3</v>
      </c>
      <c r="I1874" s="2" t="s">
        <v>3</v>
      </c>
    </row>
    <row r="1875" spans="1:9" hidden="1" x14ac:dyDescent="0.3">
      <c r="A1875" t="s">
        <v>29</v>
      </c>
      <c r="B1875" s="1">
        <v>44317</v>
      </c>
      <c r="C1875" s="2" t="s">
        <v>3</v>
      </c>
      <c r="D1875" s="2" t="s">
        <v>3</v>
      </c>
      <c r="E1875" s="2">
        <v>5885</v>
      </c>
      <c r="F1875" s="2" t="s">
        <v>3</v>
      </c>
      <c r="G1875" s="2" t="s">
        <v>3</v>
      </c>
      <c r="H1875" s="2" t="s">
        <v>3</v>
      </c>
      <c r="I1875" s="2" t="s">
        <v>3</v>
      </c>
    </row>
    <row r="1876" spans="1:9" hidden="1" x14ac:dyDescent="0.3">
      <c r="A1876" t="s">
        <v>29</v>
      </c>
      <c r="B1876" s="1">
        <v>44287</v>
      </c>
      <c r="C1876" s="2" t="s">
        <v>3</v>
      </c>
      <c r="D1876" s="2" t="s">
        <v>3</v>
      </c>
      <c r="E1876" s="2">
        <v>5205</v>
      </c>
      <c r="F1876" s="2" t="s">
        <v>3</v>
      </c>
      <c r="G1876" s="2" t="s">
        <v>3</v>
      </c>
      <c r="H1876" s="2" t="s">
        <v>3</v>
      </c>
      <c r="I1876" s="2" t="s">
        <v>3</v>
      </c>
    </row>
    <row r="1877" spans="1:9" hidden="1" x14ac:dyDescent="0.3">
      <c r="A1877" t="s">
        <v>29</v>
      </c>
      <c r="B1877" s="1">
        <v>44256</v>
      </c>
      <c r="C1877" s="2" t="s">
        <v>3</v>
      </c>
      <c r="D1877" s="2" t="s">
        <v>3</v>
      </c>
      <c r="E1877" s="2">
        <v>5329</v>
      </c>
      <c r="F1877" s="2" t="s">
        <v>3</v>
      </c>
      <c r="G1877" s="2" t="s">
        <v>3</v>
      </c>
      <c r="H1877" s="2" t="s">
        <v>3</v>
      </c>
      <c r="I1877" s="2" t="s">
        <v>3</v>
      </c>
    </row>
    <row r="1878" spans="1:9" hidden="1" x14ac:dyDescent="0.3">
      <c r="A1878" t="s">
        <v>29</v>
      </c>
      <c r="B1878" s="1">
        <v>44228</v>
      </c>
      <c r="C1878" s="2" t="s">
        <v>3</v>
      </c>
      <c r="D1878" s="2" t="s">
        <v>3</v>
      </c>
      <c r="E1878" s="2">
        <v>5636</v>
      </c>
      <c r="F1878" s="2" t="s">
        <v>3</v>
      </c>
      <c r="G1878" s="2" t="s">
        <v>3</v>
      </c>
      <c r="H1878" s="2" t="s">
        <v>3</v>
      </c>
      <c r="I1878" s="2" t="s">
        <v>3</v>
      </c>
    </row>
    <row r="1879" spans="1:9" hidden="1" x14ac:dyDescent="0.3">
      <c r="A1879" t="s">
        <v>29</v>
      </c>
      <c r="B1879" s="1">
        <v>44197</v>
      </c>
      <c r="C1879" s="2" t="s">
        <v>3</v>
      </c>
      <c r="D1879" s="2" t="s">
        <v>3</v>
      </c>
      <c r="E1879" s="2">
        <v>5527</v>
      </c>
      <c r="F1879" s="2" t="s">
        <v>3</v>
      </c>
      <c r="G1879" s="2" t="s">
        <v>3</v>
      </c>
      <c r="H1879" s="2" t="s">
        <v>3</v>
      </c>
      <c r="I1879" s="2" t="s">
        <v>3</v>
      </c>
    </row>
    <row r="1880" spans="1:9" hidden="1" x14ac:dyDescent="0.3">
      <c r="A1880" t="s">
        <v>29</v>
      </c>
      <c r="B1880" s="1">
        <v>44166</v>
      </c>
      <c r="C1880" s="2" t="s">
        <v>3</v>
      </c>
      <c r="D1880" s="2" t="s">
        <v>3</v>
      </c>
      <c r="E1880" s="2">
        <v>5302</v>
      </c>
      <c r="F1880" s="2" t="s">
        <v>3</v>
      </c>
      <c r="G1880" s="2" t="s">
        <v>3</v>
      </c>
      <c r="H1880" s="2" t="s">
        <v>3</v>
      </c>
      <c r="I1880" s="2" t="s">
        <v>3</v>
      </c>
    </row>
    <row r="1881" spans="1:9" hidden="1" x14ac:dyDescent="0.3">
      <c r="A1881" t="s">
        <v>29</v>
      </c>
      <c r="B1881" s="1">
        <v>44136</v>
      </c>
      <c r="C1881" s="2" t="s">
        <v>3</v>
      </c>
      <c r="D1881" s="2" t="s">
        <v>3</v>
      </c>
      <c r="E1881" s="2">
        <v>5319</v>
      </c>
      <c r="F1881" s="2" t="s">
        <v>3</v>
      </c>
      <c r="G1881" s="2" t="s">
        <v>3</v>
      </c>
      <c r="H1881" s="2" t="s">
        <v>3</v>
      </c>
      <c r="I1881" s="2" t="s">
        <v>3</v>
      </c>
    </row>
    <row r="1882" spans="1:9" hidden="1" x14ac:dyDescent="0.3">
      <c r="A1882" t="s">
        <v>29</v>
      </c>
      <c r="B1882" s="1">
        <v>44105</v>
      </c>
      <c r="C1882" s="2" t="s">
        <v>3</v>
      </c>
      <c r="D1882" s="2" t="s">
        <v>3</v>
      </c>
      <c r="E1882" s="2">
        <v>5352</v>
      </c>
      <c r="F1882" s="2" t="s">
        <v>3</v>
      </c>
      <c r="G1882" s="2" t="s">
        <v>3</v>
      </c>
      <c r="H1882" s="2" t="s">
        <v>3</v>
      </c>
      <c r="I1882" s="2" t="s">
        <v>3</v>
      </c>
    </row>
    <row r="1883" spans="1:9" hidden="1" x14ac:dyDescent="0.3">
      <c r="A1883" t="s">
        <v>29</v>
      </c>
      <c r="B1883" s="1">
        <v>44075</v>
      </c>
      <c r="C1883" s="2" t="s">
        <v>3</v>
      </c>
      <c r="D1883" s="2" t="s">
        <v>3</v>
      </c>
      <c r="E1883" s="2">
        <v>5416</v>
      </c>
      <c r="F1883" s="2" t="s">
        <v>3</v>
      </c>
      <c r="G1883" s="2" t="s">
        <v>3</v>
      </c>
      <c r="H1883" s="2" t="s">
        <v>3</v>
      </c>
      <c r="I1883" s="2" t="s">
        <v>3</v>
      </c>
    </row>
    <row r="1884" spans="1:9" hidden="1" x14ac:dyDescent="0.3">
      <c r="A1884" t="s">
        <v>29</v>
      </c>
      <c r="B1884" s="1">
        <v>44044</v>
      </c>
      <c r="C1884" s="2" t="s">
        <v>3</v>
      </c>
      <c r="D1884" s="2" t="s">
        <v>3</v>
      </c>
      <c r="E1884" s="2">
        <v>5504</v>
      </c>
      <c r="F1884" s="2" t="s">
        <v>3</v>
      </c>
      <c r="G1884" s="2" t="s">
        <v>3</v>
      </c>
      <c r="H1884" s="2" t="s">
        <v>3</v>
      </c>
      <c r="I1884" s="2" t="s">
        <v>3</v>
      </c>
    </row>
    <row r="1885" spans="1:9" hidden="1" x14ac:dyDescent="0.3">
      <c r="A1885" t="s">
        <v>29</v>
      </c>
      <c r="B1885" s="1">
        <v>44013</v>
      </c>
      <c r="C1885" s="2" t="s">
        <v>3</v>
      </c>
      <c r="D1885" s="2" t="s">
        <v>3</v>
      </c>
      <c r="E1885" s="2">
        <v>6075</v>
      </c>
      <c r="F1885" s="2" t="s">
        <v>3</v>
      </c>
      <c r="G1885" s="2" t="s">
        <v>3</v>
      </c>
      <c r="H1885" s="2" t="s">
        <v>3</v>
      </c>
      <c r="I1885" s="2" t="s">
        <v>3</v>
      </c>
    </row>
    <row r="1886" spans="1:9" hidden="1" x14ac:dyDescent="0.3">
      <c r="A1886" t="s">
        <v>29</v>
      </c>
      <c r="B1886" s="1">
        <v>43983</v>
      </c>
      <c r="C1886" s="2" t="s">
        <v>3</v>
      </c>
      <c r="D1886" s="2" t="s">
        <v>3</v>
      </c>
      <c r="E1886" s="2">
        <v>5664</v>
      </c>
      <c r="F1886" s="2" t="s">
        <v>3</v>
      </c>
      <c r="G1886" s="2" t="s">
        <v>3</v>
      </c>
      <c r="H1886" s="2" t="s">
        <v>3</v>
      </c>
      <c r="I1886" s="2" t="s">
        <v>3</v>
      </c>
    </row>
    <row r="1887" spans="1:9" hidden="1" x14ac:dyDescent="0.3">
      <c r="A1887" t="s">
        <v>29</v>
      </c>
      <c r="B1887" s="1">
        <v>43952</v>
      </c>
      <c r="C1887" s="2" t="s">
        <v>3</v>
      </c>
      <c r="D1887" s="2" t="s">
        <v>3</v>
      </c>
      <c r="E1887" s="2">
        <v>4793</v>
      </c>
      <c r="F1887" s="2" t="s">
        <v>3</v>
      </c>
      <c r="G1887" s="2" t="s">
        <v>3</v>
      </c>
      <c r="H1887" s="2" t="s">
        <v>3</v>
      </c>
      <c r="I1887" s="2" t="s">
        <v>3</v>
      </c>
    </row>
    <row r="1888" spans="1:9" hidden="1" x14ac:dyDescent="0.3">
      <c r="A1888" t="s">
        <v>29</v>
      </c>
      <c r="B1888" s="1">
        <v>43922</v>
      </c>
      <c r="C1888" s="2" t="s">
        <v>3</v>
      </c>
      <c r="D1888" s="2" t="s">
        <v>3</v>
      </c>
      <c r="E1888" s="2">
        <v>4551</v>
      </c>
      <c r="F1888" s="2" t="s">
        <v>3</v>
      </c>
      <c r="G1888" s="2" t="s">
        <v>3</v>
      </c>
      <c r="H1888" s="2" t="s">
        <v>3</v>
      </c>
      <c r="I1888" s="2" t="s">
        <v>3</v>
      </c>
    </row>
    <row r="1889" spans="1:9" hidden="1" x14ac:dyDescent="0.3">
      <c r="A1889" t="s">
        <v>29</v>
      </c>
      <c r="B1889" s="1">
        <v>43891</v>
      </c>
      <c r="C1889" s="2" t="s">
        <v>3</v>
      </c>
      <c r="D1889" s="2" t="s">
        <v>3</v>
      </c>
      <c r="E1889" s="2">
        <v>5765</v>
      </c>
      <c r="F1889" s="2" t="s">
        <v>3</v>
      </c>
      <c r="G1889" s="2" t="s">
        <v>3</v>
      </c>
      <c r="H1889" s="2" t="s">
        <v>3</v>
      </c>
      <c r="I1889" s="2" t="s">
        <v>3</v>
      </c>
    </row>
    <row r="1890" spans="1:9" hidden="1" x14ac:dyDescent="0.3">
      <c r="A1890" t="s">
        <v>29</v>
      </c>
      <c r="B1890" s="1">
        <v>43862</v>
      </c>
      <c r="C1890" s="2" t="s">
        <v>3</v>
      </c>
      <c r="D1890" s="2" t="s">
        <v>3</v>
      </c>
      <c r="E1890" s="2">
        <v>6629</v>
      </c>
      <c r="F1890" s="2" t="s">
        <v>3</v>
      </c>
      <c r="G1890" s="2" t="s">
        <v>3</v>
      </c>
      <c r="H1890" s="2" t="s">
        <v>3</v>
      </c>
      <c r="I1890" s="2" t="s">
        <v>3</v>
      </c>
    </row>
    <row r="1891" spans="1:9" hidden="1" x14ac:dyDescent="0.3">
      <c r="A1891" t="s">
        <v>29</v>
      </c>
      <c r="B1891" s="1">
        <v>43831</v>
      </c>
      <c r="C1891" s="2" t="s">
        <v>3</v>
      </c>
      <c r="D1891" s="2" t="s">
        <v>3</v>
      </c>
      <c r="E1891" s="2">
        <v>6268</v>
      </c>
      <c r="F1891" s="2" t="s">
        <v>3</v>
      </c>
      <c r="G1891" s="2" t="s">
        <v>3</v>
      </c>
      <c r="H1891" s="2" t="s">
        <v>3</v>
      </c>
      <c r="I1891" s="2" t="s">
        <v>3</v>
      </c>
    </row>
    <row r="1892" spans="1:9" x14ac:dyDescent="0.3">
      <c r="A1892" t="s">
        <v>30</v>
      </c>
      <c r="B1892" s="1">
        <v>45931</v>
      </c>
      <c r="C1892" s="2">
        <v>8109</v>
      </c>
      <c r="D1892" s="2">
        <v>546</v>
      </c>
      <c r="E1892" s="2">
        <v>3689</v>
      </c>
      <c r="F1892" s="2">
        <v>208</v>
      </c>
      <c r="G1892" s="2">
        <v>1</v>
      </c>
      <c r="H1892" s="2">
        <v>4420</v>
      </c>
      <c r="I1892" s="2">
        <v>338</v>
      </c>
    </row>
    <row r="1893" spans="1:9" x14ac:dyDescent="0.3">
      <c r="A1893" t="s">
        <v>30</v>
      </c>
      <c r="B1893" s="1">
        <v>45901</v>
      </c>
      <c r="C1893" s="2">
        <v>7567</v>
      </c>
      <c r="D1893" s="2">
        <v>-1342</v>
      </c>
      <c r="E1893" s="2">
        <v>3485</v>
      </c>
      <c r="F1893" s="2">
        <v>-229</v>
      </c>
      <c r="G1893" s="2">
        <v>-1</v>
      </c>
      <c r="H1893" s="2">
        <v>4082</v>
      </c>
      <c r="I1893" s="2">
        <v>-1113</v>
      </c>
    </row>
    <row r="1894" spans="1:9" x14ac:dyDescent="0.3">
      <c r="A1894" t="s">
        <v>30</v>
      </c>
      <c r="B1894" s="1">
        <v>45870</v>
      </c>
      <c r="C1894" s="2">
        <v>8913</v>
      </c>
      <c r="D1894" s="2">
        <v>419</v>
      </c>
      <c r="E1894" s="2">
        <v>3718</v>
      </c>
      <c r="F1894" s="2">
        <v>10</v>
      </c>
      <c r="G1894" s="2">
        <v>5</v>
      </c>
      <c r="H1894" s="2">
        <v>5195</v>
      </c>
      <c r="I1894" s="2">
        <v>409</v>
      </c>
    </row>
    <row r="1895" spans="1:9" x14ac:dyDescent="0.3">
      <c r="A1895" t="s">
        <v>30</v>
      </c>
      <c r="B1895" s="1">
        <v>45839</v>
      </c>
      <c r="C1895" s="2">
        <v>8305</v>
      </c>
      <c r="D1895" s="2">
        <v>-1028</v>
      </c>
      <c r="E1895" s="2">
        <v>3519</v>
      </c>
      <c r="F1895" s="2">
        <v>457</v>
      </c>
      <c r="G1895" s="2">
        <v>-25</v>
      </c>
      <c r="H1895" s="2">
        <v>4786</v>
      </c>
      <c r="I1895" s="2">
        <v>-1485</v>
      </c>
    </row>
    <row r="1896" spans="1:9" x14ac:dyDescent="0.3">
      <c r="A1896" t="s">
        <v>30</v>
      </c>
      <c r="B1896" s="1">
        <v>45809</v>
      </c>
      <c r="C1896" s="2">
        <v>9358</v>
      </c>
      <c r="D1896" s="2">
        <v>-12</v>
      </c>
      <c r="E1896" s="2">
        <v>3087</v>
      </c>
      <c r="F1896" s="2">
        <v>-72</v>
      </c>
      <c r="G1896" s="2">
        <v>12</v>
      </c>
      <c r="H1896" s="2">
        <v>6271</v>
      </c>
      <c r="I1896" s="2">
        <v>60</v>
      </c>
    </row>
    <row r="1897" spans="1:9" x14ac:dyDescent="0.3">
      <c r="A1897" t="s">
        <v>30</v>
      </c>
      <c r="B1897" s="1">
        <v>45778</v>
      </c>
      <c r="C1897" s="2">
        <v>9396</v>
      </c>
      <c r="D1897" s="2">
        <v>1712</v>
      </c>
      <c r="E1897" s="2">
        <v>3185</v>
      </c>
      <c r="F1897" s="2">
        <v>299</v>
      </c>
      <c r="G1897" s="2">
        <v>-20</v>
      </c>
      <c r="H1897" s="2">
        <v>6211</v>
      </c>
      <c r="I1897" s="2">
        <v>1413</v>
      </c>
    </row>
    <row r="1898" spans="1:9" x14ac:dyDescent="0.3">
      <c r="A1898" t="s">
        <v>30</v>
      </c>
      <c r="B1898" s="1">
        <v>45748</v>
      </c>
      <c r="C1898" s="2">
        <v>7902</v>
      </c>
      <c r="D1898" s="2">
        <v>-953</v>
      </c>
      <c r="E1898" s="2">
        <v>3104</v>
      </c>
      <c r="F1898" s="2">
        <v>59</v>
      </c>
      <c r="G1898" s="2">
        <v>-133</v>
      </c>
      <c r="H1898" s="2">
        <v>4798</v>
      </c>
      <c r="I1898" s="2">
        <v>-1012</v>
      </c>
    </row>
    <row r="1899" spans="1:9" x14ac:dyDescent="0.3">
      <c r="A1899" t="s">
        <v>30</v>
      </c>
      <c r="B1899" s="1">
        <v>45717</v>
      </c>
      <c r="C1899" s="2">
        <v>9072</v>
      </c>
      <c r="D1899" s="2">
        <v>26</v>
      </c>
      <c r="E1899" s="2">
        <v>3262</v>
      </c>
      <c r="F1899" s="2">
        <v>-98</v>
      </c>
      <c r="G1899" s="2">
        <v>-50</v>
      </c>
      <c r="H1899" s="2">
        <v>5810</v>
      </c>
      <c r="I1899" s="2">
        <v>124</v>
      </c>
    </row>
    <row r="1900" spans="1:9" x14ac:dyDescent="0.3">
      <c r="A1900" t="s">
        <v>30</v>
      </c>
      <c r="B1900" s="1">
        <v>45689</v>
      </c>
      <c r="C1900" s="2">
        <v>9168</v>
      </c>
      <c r="D1900" s="2">
        <v>2655</v>
      </c>
      <c r="E1900" s="2">
        <v>3482</v>
      </c>
      <c r="F1900" s="2">
        <v>55</v>
      </c>
      <c r="G1900" s="2">
        <v>-67</v>
      </c>
      <c r="H1900" s="2">
        <v>5686</v>
      </c>
      <c r="I1900" s="2">
        <v>2600</v>
      </c>
    </row>
    <row r="1901" spans="1:9" x14ac:dyDescent="0.3">
      <c r="A1901" t="s">
        <v>30</v>
      </c>
      <c r="B1901" s="1">
        <v>45658</v>
      </c>
      <c r="C1901" s="2">
        <v>6689</v>
      </c>
      <c r="D1901" s="2">
        <v>644</v>
      </c>
      <c r="E1901" s="2">
        <v>3603</v>
      </c>
      <c r="F1901" s="2">
        <v>164</v>
      </c>
      <c r="G1901" s="2">
        <v>-29</v>
      </c>
      <c r="H1901" s="2">
        <v>3086</v>
      </c>
      <c r="I1901" s="2">
        <v>480</v>
      </c>
    </row>
    <row r="1902" spans="1:9" x14ac:dyDescent="0.3">
      <c r="A1902" t="s">
        <v>30</v>
      </c>
      <c r="B1902" s="1">
        <v>45627</v>
      </c>
      <c r="C1902" s="2">
        <v>6230</v>
      </c>
      <c r="D1902" s="2">
        <v>-1283</v>
      </c>
      <c r="E1902" s="2">
        <v>3624</v>
      </c>
      <c r="F1902" s="2">
        <v>105</v>
      </c>
      <c r="G1902" s="2">
        <v>-22</v>
      </c>
      <c r="H1902" s="2">
        <v>2606</v>
      </c>
      <c r="I1902" s="2">
        <v>-1388</v>
      </c>
    </row>
    <row r="1903" spans="1:9" x14ac:dyDescent="0.3">
      <c r="A1903" t="s">
        <v>30</v>
      </c>
      <c r="B1903" s="1">
        <v>45597</v>
      </c>
      <c r="C1903" s="2">
        <v>6845</v>
      </c>
      <c r="D1903" s="2">
        <v>-985</v>
      </c>
      <c r="E1903" s="2">
        <v>2851</v>
      </c>
      <c r="F1903" s="2">
        <v>338</v>
      </c>
      <c r="G1903" s="2">
        <v>-1</v>
      </c>
      <c r="H1903" s="2">
        <v>3994</v>
      </c>
      <c r="I1903" s="2">
        <v>-1323</v>
      </c>
    </row>
    <row r="1904" spans="1:9" x14ac:dyDescent="0.3">
      <c r="A1904" t="s">
        <v>30</v>
      </c>
      <c r="B1904" s="1">
        <v>45566</v>
      </c>
      <c r="C1904" s="2">
        <v>7834</v>
      </c>
      <c r="D1904" s="2">
        <v>1393</v>
      </c>
      <c r="E1904" s="2">
        <v>2517</v>
      </c>
      <c r="F1904" s="2">
        <v>260</v>
      </c>
      <c r="G1904" s="2">
        <v>-34</v>
      </c>
      <c r="H1904" s="2">
        <v>5317</v>
      </c>
      <c r="I1904" s="2">
        <v>1133</v>
      </c>
    </row>
    <row r="1905" spans="1:9" x14ac:dyDescent="0.3">
      <c r="A1905" t="s">
        <v>30</v>
      </c>
      <c r="B1905" s="1">
        <v>45536</v>
      </c>
      <c r="C1905" s="2">
        <v>6460</v>
      </c>
      <c r="D1905" s="2">
        <v>126</v>
      </c>
      <c r="E1905" s="2">
        <v>2276</v>
      </c>
      <c r="F1905" s="2">
        <v>-27</v>
      </c>
      <c r="G1905" s="2">
        <v>-37</v>
      </c>
      <c r="H1905" s="2">
        <v>4184</v>
      </c>
      <c r="I1905" s="2">
        <v>153</v>
      </c>
    </row>
    <row r="1906" spans="1:9" x14ac:dyDescent="0.3">
      <c r="A1906" t="s">
        <v>30</v>
      </c>
      <c r="B1906" s="1">
        <v>45505</v>
      </c>
      <c r="C1906" s="2">
        <v>6402</v>
      </c>
      <c r="D1906" s="2">
        <v>-196</v>
      </c>
      <c r="E1906" s="2">
        <v>2371</v>
      </c>
      <c r="F1906" s="2">
        <v>107</v>
      </c>
      <c r="G1906" s="2">
        <v>15</v>
      </c>
      <c r="H1906" s="2">
        <v>4031</v>
      </c>
      <c r="I1906" s="2">
        <v>-303</v>
      </c>
    </row>
    <row r="1907" spans="1:9" x14ac:dyDescent="0.3">
      <c r="A1907" t="s">
        <v>30</v>
      </c>
      <c r="B1907" s="1">
        <v>45474</v>
      </c>
      <c r="C1907" s="2">
        <v>6582</v>
      </c>
      <c r="D1907" s="2">
        <v>-661</v>
      </c>
      <c r="E1907" s="2">
        <v>2248</v>
      </c>
      <c r="F1907" s="2">
        <v>-138</v>
      </c>
      <c r="G1907" s="2">
        <v>26</v>
      </c>
      <c r="H1907" s="2">
        <v>4334</v>
      </c>
      <c r="I1907" s="2">
        <v>-523</v>
      </c>
    </row>
    <row r="1908" spans="1:9" x14ac:dyDescent="0.3">
      <c r="A1908" t="s">
        <v>30</v>
      </c>
      <c r="B1908" s="1">
        <v>45444</v>
      </c>
      <c r="C1908" s="2">
        <v>7228</v>
      </c>
      <c r="D1908" s="2">
        <v>-1531</v>
      </c>
      <c r="E1908" s="2">
        <v>2371</v>
      </c>
      <c r="F1908" s="2">
        <v>-114</v>
      </c>
      <c r="G1908" s="2">
        <v>13</v>
      </c>
      <c r="H1908" s="2">
        <v>4857</v>
      </c>
      <c r="I1908" s="2">
        <v>-1417</v>
      </c>
    </row>
    <row r="1909" spans="1:9" x14ac:dyDescent="0.3">
      <c r="A1909" t="s">
        <v>30</v>
      </c>
      <c r="B1909" s="1">
        <v>45413</v>
      </c>
      <c r="C1909" s="2">
        <v>8994</v>
      </c>
      <c r="D1909" s="2">
        <v>-1334</v>
      </c>
      <c r="E1909" s="2">
        <v>2720</v>
      </c>
      <c r="F1909" s="2">
        <v>1084</v>
      </c>
      <c r="G1909" s="2">
        <v>3</v>
      </c>
      <c r="H1909" s="2">
        <v>6274</v>
      </c>
      <c r="I1909" s="2">
        <v>-2418</v>
      </c>
    </row>
    <row r="1910" spans="1:9" x14ac:dyDescent="0.3">
      <c r="A1910" t="s">
        <v>30</v>
      </c>
      <c r="B1910" s="1">
        <v>45383</v>
      </c>
      <c r="C1910" s="2">
        <v>10345</v>
      </c>
      <c r="D1910" s="2">
        <v>-625</v>
      </c>
      <c r="E1910" s="2">
        <v>1653</v>
      </c>
      <c r="F1910" s="2">
        <v>507</v>
      </c>
      <c r="G1910" s="2">
        <v>-11</v>
      </c>
      <c r="H1910" s="2">
        <v>8692</v>
      </c>
      <c r="I1910" s="2">
        <v>-1132</v>
      </c>
    </row>
    <row r="1911" spans="1:9" x14ac:dyDescent="0.3">
      <c r="A1911" t="s">
        <v>30</v>
      </c>
      <c r="B1911" s="1">
        <v>45352</v>
      </c>
      <c r="C1911" s="2">
        <v>11006</v>
      </c>
      <c r="D1911" s="2">
        <v>532</v>
      </c>
      <c r="E1911" s="2">
        <v>1182</v>
      </c>
      <c r="F1911" s="2">
        <v>74</v>
      </c>
      <c r="G1911" s="2">
        <v>1</v>
      </c>
      <c r="H1911" s="2">
        <v>9824</v>
      </c>
      <c r="I1911" s="2">
        <v>458</v>
      </c>
    </row>
    <row r="1912" spans="1:9" x14ac:dyDescent="0.3">
      <c r="A1912" t="s">
        <v>30</v>
      </c>
      <c r="B1912" s="1">
        <v>45323</v>
      </c>
      <c r="C1912" s="2">
        <v>10498</v>
      </c>
      <c r="D1912" s="2">
        <v>257</v>
      </c>
      <c r="E1912" s="2">
        <v>1132</v>
      </c>
      <c r="F1912" s="2">
        <v>-1001</v>
      </c>
      <c r="G1912" s="2">
        <v>8</v>
      </c>
      <c r="H1912" s="2">
        <v>9366</v>
      </c>
      <c r="I1912" s="2">
        <v>1258</v>
      </c>
    </row>
    <row r="1913" spans="1:9" x14ac:dyDescent="0.3">
      <c r="A1913" t="s">
        <v>30</v>
      </c>
      <c r="B1913" s="1">
        <v>45292</v>
      </c>
      <c r="C1913" s="2">
        <v>10240</v>
      </c>
      <c r="D1913" s="2">
        <v>-651</v>
      </c>
      <c r="E1913" s="2">
        <v>2132</v>
      </c>
      <c r="F1913" s="2">
        <v>-82</v>
      </c>
      <c r="G1913" s="2">
        <v>4</v>
      </c>
      <c r="H1913" s="2">
        <v>8108</v>
      </c>
      <c r="I1913" s="2">
        <v>-569</v>
      </c>
    </row>
    <row r="1914" spans="1:9" x14ac:dyDescent="0.3">
      <c r="A1914" t="s">
        <v>30</v>
      </c>
      <c r="B1914" s="1">
        <v>45261</v>
      </c>
      <c r="C1914" s="2">
        <v>10898</v>
      </c>
      <c r="D1914" s="2">
        <v>250</v>
      </c>
      <c r="E1914" s="2">
        <v>2221</v>
      </c>
      <c r="F1914" s="2">
        <v>144</v>
      </c>
      <c r="G1914" s="2">
        <v>11</v>
      </c>
      <c r="H1914" s="2">
        <v>8677</v>
      </c>
      <c r="I1914" s="2">
        <v>106</v>
      </c>
    </row>
    <row r="1915" spans="1:9" x14ac:dyDescent="0.3">
      <c r="A1915" t="s">
        <v>30</v>
      </c>
      <c r="B1915" s="1">
        <v>45231</v>
      </c>
      <c r="C1915" s="2">
        <v>10636</v>
      </c>
      <c r="D1915" s="2">
        <v>-1210</v>
      </c>
      <c r="E1915" s="2">
        <v>2065</v>
      </c>
      <c r="F1915" s="2">
        <v>-581</v>
      </c>
      <c r="G1915" s="2">
        <v>24</v>
      </c>
      <c r="H1915" s="2">
        <v>8571</v>
      </c>
      <c r="I1915" s="2">
        <v>-629</v>
      </c>
    </row>
    <row r="1916" spans="1:9" x14ac:dyDescent="0.3">
      <c r="A1916" t="s">
        <v>30</v>
      </c>
      <c r="B1916" s="1">
        <v>45200</v>
      </c>
      <c r="C1916" s="2">
        <v>12125</v>
      </c>
      <c r="D1916" s="2">
        <v>-2006</v>
      </c>
      <c r="E1916" s="2">
        <v>2925</v>
      </c>
      <c r="F1916" s="2">
        <v>-47</v>
      </c>
      <c r="G1916" s="2">
        <v>3</v>
      </c>
      <c r="H1916" s="2">
        <v>9200</v>
      </c>
      <c r="I1916" s="2">
        <v>-1959</v>
      </c>
    </row>
    <row r="1917" spans="1:9" x14ac:dyDescent="0.3">
      <c r="A1917" t="s">
        <v>30</v>
      </c>
      <c r="B1917" s="1">
        <v>45170</v>
      </c>
      <c r="C1917" s="2">
        <v>14161</v>
      </c>
      <c r="D1917" s="2">
        <v>-560</v>
      </c>
      <c r="E1917" s="2">
        <v>3002</v>
      </c>
      <c r="F1917" s="2">
        <v>149</v>
      </c>
      <c r="G1917" s="2">
        <v>2</v>
      </c>
      <c r="H1917" s="2">
        <v>11159</v>
      </c>
      <c r="I1917" s="2">
        <v>-709</v>
      </c>
    </row>
    <row r="1918" spans="1:9" x14ac:dyDescent="0.3">
      <c r="A1918" t="s">
        <v>30</v>
      </c>
      <c r="B1918" s="1">
        <v>45139</v>
      </c>
      <c r="C1918" s="2">
        <v>14720</v>
      </c>
      <c r="D1918" s="2">
        <v>-970</v>
      </c>
      <c r="E1918" s="2">
        <v>2852</v>
      </c>
      <c r="F1918" s="2">
        <v>475</v>
      </c>
      <c r="G1918" s="2">
        <v>14</v>
      </c>
      <c r="H1918" s="2">
        <v>11868</v>
      </c>
      <c r="I1918" s="2">
        <v>-1445</v>
      </c>
    </row>
    <row r="1919" spans="1:9" x14ac:dyDescent="0.3">
      <c r="A1919" t="s">
        <v>30</v>
      </c>
      <c r="B1919" s="1">
        <v>45108</v>
      </c>
      <c r="C1919" s="2">
        <v>15695</v>
      </c>
      <c r="D1919" s="2">
        <v>317</v>
      </c>
      <c r="E1919" s="2">
        <v>2382</v>
      </c>
      <c r="F1919" s="2">
        <v>117</v>
      </c>
      <c r="G1919" s="2">
        <v>-7</v>
      </c>
      <c r="H1919" s="2">
        <v>13313</v>
      </c>
      <c r="I1919" s="2">
        <v>200</v>
      </c>
    </row>
    <row r="1920" spans="1:9" x14ac:dyDescent="0.3">
      <c r="A1920" t="s">
        <v>30</v>
      </c>
      <c r="B1920" s="1">
        <v>45078</v>
      </c>
      <c r="C1920" s="2">
        <v>15412</v>
      </c>
      <c r="D1920" s="2">
        <v>137</v>
      </c>
      <c r="E1920" s="2">
        <v>2299</v>
      </c>
      <c r="F1920" s="2">
        <v>-211</v>
      </c>
      <c r="G1920" s="2">
        <v>4</v>
      </c>
      <c r="H1920" s="2">
        <v>13113</v>
      </c>
      <c r="I1920" s="2">
        <v>348</v>
      </c>
    </row>
    <row r="1921" spans="1:9" x14ac:dyDescent="0.3">
      <c r="A1921" t="s">
        <v>30</v>
      </c>
      <c r="B1921" s="1">
        <v>45047</v>
      </c>
      <c r="C1921" s="2">
        <v>15271</v>
      </c>
      <c r="D1921" s="2">
        <v>1496</v>
      </c>
      <c r="E1921" s="2">
        <v>2506</v>
      </c>
      <c r="F1921" s="2">
        <v>55</v>
      </c>
      <c r="G1921" s="2">
        <v>-7</v>
      </c>
      <c r="H1921" s="2">
        <v>12765</v>
      </c>
      <c r="I1921" s="2">
        <v>1441</v>
      </c>
    </row>
    <row r="1922" spans="1:9" x14ac:dyDescent="0.3">
      <c r="A1922" t="s">
        <v>30</v>
      </c>
      <c r="B1922" s="1">
        <v>45017</v>
      </c>
      <c r="C1922" s="2">
        <v>13783</v>
      </c>
      <c r="D1922" s="2">
        <v>-617</v>
      </c>
      <c r="E1922" s="2">
        <v>2459</v>
      </c>
      <c r="F1922" s="2">
        <v>143</v>
      </c>
      <c r="G1922" s="2">
        <v>-4</v>
      </c>
      <c r="H1922" s="2">
        <v>11324</v>
      </c>
      <c r="I1922" s="2">
        <v>-760</v>
      </c>
    </row>
    <row r="1923" spans="1:9" x14ac:dyDescent="0.3">
      <c r="A1923" t="s">
        <v>30</v>
      </c>
      <c r="B1923" s="1">
        <v>44986</v>
      </c>
      <c r="C1923" s="2">
        <v>14773</v>
      </c>
      <c r="D1923" s="2">
        <v>-944</v>
      </c>
      <c r="E1923" s="2">
        <v>2689</v>
      </c>
      <c r="F1923" s="2">
        <v>-320</v>
      </c>
      <c r="G1923" s="2">
        <v>29</v>
      </c>
      <c r="H1923" s="2">
        <v>12084</v>
      </c>
      <c r="I1923" s="2">
        <v>-624</v>
      </c>
    </row>
    <row r="1924" spans="1:9" x14ac:dyDescent="0.3">
      <c r="A1924" t="s">
        <v>30</v>
      </c>
      <c r="B1924" s="1">
        <v>44958</v>
      </c>
      <c r="C1924" s="2">
        <v>15638</v>
      </c>
      <c r="D1924" s="2">
        <v>2593</v>
      </c>
      <c r="E1924" s="2">
        <v>2930</v>
      </c>
      <c r="F1924" s="2">
        <v>258</v>
      </c>
      <c r="G1924" s="2">
        <v>-17</v>
      </c>
      <c r="H1924" s="2">
        <v>12708</v>
      </c>
      <c r="I1924" s="2">
        <v>2335</v>
      </c>
    </row>
    <row r="1925" spans="1:9" hidden="1" x14ac:dyDescent="0.3">
      <c r="A1925" t="s">
        <v>30</v>
      </c>
      <c r="B1925" s="1">
        <v>44927</v>
      </c>
      <c r="C1925" s="2">
        <v>13060</v>
      </c>
      <c r="D1925" s="2" t="s">
        <v>3</v>
      </c>
      <c r="E1925" s="2">
        <v>2687</v>
      </c>
      <c r="F1925" s="2" t="s">
        <v>3</v>
      </c>
      <c r="G1925" s="2" t="s">
        <v>3</v>
      </c>
      <c r="H1925" s="2">
        <v>10373</v>
      </c>
      <c r="I1925" s="2">
        <v>-415</v>
      </c>
    </row>
    <row r="1926" spans="1:9" hidden="1" x14ac:dyDescent="0.3">
      <c r="A1926" t="s">
        <v>30</v>
      </c>
      <c r="B1926" s="1">
        <v>44896</v>
      </c>
      <c r="C1926" s="2">
        <v>13460</v>
      </c>
      <c r="D1926" s="2" t="s">
        <v>3</v>
      </c>
      <c r="E1926" s="2">
        <v>2672</v>
      </c>
      <c r="F1926" s="2" t="s">
        <v>3</v>
      </c>
      <c r="G1926" s="2" t="s">
        <v>3</v>
      </c>
      <c r="H1926" s="2">
        <v>10788</v>
      </c>
      <c r="I1926" s="2">
        <v>4170</v>
      </c>
    </row>
    <row r="1927" spans="1:9" hidden="1" x14ac:dyDescent="0.3">
      <c r="A1927" t="s">
        <v>30</v>
      </c>
      <c r="B1927" s="1">
        <v>44866</v>
      </c>
      <c r="C1927" s="2">
        <v>8962</v>
      </c>
      <c r="D1927" s="2" t="s">
        <v>3</v>
      </c>
      <c r="E1927" s="2">
        <v>2344</v>
      </c>
      <c r="F1927" s="2" t="s">
        <v>3</v>
      </c>
      <c r="G1927" s="2" t="s">
        <v>3</v>
      </c>
      <c r="H1927" s="2">
        <v>6618</v>
      </c>
      <c r="I1927" s="2">
        <v>-1437</v>
      </c>
    </row>
    <row r="1928" spans="1:9" hidden="1" x14ac:dyDescent="0.3">
      <c r="A1928" t="s">
        <v>30</v>
      </c>
      <c r="B1928" s="1">
        <v>44835</v>
      </c>
      <c r="C1928" s="2">
        <v>10341</v>
      </c>
      <c r="D1928" s="2" t="s">
        <v>3</v>
      </c>
      <c r="E1928" s="2">
        <v>2286</v>
      </c>
      <c r="F1928" s="2" t="s">
        <v>3</v>
      </c>
      <c r="G1928" s="2" t="s">
        <v>3</v>
      </c>
      <c r="H1928" s="2">
        <v>8055</v>
      </c>
      <c r="I1928" s="2">
        <v>-981</v>
      </c>
    </row>
    <row r="1929" spans="1:9" hidden="1" x14ac:dyDescent="0.3">
      <c r="A1929" t="s">
        <v>30</v>
      </c>
      <c r="B1929" s="1">
        <v>44805</v>
      </c>
      <c r="C1929" s="2">
        <v>11262</v>
      </c>
      <c r="D1929" s="2" t="s">
        <v>3</v>
      </c>
      <c r="E1929" s="2">
        <v>2226</v>
      </c>
      <c r="F1929" s="2" t="s">
        <v>3</v>
      </c>
      <c r="G1929" s="2" t="s">
        <v>3</v>
      </c>
      <c r="H1929" s="2">
        <v>9036</v>
      </c>
      <c r="I1929" s="2">
        <v>411</v>
      </c>
    </row>
    <row r="1930" spans="1:9" hidden="1" x14ac:dyDescent="0.3">
      <c r="A1930" t="s">
        <v>30</v>
      </c>
      <c r="B1930" s="1">
        <v>44774</v>
      </c>
      <c r="C1930" s="2">
        <v>9685</v>
      </c>
      <c r="D1930" s="2" t="s">
        <v>3</v>
      </c>
      <c r="E1930" s="2">
        <v>1060</v>
      </c>
      <c r="F1930" s="2" t="s">
        <v>3</v>
      </c>
      <c r="G1930" s="2" t="s">
        <v>3</v>
      </c>
      <c r="H1930" s="2">
        <v>8625</v>
      </c>
      <c r="I1930" s="2">
        <v>1472</v>
      </c>
    </row>
    <row r="1931" spans="1:9" hidden="1" x14ac:dyDescent="0.3">
      <c r="A1931" t="s">
        <v>30</v>
      </c>
      <c r="B1931" s="1">
        <v>44743</v>
      </c>
      <c r="C1931" s="2">
        <v>8005</v>
      </c>
      <c r="D1931" s="2" t="s">
        <v>3</v>
      </c>
      <c r="E1931" s="2">
        <v>852</v>
      </c>
      <c r="F1931" s="2" t="s">
        <v>3</v>
      </c>
      <c r="G1931" s="2" t="s">
        <v>3</v>
      </c>
      <c r="H1931" s="2">
        <v>7153</v>
      </c>
      <c r="I1931" s="2">
        <v>-421</v>
      </c>
    </row>
    <row r="1932" spans="1:9" hidden="1" x14ac:dyDescent="0.3">
      <c r="A1932" t="s">
        <v>30</v>
      </c>
      <c r="B1932" s="1">
        <v>44713</v>
      </c>
      <c r="C1932" s="2">
        <v>8155</v>
      </c>
      <c r="D1932" s="2" t="s">
        <v>3</v>
      </c>
      <c r="E1932" s="2">
        <v>581</v>
      </c>
      <c r="F1932" s="2" t="s">
        <v>3</v>
      </c>
      <c r="G1932" s="2" t="s">
        <v>3</v>
      </c>
      <c r="H1932" s="2">
        <v>7574</v>
      </c>
      <c r="I1932" s="2">
        <v>62</v>
      </c>
    </row>
    <row r="1933" spans="1:9" hidden="1" x14ac:dyDescent="0.3">
      <c r="A1933" t="s">
        <v>30</v>
      </c>
      <c r="B1933" s="1">
        <v>44682</v>
      </c>
      <c r="C1933" s="2">
        <v>7917</v>
      </c>
      <c r="D1933" s="2" t="s">
        <v>3</v>
      </c>
      <c r="E1933" s="2">
        <v>405</v>
      </c>
      <c r="F1933" s="2" t="s">
        <v>3</v>
      </c>
      <c r="G1933" s="2" t="s">
        <v>3</v>
      </c>
      <c r="H1933" s="2">
        <v>7512</v>
      </c>
      <c r="I1933" s="2">
        <v>3101</v>
      </c>
    </row>
    <row r="1934" spans="1:9" hidden="1" x14ac:dyDescent="0.3">
      <c r="A1934" t="s">
        <v>30</v>
      </c>
      <c r="B1934" s="1">
        <v>44652</v>
      </c>
      <c r="C1934" s="2">
        <v>4817</v>
      </c>
      <c r="D1934" s="2" t="s">
        <v>3</v>
      </c>
      <c r="E1934" s="2">
        <v>406</v>
      </c>
      <c r="F1934" s="2" t="s">
        <v>3</v>
      </c>
      <c r="G1934" s="2" t="s">
        <v>3</v>
      </c>
      <c r="H1934" s="2">
        <v>4411</v>
      </c>
      <c r="I1934" s="2">
        <v>257</v>
      </c>
    </row>
    <row r="1935" spans="1:9" hidden="1" x14ac:dyDescent="0.3">
      <c r="A1935" t="s">
        <v>30</v>
      </c>
      <c r="B1935" s="1">
        <v>44621</v>
      </c>
      <c r="C1935" s="2">
        <v>4206</v>
      </c>
      <c r="D1935" s="2" t="s">
        <v>3</v>
      </c>
      <c r="E1935" s="2">
        <v>52</v>
      </c>
      <c r="F1935" s="2" t="s">
        <v>3</v>
      </c>
      <c r="G1935" s="2" t="s">
        <v>3</v>
      </c>
      <c r="H1935" s="2">
        <v>4154</v>
      </c>
      <c r="I1935" s="2">
        <v>-576</v>
      </c>
    </row>
    <row r="1936" spans="1:9" hidden="1" x14ac:dyDescent="0.3">
      <c r="A1936" t="s">
        <v>30</v>
      </c>
      <c r="B1936" s="1">
        <v>44593</v>
      </c>
      <c r="C1936" s="2">
        <v>4774</v>
      </c>
      <c r="D1936" s="2" t="s">
        <v>3</v>
      </c>
      <c r="E1936" s="2">
        <v>44</v>
      </c>
      <c r="F1936" s="2" t="s">
        <v>3</v>
      </c>
      <c r="G1936" s="2" t="s">
        <v>3</v>
      </c>
      <c r="H1936" s="2">
        <v>4730</v>
      </c>
      <c r="I1936" s="2">
        <v>1972</v>
      </c>
    </row>
    <row r="1937" spans="1:9" hidden="1" x14ac:dyDescent="0.3">
      <c r="A1937" t="s">
        <v>30</v>
      </c>
      <c r="B1937" s="1">
        <v>44562</v>
      </c>
      <c r="C1937" s="2">
        <v>2809</v>
      </c>
      <c r="D1937" s="2" t="s">
        <v>3</v>
      </c>
      <c r="E1937" s="2">
        <v>51</v>
      </c>
      <c r="F1937" s="2" t="s">
        <v>3</v>
      </c>
      <c r="G1937" s="2" t="s">
        <v>3</v>
      </c>
      <c r="H1937" s="2">
        <v>2758</v>
      </c>
      <c r="I1937" s="2">
        <v>-600</v>
      </c>
    </row>
    <row r="1938" spans="1:9" hidden="1" x14ac:dyDescent="0.3">
      <c r="A1938" t="s">
        <v>30</v>
      </c>
      <c r="B1938" s="1">
        <v>44531</v>
      </c>
      <c r="C1938" s="2">
        <v>3409</v>
      </c>
      <c r="D1938" s="2" t="s">
        <v>3</v>
      </c>
      <c r="E1938" s="2">
        <v>51</v>
      </c>
      <c r="F1938" s="2" t="s">
        <v>3</v>
      </c>
      <c r="G1938" s="2" t="s">
        <v>3</v>
      </c>
      <c r="H1938" s="2">
        <v>3358</v>
      </c>
      <c r="I1938" s="2">
        <v>1124</v>
      </c>
    </row>
    <row r="1939" spans="1:9" hidden="1" x14ac:dyDescent="0.3">
      <c r="A1939" t="s">
        <v>30</v>
      </c>
      <c r="B1939" s="1">
        <v>44501</v>
      </c>
      <c r="C1939" s="2">
        <v>2285</v>
      </c>
      <c r="D1939" s="2" t="s">
        <v>3</v>
      </c>
      <c r="E1939" s="2">
        <v>51</v>
      </c>
      <c r="F1939" s="2" t="s">
        <v>3</v>
      </c>
      <c r="G1939" s="2" t="s">
        <v>3</v>
      </c>
      <c r="H1939" s="2">
        <v>2234</v>
      </c>
      <c r="I1939" s="2">
        <v>11</v>
      </c>
    </row>
    <row r="1940" spans="1:9" hidden="1" x14ac:dyDescent="0.3">
      <c r="A1940" t="s">
        <v>30</v>
      </c>
      <c r="B1940" s="1">
        <v>44470</v>
      </c>
      <c r="C1940" s="2">
        <v>2551</v>
      </c>
      <c r="D1940" s="2" t="s">
        <v>3</v>
      </c>
      <c r="E1940" s="2">
        <v>328</v>
      </c>
      <c r="F1940" s="2" t="s">
        <v>3</v>
      </c>
      <c r="G1940" s="2" t="s">
        <v>3</v>
      </c>
      <c r="H1940" s="2">
        <v>2223</v>
      </c>
      <c r="I1940" s="2">
        <v>100</v>
      </c>
    </row>
    <row r="1941" spans="1:9" hidden="1" x14ac:dyDescent="0.3">
      <c r="A1941" t="s">
        <v>30</v>
      </c>
      <c r="B1941" s="1">
        <v>44440</v>
      </c>
      <c r="C1941" s="2">
        <v>2452</v>
      </c>
      <c r="D1941" s="2" t="s">
        <v>3</v>
      </c>
      <c r="E1941" s="2">
        <v>329</v>
      </c>
      <c r="F1941" s="2" t="s">
        <v>3</v>
      </c>
      <c r="G1941" s="2" t="s">
        <v>3</v>
      </c>
      <c r="H1941" s="2">
        <v>2123</v>
      </c>
      <c r="I1941" s="2">
        <v>1211</v>
      </c>
    </row>
    <row r="1942" spans="1:9" hidden="1" x14ac:dyDescent="0.3">
      <c r="A1942" t="s">
        <v>30</v>
      </c>
      <c r="B1942" s="1">
        <v>44409</v>
      </c>
      <c r="C1942" s="2">
        <v>1513</v>
      </c>
      <c r="D1942" s="2" t="s">
        <v>3</v>
      </c>
      <c r="E1942" s="2">
        <v>601</v>
      </c>
      <c r="F1942" s="2" t="s">
        <v>3</v>
      </c>
      <c r="G1942" s="2" t="s">
        <v>3</v>
      </c>
      <c r="H1942" s="2">
        <v>912</v>
      </c>
      <c r="I1942" s="2">
        <v>349</v>
      </c>
    </row>
    <row r="1943" spans="1:9" hidden="1" x14ac:dyDescent="0.3">
      <c r="A1943" t="s">
        <v>30</v>
      </c>
      <c r="B1943" s="1">
        <v>44378</v>
      </c>
      <c r="C1943" s="2">
        <v>1754</v>
      </c>
      <c r="D1943" s="2" t="s">
        <v>3</v>
      </c>
      <c r="E1943" s="2">
        <v>1191</v>
      </c>
      <c r="F1943" s="2" t="s">
        <v>3</v>
      </c>
      <c r="G1943" s="2" t="s">
        <v>3</v>
      </c>
      <c r="H1943" s="2">
        <v>563</v>
      </c>
      <c r="I1943" s="2">
        <v>13</v>
      </c>
    </row>
    <row r="1944" spans="1:9" hidden="1" x14ac:dyDescent="0.3">
      <c r="A1944" t="s">
        <v>30</v>
      </c>
      <c r="B1944" s="1">
        <v>44348</v>
      </c>
      <c r="C1944" s="2">
        <v>1759</v>
      </c>
      <c r="D1944" s="2" t="s">
        <v>3</v>
      </c>
      <c r="E1944" s="2">
        <v>1209</v>
      </c>
      <c r="F1944" s="2" t="s">
        <v>3</v>
      </c>
      <c r="G1944" s="2" t="s">
        <v>3</v>
      </c>
      <c r="H1944" s="2">
        <v>550</v>
      </c>
      <c r="I1944" s="2">
        <v>-519</v>
      </c>
    </row>
    <row r="1945" spans="1:9" hidden="1" x14ac:dyDescent="0.3">
      <c r="A1945" t="s">
        <v>30</v>
      </c>
      <c r="B1945" s="1">
        <v>44317</v>
      </c>
      <c r="C1945" s="2">
        <v>2259</v>
      </c>
      <c r="D1945" s="2" t="s">
        <v>3</v>
      </c>
      <c r="E1945" s="2">
        <v>1190</v>
      </c>
      <c r="F1945" s="2" t="s">
        <v>3</v>
      </c>
      <c r="G1945" s="2" t="s">
        <v>3</v>
      </c>
      <c r="H1945" s="2">
        <v>1069</v>
      </c>
      <c r="I1945" s="2">
        <v>-481</v>
      </c>
    </row>
    <row r="1946" spans="1:9" hidden="1" x14ac:dyDescent="0.3">
      <c r="A1946" t="s">
        <v>30</v>
      </c>
      <c r="B1946" s="1">
        <v>44287</v>
      </c>
      <c r="C1946" s="2">
        <v>2741</v>
      </c>
      <c r="D1946" s="2" t="s">
        <v>3</v>
      </c>
      <c r="E1946" s="2">
        <v>1191</v>
      </c>
      <c r="F1946" s="2" t="s">
        <v>3</v>
      </c>
      <c r="G1946" s="2" t="s">
        <v>3</v>
      </c>
      <c r="H1946" s="2">
        <v>1550</v>
      </c>
      <c r="I1946" s="2">
        <v>-800</v>
      </c>
    </row>
    <row r="1947" spans="1:9" hidden="1" x14ac:dyDescent="0.3">
      <c r="A1947" t="s">
        <v>30</v>
      </c>
      <c r="B1947" s="1">
        <v>44256</v>
      </c>
      <c r="C1947" s="2">
        <v>3542</v>
      </c>
      <c r="D1947" s="2" t="s">
        <v>3</v>
      </c>
      <c r="E1947" s="2">
        <v>1192</v>
      </c>
      <c r="F1947" s="2" t="s">
        <v>3</v>
      </c>
      <c r="G1947" s="2" t="s">
        <v>3</v>
      </c>
      <c r="H1947" s="2">
        <v>2350</v>
      </c>
      <c r="I1947" s="2">
        <v>223</v>
      </c>
    </row>
    <row r="1948" spans="1:9" hidden="1" x14ac:dyDescent="0.3">
      <c r="A1948" t="s">
        <v>30</v>
      </c>
      <c r="B1948" s="1">
        <v>44228</v>
      </c>
      <c r="C1948" s="2">
        <v>3320</v>
      </c>
      <c r="D1948" s="2" t="s">
        <v>3</v>
      </c>
      <c r="E1948" s="2">
        <v>1193</v>
      </c>
      <c r="F1948" s="2" t="s">
        <v>3</v>
      </c>
      <c r="G1948" s="2" t="s">
        <v>3</v>
      </c>
      <c r="H1948" s="2">
        <v>2127</v>
      </c>
      <c r="I1948" s="2">
        <v>2</v>
      </c>
    </row>
    <row r="1949" spans="1:9" hidden="1" x14ac:dyDescent="0.3">
      <c r="A1949" t="s">
        <v>30</v>
      </c>
      <c r="B1949" s="1">
        <v>44197</v>
      </c>
      <c r="C1949" s="2">
        <v>3325</v>
      </c>
      <c r="D1949" s="2" t="s">
        <v>3</v>
      </c>
      <c r="E1949" s="2">
        <v>1200</v>
      </c>
      <c r="F1949" s="2" t="s">
        <v>3</v>
      </c>
      <c r="G1949" s="2" t="s">
        <v>3</v>
      </c>
      <c r="H1949" s="2">
        <v>2125</v>
      </c>
      <c r="I1949" s="2">
        <v>-393</v>
      </c>
    </row>
    <row r="1950" spans="1:9" hidden="1" x14ac:dyDescent="0.3">
      <c r="A1950" t="s">
        <v>30</v>
      </c>
      <c r="B1950" s="1">
        <v>44166</v>
      </c>
      <c r="C1950" s="2">
        <v>3714</v>
      </c>
      <c r="D1950" s="2" t="s">
        <v>3</v>
      </c>
      <c r="E1950" s="2">
        <v>1196</v>
      </c>
      <c r="F1950" s="2" t="s">
        <v>3</v>
      </c>
      <c r="G1950" s="2" t="s">
        <v>3</v>
      </c>
      <c r="H1950" s="2">
        <v>2518</v>
      </c>
      <c r="I1950" s="2">
        <v>-1299</v>
      </c>
    </row>
    <row r="1951" spans="1:9" hidden="1" x14ac:dyDescent="0.3">
      <c r="A1951" t="s">
        <v>30</v>
      </c>
      <c r="B1951" s="1">
        <v>44136</v>
      </c>
      <c r="C1951" s="2">
        <v>5012</v>
      </c>
      <c r="D1951" s="2" t="s">
        <v>3</v>
      </c>
      <c r="E1951" s="2">
        <v>1195</v>
      </c>
      <c r="F1951" s="2" t="s">
        <v>3</v>
      </c>
      <c r="G1951" s="2" t="s">
        <v>3</v>
      </c>
      <c r="H1951" s="2">
        <v>3817</v>
      </c>
      <c r="I1951" s="2">
        <v>565</v>
      </c>
    </row>
    <row r="1952" spans="1:9" hidden="1" x14ac:dyDescent="0.3">
      <c r="A1952" t="s">
        <v>30</v>
      </c>
      <c r="B1952" s="1">
        <v>44105</v>
      </c>
      <c r="C1952" s="2">
        <v>4426</v>
      </c>
      <c r="D1952" s="2" t="s">
        <v>3</v>
      </c>
      <c r="E1952" s="2">
        <v>1174</v>
      </c>
      <c r="F1952" s="2" t="s">
        <v>3</v>
      </c>
      <c r="G1952" s="2" t="s">
        <v>3</v>
      </c>
      <c r="H1952" s="2">
        <v>3252</v>
      </c>
      <c r="I1952" s="2">
        <v>710</v>
      </c>
    </row>
    <row r="1953" spans="1:9" hidden="1" x14ac:dyDescent="0.3">
      <c r="A1953" t="s">
        <v>30</v>
      </c>
      <c r="B1953" s="1">
        <v>44075</v>
      </c>
      <c r="C1953" s="2">
        <v>2624</v>
      </c>
      <c r="D1953" s="2" t="s">
        <v>3</v>
      </c>
      <c r="E1953" s="2">
        <v>82</v>
      </c>
      <c r="F1953" s="2" t="s">
        <v>3</v>
      </c>
      <c r="G1953" s="2" t="s">
        <v>3</v>
      </c>
      <c r="H1953" s="2">
        <v>2542</v>
      </c>
      <c r="I1953" s="2">
        <v>-951</v>
      </c>
    </row>
    <row r="1954" spans="1:9" hidden="1" x14ac:dyDescent="0.3">
      <c r="A1954" t="s">
        <v>30</v>
      </c>
      <c r="B1954" s="1">
        <v>44044</v>
      </c>
      <c r="C1954" s="2">
        <v>3575</v>
      </c>
      <c r="D1954" s="2" t="s">
        <v>3</v>
      </c>
      <c r="E1954" s="2">
        <v>82</v>
      </c>
      <c r="F1954" s="2" t="s">
        <v>3</v>
      </c>
      <c r="G1954" s="2" t="s">
        <v>3</v>
      </c>
      <c r="H1954" s="2">
        <v>3493</v>
      </c>
      <c r="I1954" s="2">
        <v>-704</v>
      </c>
    </row>
    <row r="1955" spans="1:9" hidden="1" x14ac:dyDescent="0.3">
      <c r="A1955" t="s">
        <v>30</v>
      </c>
      <c r="B1955" s="1">
        <v>44013</v>
      </c>
      <c r="C1955" s="2">
        <v>4278</v>
      </c>
      <c r="D1955" s="2" t="s">
        <v>3</v>
      </c>
      <c r="E1955" s="2">
        <v>81</v>
      </c>
      <c r="F1955" s="2" t="s">
        <v>3</v>
      </c>
      <c r="G1955" s="2" t="s">
        <v>3</v>
      </c>
      <c r="H1955" s="2">
        <v>4197</v>
      </c>
      <c r="I1955" s="2">
        <v>-1282</v>
      </c>
    </row>
    <row r="1956" spans="1:9" hidden="1" x14ac:dyDescent="0.3">
      <c r="A1956" t="s">
        <v>30</v>
      </c>
      <c r="B1956" s="1">
        <v>43983</v>
      </c>
      <c r="C1956" s="2">
        <v>5560</v>
      </c>
      <c r="D1956" s="2" t="s">
        <v>3</v>
      </c>
      <c r="E1956" s="2">
        <v>81</v>
      </c>
      <c r="F1956" s="2" t="s">
        <v>3</v>
      </c>
      <c r="G1956" s="2" t="s">
        <v>3</v>
      </c>
      <c r="H1956" s="2">
        <v>5479</v>
      </c>
      <c r="I1956" s="2">
        <v>-230</v>
      </c>
    </row>
    <row r="1957" spans="1:9" hidden="1" x14ac:dyDescent="0.3">
      <c r="A1957" t="s">
        <v>30</v>
      </c>
      <c r="B1957" s="1">
        <v>43952</v>
      </c>
      <c r="C1957" s="2">
        <v>5790</v>
      </c>
      <c r="D1957" s="2" t="s">
        <v>3</v>
      </c>
      <c r="E1957" s="2">
        <v>81</v>
      </c>
      <c r="F1957" s="2" t="s">
        <v>3</v>
      </c>
      <c r="G1957" s="2" t="s">
        <v>3</v>
      </c>
      <c r="H1957" s="2">
        <v>5709</v>
      </c>
      <c r="I1957" s="2">
        <v>-65</v>
      </c>
    </row>
    <row r="1958" spans="1:9" hidden="1" x14ac:dyDescent="0.3">
      <c r="A1958" t="s">
        <v>30</v>
      </c>
      <c r="B1958" s="1">
        <v>43922</v>
      </c>
      <c r="C1958" s="2">
        <v>5854</v>
      </c>
      <c r="D1958" s="2" t="s">
        <v>3</v>
      </c>
      <c r="E1958" s="2">
        <v>80</v>
      </c>
      <c r="F1958" s="2" t="s">
        <v>3</v>
      </c>
      <c r="G1958" s="2" t="s">
        <v>3</v>
      </c>
      <c r="H1958" s="2">
        <v>5774</v>
      </c>
      <c r="I1958" s="2">
        <v>107</v>
      </c>
    </row>
    <row r="1959" spans="1:9" hidden="1" x14ac:dyDescent="0.3">
      <c r="A1959" t="s">
        <v>30</v>
      </c>
      <c r="B1959" s="1">
        <v>43891</v>
      </c>
      <c r="C1959" s="2">
        <v>5668</v>
      </c>
      <c r="D1959" s="2" t="s">
        <v>3</v>
      </c>
      <c r="E1959" s="2">
        <v>1</v>
      </c>
      <c r="F1959" s="2" t="s">
        <v>3</v>
      </c>
      <c r="G1959" s="2" t="s">
        <v>3</v>
      </c>
      <c r="H1959" s="2">
        <v>5667</v>
      </c>
      <c r="I1959" s="2">
        <v>-1100</v>
      </c>
    </row>
    <row r="1960" spans="1:9" hidden="1" x14ac:dyDescent="0.3">
      <c r="A1960" t="s">
        <v>30</v>
      </c>
      <c r="B1960" s="1">
        <v>43862</v>
      </c>
      <c r="C1960" s="2">
        <v>6767</v>
      </c>
      <c r="D1960" s="2" t="s">
        <v>3</v>
      </c>
      <c r="E1960" s="2">
        <v>0</v>
      </c>
      <c r="F1960" s="2" t="s">
        <v>3</v>
      </c>
      <c r="G1960" s="2" t="s">
        <v>3</v>
      </c>
      <c r="H1960" s="2">
        <v>6767</v>
      </c>
      <c r="I1960" s="2">
        <v>-1691</v>
      </c>
    </row>
    <row r="1961" spans="1:9" hidden="1" x14ac:dyDescent="0.3">
      <c r="A1961" t="s">
        <v>30</v>
      </c>
      <c r="B1961" s="1">
        <v>43831</v>
      </c>
      <c r="C1961" s="2">
        <v>8484</v>
      </c>
      <c r="D1961" s="2" t="s">
        <v>3</v>
      </c>
      <c r="E1961" s="2">
        <v>26</v>
      </c>
      <c r="F1961" s="2" t="s">
        <v>3</v>
      </c>
      <c r="G1961" s="2" t="s">
        <v>3</v>
      </c>
      <c r="H1961" s="2">
        <v>8458</v>
      </c>
      <c r="I1961" s="2">
        <v>88</v>
      </c>
    </row>
    <row r="1962" spans="1:9" x14ac:dyDescent="0.3">
      <c r="A1962" t="s">
        <v>31</v>
      </c>
      <c r="B1962" s="1">
        <v>45931</v>
      </c>
      <c r="C1962" s="2">
        <v>3596627</v>
      </c>
      <c r="D1962" s="2">
        <v>4216</v>
      </c>
      <c r="E1962" s="2">
        <v>3090227</v>
      </c>
      <c r="F1962" s="2">
        <v>11645</v>
      </c>
      <c r="G1962" s="2">
        <v>-4643</v>
      </c>
      <c r="H1962" s="2">
        <v>506400</v>
      </c>
      <c r="I1962" s="2">
        <v>-7429</v>
      </c>
    </row>
    <row r="1963" spans="1:9" x14ac:dyDescent="0.3">
      <c r="A1963" t="s">
        <v>31</v>
      </c>
      <c r="B1963" s="1">
        <v>45901</v>
      </c>
      <c r="C1963" s="2">
        <v>3571524</v>
      </c>
      <c r="D1963" s="2">
        <v>-13856</v>
      </c>
      <c r="E1963" s="2">
        <v>3057695</v>
      </c>
      <c r="F1963" s="2">
        <v>-485</v>
      </c>
      <c r="G1963" s="2">
        <v>7645</v>
      </c>
      <c r="H1963" s="2">
        <v>513829</v>
      </c>
      <c r="I1963" s="2">
        <v>-13371</v>
      </c>
    </row>
    <row r="1964" spans="1:9" x14ac:dyDescent="0.3">
      <c r="A1964" t="s">
        <v>31</v>
      </c>
      <c r="B1964" s="1">
        <v>45870</v>
      </c>
      <c r="C1964" s="2">
        <v>3616981</v>
      </c>
      <c r="D1964" s="2">
        <v>38924</v>
      </c>
      <c r="E1964" s="2">
        <v>3089781</v>
      </c>
      <c r="F1964" s="2">
        <v>20106</v>
      </c>
      <c r="G1964" s="2">
        <v>8255</v>
      </c>
      <c r="H1964" s="2">
        <v>527200</v>
      </c>
      <c r="I1964" s="2">
        <v>18818</v>
      </c>
    </row>
    <row r="1965" spans="1:9" x14ac:dyDescent="0.3">
      <c r="A1965" t="s">
        <v>31</v>
      </c>
      <c r="B1965" s="1">
        <v>45839</v>
      </c>
      <c r="C1965" s="2">
        <v>3558075</v>
      </c>
      <c r="D1965" s="2">
        <v>104184</v>
      </c>
      <c r="E1965" s="2">
        <v>3049693</v>
      </c>
      <c r="F1965" s="2">
        <v>100158</v>
      </c>
      <c r="G1965" s="2">
        <v>-27188</v>
      </c>
      <c r="H1965" s="2">
        <v>508382</v>
      </c>
      <c r="I1965" s="2">
        <v>4026</v>
      </c>
    </row>
    <row r="1966" spans="1:9" x14ac:dyDescent="0.3">
      <c r="A1966" t="s">
        <v>31</v>
      </c>
      <c r="B1966" s="1">
        <v>45809</v>
      </c>
      <c r="C1966" s="2">
        <v>3455429</v>
      </c>
      <c r="D1966" s="2">
        <v>21061</v>
      </c>
      <c r="E1966" s="2">
        <v>2951073</v>
      </c>
      <c r="F1966" s="2">
        <v>14144</v>
      </c>
      <c r="G1966" s="2">
        <v>11842</v>
      </c>
      <c r="H1966" s="2">
        <v>504356</v>
      </c>
      <c r="I1966" s="2">
        <v>6917</v>
      </c>
    </row>
    <row r="1967" spans="1:9" x14ac:dyDescent="0.3">
      <c r="A1967" t="s">
        <v>31</v>
      </c>
      <c r="B1967" s="1">
        <v>45778</v>
      </c>
      <c r="C1967" s="2">
        <v>3404639</v>
      </c>
      <c r="D1967" s="2">
        <v>32007</v>
      </c>
      <c r="E1967" s="2">
        <v>2907200</v>
      </c>
      <c r="F1967" s="2">
        <v>30617</v>
      </c>
      <c r="G1967" s="2">
        <v>-29860</v>
      </c>
      <c r="H1967" s="2">
        <v>497439</v>
      </c>
      <c r="I1967" s="2">
        <v>1390</v>
      </c>
    </row>
    <row r="1968" spans="1:9" x14ac:dyDescent="0.3">
      <c r="A1968" t="s">
        <v>31</v>
      </c>
      <c r="B1968" s="1">
        <v>45748</v>
      </c>
      <c r="C1968" s="2">
        <v>3425030</v>
      </c>
      <c r="D1968" s="2">
        <v>-2289</v>
      </c>
      <c r="E1968" s="2">
        <v>2928981</v>
      </c>
      <c r="F1968" s="2">
        <v>14344</v>
      </c>
      <c r="G1968" s="2">
        <v>4823</v>
      </c>
      <c r="H1968" s="2">
        <v>496049</v>
      </c>
      <c r="I1968" s="2">
        <v>-16633</v>
      </c>
    </row>
    <row r="1969" spans="1:9" x14ac:dyDescent="0.3">
      <c r="A1969" t="s">
        <v>31</v>
      </c>
      <c r="B1969" s="1">
        <v>45717</v>
      </c>
      <c r="C1969" s="2">
        <v>3395581</v>
      </c>
      <c r="D1969" s="2">
        <v>111752</v>
      </c>
      <c r="E1969" s="2">
        <v>2882899</v>
      </c>
      <c r="F1969" s="2">
        <v>109246</v>
      </c>
      <c r="G1969" s="2">
        <v>-7105</v>
      </c>
      <c r="H1969" s="2">
        <v>512682</v>
      </c>
      <c r="I1969" s="2">
        <v>2506</v>
      </c>
    </row>
    <row r="1970" spans="1:9" x14ac:dyDescent="0.3">
      <c r="A1970" t="s">
        <v>31</v>
      </c>
      <c r="B1970" s="1">
        <v>45689</v>
      </c>
      <c r="C1970" s="2">
        <v>3282979</v>
      </c>
      <c r="D1970" s="2">
        <v>11356</v>
      </c>
      <c r="E1970" s="2">
        <v>2772803</v>
      </c>
      <c r="F1970" s="2">
        <v>5887</v>
      </c>
      <c r="G1970" s="2">
        <v>29062</v>
      </c>
      <c r="H1970" s="2">
        <v>510176</v>
      </c>
      <c r="I1970" s="2">
        <v>5469</v>
      </c>
    </row>
    <row r="1971" spans="1:9" x14ac:dyDescent="0.3">
      <c r="A1971" t="s">
        <v>31</v>
      </c>
      <c r="B1971" s="1">
        <v>45658</v>
      </c>
      <c r="C1971" s="2">
        <v>3230103</v>
      </c>
      <c r="D1971" s="2">
        <v>27112</v>
      </c>
      <c r="E1971" s="2">
        <v>2725396</v>
      </c>
      <c r="F1971" s="2">
        <v>37470</v>
      </c>
      <c r="G1971" s="2">
        <v>4671</v>
      </c>
      <c r="H1971" s="2">
        <v>504707</v>
      </c>
      <c r="I1971" s="2">
        <v>-10358</v>
      </c>
    </row>
    <row r="1972" spans="1:9" x14ac:dyDescent="0.3">
      <c r="A1972" t="s">
        <v>31</v>
      </c>
      <c r="B1972" s="1">
        <v>45627</v>
      </c>
      <c r="C1972" s="2">
        <v>3203439</v>
      </c>
      <c r="D1972" s="2">
        <v>-21826</v>
      </c>
      <c r="E1972" s="2">
        <v>2688374</v>
      </c>
      <c r="F1972" s="2">
        <v>-12126</v>
      </c>
      <c r="G1972" s="2">
        <v>-20883</v>
      </c>
      <c r="H1972" s="2">
        <v>515065</v>
      </c>
      <c r="I1972" s="2">
        <v>-9700</v>
      </c>
    </row>
    <row r="1973" spans="1:9" x14ac:dyDescent="0.3">
      <c r="A1973" t="s">
        <v>31</v>
      </c>
      <c r="B1973" s="1">
        <v>45597</v>
      </c>
      <c r="C1973" s="2">
        <v>3251375</v>
      </c>
      <c r="D1973" s="2">
        <v>17426</v>
      </c>
      <c r="E1973" s="2">
        <v>2726610</v>
      </c>
      <c r="F1973" s="2">
        <v>7064</v>
      </c>
      <c r="G1973" s="2">
        <v>12323</v>
      </c>
      <c r="H1973" s="2">
        <v>524765</v>
      </c>
      <c r="I1973" s="2">
        <v>10362</v>
      </c>
    </row>
    <row r="1974" spans="1:9" x14ac:dyDescent="0.3">
      <c r="A1974" t="s">
        <v>31</v>
      </c>
      <c r="B1974" s="1">
        <v>45566</v>
      </c>
      <c r="C1974" s="2">
        <v>3207549</v>
      </c>
      <c r="D1974" s="2">
        <v>-3541</v>
      </c>
      <c r="E1974" s="2">
        <v>2693146</v>
      </c>
      <c r="F1974" s="2">
        <v>-9196</v>
      </c>
      <c r="G1974" s="2">
        <v>-38500</v>
      </c>
      <c r="H1974" s="2">
        <v>514403</v>
      </c>
      <c r="I1974" s="2">
        <v>5655</v>
      </c>
    </row>
    <row r="1975" spans="1:9" x14ac:dyDescent="0.3">
      <c r="A1975" t="s">
        <v>31</v>
      </c>
      <c r="B1975" s="1">
        <v>45536</v>
      </c>
      <c r="C1975" s="2">
        <v>3278980</v>
      </c>
      <c r="D1975" s="2">
        <v>62117</v>
      </c>
      <c r="E1975" s="2">
        <v>2770232</v>
      </c>
      <c r="F1975" s="2">
        <v>52081</v>
      </c>
      <c r="G1975" s="2">
        <v>27536</v>
      </c>
      <c r="H1975" s="2">
        <v>508748</v>
      </c>
      <c r="I1975" s="2">
        <v>10036</v>
      </c>
    </row>
    <row r="1976" spans="1:9" x14ac:dyDescent="0.3">
      <c r="A1976" t="s">
        <v>31</v>
      </c>
      <c r="B1976" s="1">
        <v>45505</v>
      </c>
      <c r="C1976" s="2">
        <v>3149070</v>
      </c>
      <c r="D1976" s="2">
        <v>57272</v>
      </c>
      <c r="E1976" s="2">
        <v>2650358</v>
      </c>
      <c r="F1976" s="2">
        <v>35864</v>
      </c>
      <c r="G1976" s="2">
        <v>24727</v>
      </c>
      <c r="H1976" s="2">
        <v>498712</v>
      </c>
      <c r="I1976" s="2">
        <v>21408</v>
      </c>
    </row>
    <row r="1977" spans="1:9" x14ac:dyDescent="0.3">
      <c r="A1977" t="s">
        <v>31</v>
      </c>
      <c r="B1977" s="1">
        <v>45474</v>
      </c>
      <c r="C1977" s="2">
        <v>3065536</v>
      </c>
      <c r="D1977" s="2">
        <v>6449</v>
      </c>
      <c r="E1977" s="2">
        <v>2588232</v>
      </c>
      <c r="F1977" s="2">
        <v>1220</v>
      </c>
      <c r="G1977" s="2">
        <v>33483</v>
      </c>
      <c r="H1977" s="2">
        <v>477304</v>
      </c>
      <c r="I1977" s="2">
        <v>5229</v>
      </c>
    </row>
    <row r="1978" spans="1:9" x14ac:dyDescent="0.3">
      <c r="A1978" t="s">
        <v>31</v>
      </c>
      <c r="B1978" s="1">
        <v>45444</v>
      </c>
      <c r="C1978" s="2">
        <v>3047697</v>
      </c>
      <c r="D1978" s="2">
        <v>10514</v>
      </c>
      <c r="E1978" s="2">
        <v>2575622</v>
      </c>
      <c r="F1978" s="2">
        <v>21816</v>
      </c>
      <c r="G1978" s="2">
        <v>35783</v>
      </c>
      <c r="H1978" s="2">
        <v>472075</v>
      </c>
      <c r="I1978" s="2">
        <v>-11302</v>
      </c>
    </row>
    <row r="1979" spans="1:9" x14ac:dyDescent="0.3">
      <c r="A1979" t="s">
        <v>31</v>
      </c>
      <c r="B1979" s="1">
        <v>45413</v>
      </c>
      <c r="C1979" s="2">
        <v>2980534</v>
      </c>
      <c r="D1979" s="2">
        <v>36481</v>
      </c>
      <c r="E1979" s="2">
        <v>2497157</v>
      </c>
      <c r="F1979" s="2">
        <v>38545</v>
      </c>
      <c r="G1979" s="2">
        <v>13850</v>
      </c>
      <c r="H1979" s="2">
        <v>483377</v>
      </c>
      <c r="I1979" s="2">
        <v>-2064</v>
      </c>
    </row>
    <row r="1980" spans="1:9" x14ac:dyDescent="0.3">
      <c r="A1980" t="s">
        <v>31</v>
      </c>
      <c r="B1980" s="1">
        <v>45383</v>
      </c>
      <c r="C1980" s="2">
        <v>2934442</v>
      </c>
      <c r="D1980" s="2">
        <v>-1760</v>
      </c>
      <c r="E1980" s="2">
        <v>2449001</v>
      </c>
      <c r="F1980" s="2">
        <v>9157</v>
      </c>
      <c r="G1980" s="2">
        <v>-24764</v>
      </c>
      <c r="H1980" s="2">
        <v>485441</v>
      </c>
      <c r="I1980" s="2">
        <v>-10917</v>
      </c>
    </row>
    <row r="1981" spans="1:9" x14ac:dyDescent="0.3">
      <c r="A1981" t="s">
        <v>31</v>
      </c>
      <c r="B1981" s="1">
        <v>45352</v>
      </c>
      <c r="C1981" s="2">
        <v>2972493</v>
      </c>
      <c r="D1981" s="2">
        <v>31225</v>
      </c>
      <c r="E1981" s="2">
        <v>2476135</v>
      </c>
      <c r="F1981" s="2">
        <v>36091</v>
      </c>
      <c r="G1981" s="2">
        <v>12013</v>
      </c>
      <c r="H1981" s="2">
        <v>496358</v>
      </c>
      <c r="I1981" s="2">
        <v>-4866</v>
      </c>
    </row>
    <row r="1982" spans="1:9" x14ac:dyDescent="0.3">
      <c r="A1982" t="s">
        <v>31</v>
      </c>
      <c r="B1982" s="1">
        <v>45323</v>
      </c>
      <c r="C1982" s="2">
        <v>2917552</v>
      </c>
      <c r="D1982" s="2">
        <v>51886</v>
      </c>
      <c r="E1982" s="2">
        <v>2416328</v>
      </c>
      <c r="F1982" s="2">
        <v>32281</v>
      </c>
      <c r="G1982" s="2">
        <v>-9645</v>
      </c>
      <c r="H1982" s="2">
        <v>501224</v>
      </c>
      <c r="I1982" s="2">
        <v>19605</v>
      </c>
    </row>
    <row r="1983" spans="1:9" x14ac:dyDescent="0.3">
      <c r="A1983" t="s">
        <v>31</v>
      </c>
      <c r="B1983" s="1">
        <v>45292</v>
      </c>
      <c r="C1983" s="2">
        <v>2866786</v>
      </c>
      <c r="D1983" s="2">
        <v>6518</v>
      </c>
      <c r="E1983" s="2">
        <v>2385167</v>
      </c>
      <c r="F1983" s="2">
        <v>37885</v>
      </c>
      <c r="G1983" s="2">
        <v>174</v>
      </c>
      <c r="H1983" s="2">
        <v>481619</v>
      </c>
      <c r="I1983" s="2">
        <v>-31367</v>
      </c>
    </row>
    <row r="1984" spans="1:9" x14ac:dyDescent="0.3">
      <c r="A1984" t="s">
        <v>31</v>
      </c>
      <c r="B1984" s="1">
        <v>45261</v>
      </c>
      <c r="C1984" s="2">
        <v>2858790</v>
      </c>
      <c r="D1984" s="2">
        <v>19765</v>
      </c>
      <c r="E1984" s="2">
        <v>2345804</v>
      </c>
      <c r="F1984" s="2">
        <v>5161</v>
      </c>
      <c r="G1984" s="2">
        <v>34372</v>
      </c>
      <c r="H1984" s="2">
        <v>512986</v>
      </c>
      <c r="I1984" s="2">
        <v>14604</v>
      </c>
    </row>
    <row r="1985" spans="1:9" x14ac:dyDescent="0.3">
      <c r="A1985" t="s">
        <v>31</v>
      </c>
      <c r="B1985" s="1">
        <v>45231</v>
      </c>
      <c r="C1985" s="2">
        <v>2755640</v>
      </c>
      <c r="D1985" s="2">
        <v>67690</v>
      </c>
      <c r="E1985" s="2">
        <v>2257258</v>
      </c>
      <c r="F1985" s="2">
        <v>43866</v>
      </c>
      <c r="G1985" s="2">
        <v>38625</v>
      </c>
      <c r="H1985" s="2">
        <v>498382</v>
      </c>
      <c r="I1985" s="2">
        <v>23824</v>
      </c>
    </row>
    <row r="1986" spans="1:9" x14ac:dyDescent="0.3">
      <c r="A1986" t="s">
        <v>31</v>
      </c>
      <c r="B1986" s="1">
        <v>45200</v>
      </c>
      <c r="C1986" s="2">
        <v>2663110</v>
      </c>
      <c r="D1986" s="2">
        <v>-27767</v>
      </c>
      <c r="E1986" s="2">
        <v>2188552</v>
      </c>
      <c r="F1986" s="2">
        <v>-7251</v>
      </c>
      <c r="G1986" s="2">
        <v>-12532</v>
      </c>
      <c r="H1986" s="2">
        <v>474558</v>
      </c>
      <c r="I1986" s="2">
        <v>-20516</v>
      </c>
    </row>
    <row r="1987" spans="1:9" x14ac:dyDescent="0.3">
      <c r="A1987" t="s">
        <v>31</v>
      </c>
      <c r="B1987" s="1">
        <v>45170</v>
      </c>
      <c r="C1987" s="2">
        <v>2694670</v>
      </c>
      <c r="D1987" s="2">
        <v>30916</v>
      </c>
      <c r="E1987" s="2">
        <v>2199596</v>
      </c>
      <c r="F1987" s="2">
        <v>13776</v>
      </c>
      <c r="G1987" s="2">
        <v>-60195</v>
      </c>
      <c r="H1987" s="2">
        <v>495074</v>
      </c>
      <c r="I1987" s="2">
        <v>17140</v>
      </c>
    </row>
    <row r="1988" spans="1:9" x14ac:dyDescent="0.3">
      <c r="A1988" t="s">
        <v>31</v>
      </c>
      <c r="B1988" s="1">
        <v>45139</v>
      </c>
      <c r="C1988" s="2">
        <v>2733077</v>
      </c>
      <c r="D1988" s="2">
        <v>27378</v>
      </c>
      <c r="E1988" s="2">
        <v>2255143</v>
      </c>
      <c r="F1988" s="2">
        <v>-1425</v>
      </c>
      <c r="G1988" s="2">
        <v>-7072</v>
      </c>
      <c r="H1988" s="2">
        <v>477934</v>
      </c>
      <c r="I1988" s="2">
        <v>28803</v>
      </c>
    </row>
    <row r="1989" spans="1:9" x14ac:dyDescent="0.3">
      <c r="A1989" t="s">
        <v>31</v>
      </c>
      <c r="B1989" s="1">
        <v>45108</v>
      </c>
      <c r="C1989" s="2">
        <v>2699883</v>
      </c>
      <c r="D1989" s="2">
        <v>-9820</v>
      </c>
      <c r="E1989" s="2">
        <v>2250752</v>
      </c>
      <c r="F1989" s="2">
        <v>-7726</v>
      </c>
      <c r="G1989" s="2">
        <v>-7249</v>
      </c>
      <c r="H1989" s="2">
        <v>449131</v>
      </c>
      <c r="I1989" s="2">
        <v>-2094</v>
      </c>
    </row>
    <row r="1990" spans="1:9" x14ac:dyDescent="0.3">
      <c r="A1990" t="s">
        <v>31</v>
      </c>
      <c r="B1990" s="1">
        <v>45078</v>
      </c>
      <c r="C1990" s="2">
        <v>2713201</v>
      </c>
      <c r="D1990" s="2">
        <v>102249</v>
      </c>
      <c r="E1990" s="2">
        <v>2261976</v>
      </c>
      <c r="F1990" s="2">
        <v>66673</v>
      </c>
      <c r="G1990" s="2">
        <v>-15334</v>
      </c>
      <c r="H1990" s="2">
        <v>451225</v>
      </c>
      <c r="I1990" s="2">
        <v>35576</v>
      </c>
    </row>
    <row r="1991" spans="1:9" x14ac:dyDescent="0.3">
      <c r="A1991" t="s">
        <v>31</v>
      </c>
      <c r="B1991" s="1">
        <v>45047</v>
      </c>
      <c r="C1991" s="2">
        <v>2630069</v>
      </c>
      <c r="D1991" s="2">
        <v>33811</v>
      </c>
      <c r="E1991" s="2">
        <v>2214420</v>
      </c>
      <c r="F1991" s="2">
        <v>14359</v>
      </c>
      <c r="G1991" s="2">
        <v>-18994</v>
      </c>
      <c r="H1991" s="2">
        <v>415649</v>
      </c>
      <c r="I1991" s="2">
        <v>19452</v>
      </c>
    </row>
    <row r="1992" spans="1:9" x14ac:dyDescent="0.3">
      <c r="A1992" t="s">
        <v>31</v>
      </c>
      <c r="B1992" s="1">
        <v>45017</v>
      </c>
      <c r="C1992" s="2">
        <v>2619544</v>
      </c>
      <c r="D1992" s="2">
        <v>40798</v>
      </c>
      <c r="E1992" s="2">
        <v>2223347</v>
      </c>
      <c r="F1992" s="2">
        <v>38785</v>
      </c>
      <c r="G1992" s="2">
        <v>5093</v>
      </c>
      <c r="H1992" s="2">
        <v>396197</v>
      </c>
      <c r="I1992" s="2">
        <v>2013</v>
      </c>
    </row>
    <row r="1993" spans="1:9" x14ac:dyDescent="0.3">
      <c r="A1993" t="s">
        <v>31</v>
      </c>
      <c r="B1993" s="1">
        <v>44986</v>
      </c>
      <c r="C1993" s="2">
        <v>2611068</v>
      </c>
      <c r="D1993" s="2">
        <v>73929</v>
      </c>
      <c r="E1993" s="2">
        <v>2216884</v>
      </c>
      <c r="F1993" s="2">
        <v>83147</v>
      </c>
      <c r="G1993" s="2">
        <v>30795</v>
      </c>
      <c r="H1993" s="2">
        <v>394184</v>
      </c>
      <c r="I1993" s="2">
        <v>-9218</v>
      </c>
    </row>
    <row r="1994" spans="1:9" x14ac:dyDescent="0.3">
      <c r="A1994" t="s">
        <v>31</v>
      </c>
      <c r="B1994" s="1">
        <v>44958</v>
      </c>
      <c r="C1994" s="2">
        <v>2518254</v>
      </c>
      <c r="D1994" s="2">
        <v>42312</v>
      </c>
      <c r="E1994" s="2">
        <v>2114852</v>
      </c>
      <c r="F1994" s="2">
        <v>23984</v>
      </c>
      <c r="G1994" s="2">
        <v>-34515</v>
      </c>
      <c r="H1994" s="2">
        <v>403402</v>
      </c>
      <c r="I1994" s="2">
        <v>18328</v>
      </c>
    </row>
    <row r="1995" spans="1:9" hidden="1" x14ac:dyDescent="0.3">
      <c r="A1995" t="s">
        <v>31</v>
      </c>
      <c r="B1995" s="1">
        <v>44927</v>
      </c>
      <c r="C1995" s="2">
        <v>2515472</v>
      </c>
      <c r="D1995" s="2" t="s">
        <v>3</v>
      </c>
      <c r="E1995" s="2">
        <v>2130398</v>
      </c>
      <c r="F1995" s="2" t="s">
        <v>3</v>
      </c>
      <c r="G1995" s="2" t="s">
        <v>3</v>
      </c>
      <c r="H1995" s="2">
        <v>385074</v>
      </c>
      <c r="I1995" s="2">
        <v>7511</v>
      </c>
    </row>
    <row r="1996" spans="1:9" hidden="1" x14ac:dyDescent="0.3">
      <c r="A1996" t="s">
        <v>31</v>
      </c>
      <c r="B1996" s="1">
        <v>44896</v>
      </c>
      <c r="C1996" s="2">
        <v>2478270</v>
      </c>
      <c r="D1996" s="2" t="s">
        <v>3</v>
      </c>
      <c r="E1996" s="2">
        <v>2100707</v>
      </c>
      <c r="F1996" s="2" t="s">
        <v>3</v>
      </c>
      <c r="G1996" s="2" t="s">
        <v>3</v>
      </c>
      <c r="H1996" s="2">
        <v>377563</v>
      </c>
      <c r="I1996" s="2">
        <v>22537</v>
      </c>
    </row>
    <row r="1997" spans="1:9" hidden="1" x14ac:dyDescent="0.3">
      <c r="A1997" t="s">
        <v>31</v>
      </c>
      <c r="B1997" s="1">
        <v>44866</v>
      </c>
      <c r="C1997" s="2">
        <v>2462198</v>
      </c>
      <c r="D1997" s="2" t="s">
        <v>3</v>
      </c>
      <c r="E1997" s="2">
        <v>2107172</v>
      </c>
      <c r="F1997" s="2" t="s">
        <v>3</v>
      </c>
      <c r="G1997" s="2" t="s">
        <v>3</v>
      </c>
      <c r="H1997" s="2">
        <v>355026</v>
      </c>
      <c r="I1997" s="2">
        <v>-1127</v>
      </c>
    </row>
    <row r="1998" spans="1:9" hidden="1" x14ac:dyDescent="0.3">
      <c r="A1998" t="s">
        <v>31</v>
      </c>
      <c r="B1998" s="1">
        <v>44835</v>
      </c>
      <c r="C1998" s="2">
        <v>2500765</v>
      </c>
      <c r="D1998" s="2" t="s">
        <v>3</v>
      </c>
      <c r="E1998" s="2">
        <v>2144612</v>
      </c>
      <c r="F1998" s="2" t="s">
        <v>3</v>
      </c>
      <c r="G1998" s="2" t="s">
        <v>3</v>
      </c>
      <c r="H1998" s="2">
        <v>356153</v>
      </c>
      <c r="I1998" s="2">
        <v>-21407</v>
      </c>
    </row>
    <row r="1999" spans="1:9" hidden="1" x14ac:dyDescent="0.3">
      <c r="A1999" t="s">
        <v>31</v>
      </c>
      <c r="B1999" s="1">
        <v>44805</v>
      </c>
      <c r="C1999" s="2">
        <v>2556245</v>
      </c>
      <c r="D1999" s="2" t="s">
        <v>3</v>
      </c>
      <c r="E1999" s="2">
        <v>2178685</v>
      </c>
      <c r="F1999" s="2" t="s">
        <v>3</v>
      </c>
      <c r="G1999" s="2" t="s">
        <v>3</v>
      </c>
      <c r="H1999" s="2">
        <v>377560</v>
      </c>
      <c r="I1999" s="2">
        <v>-8893</v>
      </c>
    </row>
    <row r="2000" spans="1:9" hidden="1" x14ac:dyDescent="0.3">
      <c r="A2000" t="s">
        <v>31</v>
      </c>
      <c r="B2000" s="1">
        <v>44774</v>
      </c>
      <c r="C2000" s="2">
        <v>2576857</v>
      </c>
      <c r="D2000" s="2" t="s">
        <v>3</v>
      </c>
      <c r="E2000" s="2">
        <v>2190404</v>
      </c>
      <c r="F2000" s="2" t="s">
        <v>3</v>
      </c>
      <c r="G2000" s="2" t="s">
        <v>3</v>
      </c>
      <c r="H2000" s="2">
        <v>386453</v>
      </c>
      <c r="I2000" s="2">
        <v>28019</v>
      </c>
    </row>
    <row r="2001" spans="1:9" hidden="1" x14ac:dyDescent="0.3">
      <c r="A2001" t="s">
        <v>31</v>
      </c>
      <c r="B2001" s="1">
        <v>44743</v>
      </c>
      <c r="C2001" s="2">
        <v>2560983</v>
      </c>
      <c r="D2001" s="2" t="s">
        <v>3</v>
      </c>
      <c r="E2001" s="2">
        <v>2202549</v>
      </c>
      <c r="F2001" s="2" t="s">
        <v>3</v>
      </c>
      <c r="G2001" s="2" t="s">
        <v>3</v>
      </c>
      <c r="H2001" s="2">
        <v>358434</v>
      </c>
      <c r="I2001" s="2">
        <v>-19678</v>
      </c>
    </row>
    <row r="2002" spans="1:9" hidden="1" x14ac:dyDescent="0.3">
      <c r="A2002" t="s">
        <v>31</v>
      </c>
      <c r="B2002" s="1">
        <v>44713</v>
      </c>
      <c r="C2002" s="2">
        <v>2552992</v>
      </c>
      <c r="D2002" s="2" t="s">
        <v>3</v>
      </c>
      <c r="E2002" s="2">
        <v>2174880</v>
      </c>
      <c r="F2002" s="2" t="s">
        <v>3</v>
      </c>
      <c r="G2002" s="2" t="s">
        <v>3</v>
      </c>
      <c r="H2002" s="2">
        <v>378112</v>
      </c>
      <c r="I2002" s="2">
        <v>-11153</v>
      </c>
    </row>
    <row r="2003" spans="1:9" hidden="1" x14ac:dyDescent="0.3">
      <c r="A2003" t="s">
        <v>31</v>
      </c>
      <c r="B2003" s="1">
        <v>44682</v>
      </c>
      <c r="C2003" s="2">
        <v>2557388</v>
      </c>
      <c r="D2003" s="2" t="s">
        <v>3</v>
      </c>
      <c r="E2003" s="2">
        <v>2168123</v>
      </c>
      <c r="F2003" s="2" t="s">
        <v>3</v>
      </c>
      <c r="G2003" s="2" t="s">
        <v>3</v>
      </c>
      <c r="H2003" s="2">
        <v>389265</v>
      </c>
      <c r="I2003" s="2">
        <v>-24806</v>
      </c>
    </row>
    <row r="2004" spans="1:9" hidden="1" x14ac:dyDescent="0.3">
      <c r="A2004" t="s">
        <v>31</v>
      </c>
      <c r="B2004" s="1">
        <v>44652</v>
      </c>
      <c r="C2004" s="2">
        <v>2531705</v>
      </c>
      <c r="D2004" s="2" t="s">
        <v>3</v>
      </c>
      <c r="E2004" s="2">
        <v>2117634</v>
      </c>
      <c r="F2004" s="2" t="s">
        <v>3</v>
      </c>
      <c r="G2004" s="2" t="s">
        <v>3</v>
      </c>
      <c r="H2004" s="2">
        <v>414071</v>
      </c>
      <c r="I2004" s="2">
        <v>-26012</v>
      </c>
    </row>
    <row r="2005" spans="1:9" hidden="1" x14ac:dyDescent="0.3">
      <c r="A2005" t="s">
        <v>31</v>
      </c>
      <c r="B2005" s="1">
        <v>44621</v>
      </c>
      <c r="C2005" s="2">
        <v>2590104</v>
      </c>
      <c r="D2005" s="2" t="s">
        <v>3</v>
      </c>
      <c r="E2005" s="2">
        <v>2150021</v>
      </c>
      <c r="F2005" s="2" t="s">
        <v>3</v>
      </c>
      <c r="G2005" s="2" t="s">
        <v>3</v>
      </c>
      <c r="H2005" s="2">
        <v>440083</v>
      </c>
      <c r="I2005" s="2">
        <v>-21846</v>
      </c>
    </row>
    <row r="2006" spans="1:9" hidden="1" x14ac:dyDescent="0.3">
      <c r="A2006" t="s">
        <v>31</v>
      </c>
      <c r="B2006" s="1">
        <v>44593</v>
      </c>
      <c r="C2006" s="2">
        <v>2605921</v>
      </c>
      <c r="D2006" s="2" t="s">
        <v>3</v>
      </c>
      <c r="E2006" s="2">
        <v>2143992</v>
      </c>
      <c r="F2006" s="2" t="s">
        <v>3</v>
      </c>
      <c r="G2006" s="2" t="s">
        <v>3</v>
      </c>
      <c r="H2006" s="2">
        <v>461929</v>
      </c>
      <c r="I2006" s="2">
        <v>14273</v>
      </c>
    </row>
    <row r="2007" spans="1:9" hidden="1" x14ac:dyDescent="0.3">
      <c r="A2007" t="s">
        <v>31</v>
      </c>
      <c r="B2007" s="1">
        <v>44562</v>
      </c>
      <c r="C2007" s="2">
        <v>2552028</v>
      </c>
      <c r="D2007" s="2" t="s">
        <v>3</v>
      </c>
      <c r="E2007" s="2">
        <v>2104372</v>
      </c>
      <c r="F2007" s="2" t="s">
        <v>3</v>
      </c>
      <c r="G2007" s="2" t="s">
        <v>3</v>
      </c>
      <c r="H2007" s="2">
        <v>447656</v>
      </c>
      <c r="I2007" s="2">
        <v>-7133</v>
      </c>
    </row>
    <row r="2008" spans="1:9" hidden="1" x14ac:dyDescent="0.3">
      <c r="A2008" t="s">
        <v>31</v>
      </c>
      <c r="B2008" s="1">
        <v>44531</v>
      </c>
      <c r="C2008" s="2">
        <v>2619834</v>
      </c>
      <c r="D2008" s="2" t="s">
        <v>3</v>
      </c>
      <c r="E2008" s="2">
        <v>2165045</v>
      </c>
      <c r="F2008" s="2" t="s">
        <v>3</v>
      </c>
      <c r="G2008" s="2" t="s">
        <v>3</v>
      </c>
      <c r="H2008" s="2">
        <v>454789</v>
      </c>
      <c r="I2008" s="2">
        <v>2484</v>
      </c>
    </row>
    <row r="2009" spans="1:9" hidden="1" x14ac:dyDescent="0.3">
      <c r="A2009" t="s">
        <v>31</v>
      </c>
      <c r="B2009" s="1">
        <v>44501</v>
      </c>
      <c r="C2009" s="2">
        <v>2555752</v>
      </c>
      <c r="D2009" s="2" t="s">
        <v>3</v>
      </c>
      <c r="E2009" s="2">
        <v>2103447</v>
      </c>
      <c r="F2009" s="2" t="s">
        <v>3</v>
      </c>
      <c r="G2009" s="2" t="s">
        <v>3</v>
      </c>
      <c r="H2009" s="2">
        <v>452305</v>
      </c>
      <c r="I2009" s="2">
        <v>12232</v>
      </c>
    </row>
    <row r="2010" spans="1:9" hidden="1" x14ac:dyDescent="0.3">
      <c r="A2010" t="s">
        <v>31</v>
      </c>
      <c r="B2010" s="1">
        <v>44470</v>
      </c>
      <c r="C2010" s="2">
        <v>2505069</v>
      </c>
      <c r="D2010" s="2" t="s">
        <v>3</v>
      </c>
      <c r="E2010" s="2">
        <v>2064996</v>
      </c>
      <c r="F2010" s="2" t="s">
        <v>3</v>
      </c>
      <c r="G2010" s="2" t="s">
        <v>3</v>
      </c>
      <c r="H2010" s="2">
        <v>440073</v>
      </c>
      <c r="I2010" s="2">
        <v>16684</v>
      </c>
    </row>
    <row r="2011" spans="1:9" hidden="1" x14ac:dyDescent="0.3">
      <c r="A2011" t="s">
        <v>31</v>
      </c>
      <c r="B2011" s="1">
        <v>44440</v>
      </c>
      <c r="C2011" s="2">
        <v>2489931</v>
      </c>
      <c r="D2011" s="2" t="s">
        <v>3</v>
      </c>
      <c r="E2011" s="2">
        <v>2066542</v>
      </c>
      <c r="F2011" s="2" t="s">
        <v>3</v>
      </c>
      <c r="G2011" s="2" t="s">
        <v>3</v>
      </c>
      <c r="H2011" s="2">
        <v>423389</v>
      </c>
      <c r="I2011" s="2">
        <v>1271</v>
      </c>
    </row>
    <row r="2012" spans="1:9" hidden="1" x14ac:dyDescent="0.3">
      <c r="A2012" t="s">
        <v>31</v>
      </c>
      <c r="B2012" s="1">
        <v>44409</v>
      </c>
      <c r="C2012" s="2">
        <v>2491913</v>
      </c>
      <c r="D2012" s="2" t="s">
        <v>3</v>
      </c>
      <c r="E2012" s="2">
        <v>2069795</v>
      </c>
      <c r="F2012" s="2" t="s">
        <v>3</v>
      </c>
      <c r="G2012" s="2" t="s">
        <v>3</v>
      </c>
      <c r="H2012" s="2">
        <v>422118</v>
      </c>
      <c r="I2012" s="2">
        <v>7017</v>
      </c>
    </row>
    <row r="2013" spans="1:9" hidden="1" x14ac:dyDescent="0.3">
      <c r="A2013" t="s">
        <v>31</v>
      </c>
      <c r="B2013" s="1">
        <v>44378</v>
      </c>
      <c r="C2013" s="2">
        <v>2452697</v>
      </c>
      <c r="D2013" s="2" t="s">
        <v>3</v>
      </c>
      <c r="E2013" s="2">
        <v>2037596</v>
      </c>
      <c r="F2013" s="2" t="s">
        <v>3</v>
      </c>
      <c r="G2013" s="2" t="s">
        <v>3</v>
      </c>
      <c r="H2013" s="2">
        <v>415101</v>
      </c>
      <c r="I2013" s="2">
        <v>-8115</v>
      </c>
    </row>
    <row r="2014" spans="1:9" hidden="1" x14ac:dyDescent="0.3">
      <c r="A2014" t="s">
        <v>31</v>
      </c>
      <c r="B2014" s="1">
        <v>44348</v>
      </c>
      <c r="C2014" s="2">
        <v>2465386</v>
      </c>
      <c r="D2014" s="2" t="s">
        <v>3</v>
      </c>
      <c r="E2014" s="2">
        <v>2042170</v>
      </c>
      <c r="F2014" s="2" t="s">
        <v>3</v>
      </c>
      <c r="G2014" s="2" t="s">
        <v>3</v>
      </c>
      <c r="H2014" s="2">
        <v>423216</v>
      </c>
      <c r="I2014" s="2">
        <v>46394</v>
      </c>
    </row>
    <row r="2015" spans="1:9" hidden="1" x14ac:dyDescent="0.3">
      <c r="A2015" t="s">
        <v>31</v>
      </c>
      <c r="B2015" s="1">
        <v>44317</v>
      </c>
      <c r="C2015" s="2">
        <v>2196277</v>
      </c>
      <c r="D2015" s="2" t="s">
        <v>3</v>
      </c>
      <c r="E2015" s="2">
        <v>1819455</v>
      </c>
      <c r="F2015" s="2" t="s">
        <v>3</v>
      </c>
      <c r="G2015" s="2" t="s">
        <v>3</v>
      </c>
      <c r="H2015" s="2">
        <v>376822</v>
      </c>
      <c r="I2015" s="2">
        <v>-7384</v>
      </c>
    </row>
    <row r="2016" spans="1:9" hidden="1" x14ac:dyDescent="0.3">
      <c r="A2016" t="s">
        <v>31</v>
      </c>
      <c r="B2016" s="1">
        <v>44287</v>
      </c>
      <c r="C2016" s="2">
        <v>2152002</v>
      </c>
      <c r="D2016" s="2" t="s">
        <v>3</v>
      </c>
      <c r="E2016" s="2">
        <v>1767796</v>
      </c>
      <c r="F2016" s="2" t="s">
        <v>3</v>
      </c>
      <c r="G2016" s="2" t="s">
        <v>3</v>
      </c>
      <c r="H2016" s="2">
        <v>384206</v>
      </c>
      <c r="I2016" s="2">
        <v>-17837</v>
      </c>
    </row>
    <row r="2017" spans="1:9" hidden="1" x14ac:dyDescent="0.3">
      <c r="A2017" t="s">
        <v>31</v>
      </c>
      <c r="B2017" s="1">
        <v>44256</v>
      </c>
      <c r="C2017" s="2">
        <v>2145389</v>
      </c>
      <c r="D2017" s="2" t="s">
        <v>3</v>
      </c>
      <c r="E2017" s="2">
        <v>1743346</v>
      </c>
      <c r="F2017" s="2" t="s">
        <v>3</v>
      </c>
      <c r="G2017" s="2" t="s">
        <v>3</v>
      </c>
      <c r="H2017" s="2">
        <v>402043</v>
      </c>
      <c r="I2017" s="2">
        <v>-18890</v>
      </c>
    </row>
    <row r="2018" spans="1:9" hidden="1" x14ac:dyDescent="0.3">
      <c r="A2018" t="s">
        <v>31</v>
      </c>
      <c r="B2018" s="1">
        <v>44228</v>
      </c>
      <c r="C2018" s="2">
        <v>2171458</v>
      </c>
      <c r="D2018" s="2" t="s">
        <v>3</v>
      </c>
      <c r="E2018" s="2">
        <v>1750525</v>
      </c>
      <c r="F2018" s="2" t="s">
        <v>3</v>
      </c>
      <c r="G2018" s="2" t="s">
        <v>3</v>
      </c>
      <c r="H2018" s="2">
        <v>420933</v>
      </c>
      <c r="I2018" s="2">
        <v>-612</v>
      </c>
    </row>
    <row r="2019" spans="1:9" hidden="1" x14ac:dyDescent="0.3">
      <c r="A2019" t="s">
        <v>31</v>
      </c>
      <c r="B2019" s="1">
        <v>44197</v>
      </c>
      <c r="C2019" s="2">
        <v>2173774</v>
      </c>
      <c r="D2019" s="2" t="s">
        <v>3</v>
      </c>
      <c r="E2019" s="2">
        <v>1752229</v>
      </c>
      <c r="F2019" s="2" t="s">
        <v>3</v>
      </c>
      <c r="G2019" s="2" t="s">
        <v>3</v>
      </c>
      <c r="H2019" s="2">
        <v>421545</v>
      </c>
      <c r="I2019" s="2">
        <v>-22839</v>
      </c>
    </row>
    <row r="2020" spans="1:9" hidden="1" x14ac:dyDescent="0.3">
      <c r="A2020" t="s">
        <v>31</v>
      </c>
      <c r="B2020" s="1">
        <v>44166</v>
      </c>
      <c r="C2020" s="2">
        <v>2179624</v>
      </c>
      <c r="D2020" s="2" t="s">
        <v>3</v>
      </c>
      <c r="E2020" s="2">
        <v>1735240</v>
      </c>
      <c r="F2020" s="2" t="s">
        <v>3</v>
      </c>
      <c r="G2020" s="2" t="s">
        <v>3</v>
      </c>
      <c r="H2020" s="2">
        <v>444384</v>
      </c>
      <c r="I2020" s="2">
        <v>23972</v>
      </c>
    </row>
    <row r="2021" spans="1:9" hidden="1" x14ac:dyDescent="0.3">
      <c r="A2021" t="s">
        <v>31</v>
      </c>
      <c r="B2021" s="1">
        <v>44136</v>
      </c>
      <c r="C2021" s="2">
        <v>2137431</v>
      </c>
      <c r="D2021" s="2" t="s">
        <v>3</v>
      </c>
      <c r="E2021" s="2">
        <v>1717019</v>
      </c>
      <c r="F2021" s="2" t="s">
        <v>3</v>
      </c>
      <c r="G2021" s="2" t="s">
        <v>3</v>
      </c>
      <c r="H2021" s="2">
        <v>420412</v>
      </c>
      <c r="I2021" s="2">
        <v>6166</v>
      </c>
    </row>
    <row r="2022" spans="1:9" hidden="1" x14ac:dyDescent="0.3">
      <c r="A2022" t="s">
        <v>31</v>
      </c>
      <c r="B2022" s="1">
        <v>44105</v>
      </c>
      <c r="C2022" s="2">
        <v>2164876</v>
      </c>
      <c r="D2022" s="2" t="s">
        <v>3</v>
      </c>
      <c r="E2022" s="2">
        <v>1750630</v>
      </c>
      <c r="F2022" s="2" t="s">
        <v>3</v>
      </c>
      <c r="G2022" s="2" t="s">
        <v>3</v>
      </c>
      <c r="H2022" s="2">
        <v>414246</v>
      </c>
      <c r="I2022" s="2">
        <v>-3558</v>
      </c>
    </row>
    <row r="2023" spans="1:9" hidden="1" x14ac:dyDescent="0.3">
      <c r="A2023" t="s">
        <v>31</v>
      </c>
      <c r="B2023" s="1">
        <v>44075</v>
      </c>
      <c r="C2023" s="2">
        <v>2133964</v>
      </c>
      <c r="D2023" s="2" t="s">
        <v>3</v>
      </c>
      <c r="E2023" s="2">
        <v>1716160</v>
      </c>
      <c r="F2023" s="2" t="s">
        <v>3</v>
      </c>
      <c r="G2023" s="2" t="s">
        <v>3</v>
      </c>
      <c r="H2023" s="2">
        <v>417804</v>
      </c>
      <c r="I2023" s="2">
        <v>-35708</v>
      </c>
    </row>
    <row r="2024" spans="1:9" hidden="1" x14ac:dyDescent="0.3">
      <c r="A2024" t="s">
        <v>31</v>
      </c>
      <c r="B2024" s="1">
        <v>44044</v>
      </c>
      <c r="C2024" s="2">
        <v>2148675</v>
      </c>
      <c r="D2024" s="2" t="s">
        <v>3</v>
      </c>
      <c r="E2024" s="2">
        <v>1695163</v>
      </c>
      <c r="F2024" s="2" t="s">
        <v>3</v>
      </c>
      <c r="G2024" s="2" t="s">
        <v>3</v>
      </c>
      <c r="H2024" s="2">
        <v>453512</v>
      </c>
      <c r="I2024" s="2">
        <v>14821</v>
      </c>
    </row>
    <row r="2025" spans="1:9" hidden="1" x14ac:dyDescent="0.3">
      <c r="A2025" t="s">
        <v>31</v>
      </c>
      <c r="B2025" s="1">
        <v>44013</v>
      </c>
      <c r="C2025" s="2">
        <v>2142705</v>
      </c>
      <c r="D2025" s="2" t="s">
        <v>3</v>
      </c>
      <c r="E2025" s="2">
        <v>1704014</v>
      </c>
      <c r="F2025" s="2" t="s">
        <v>3</v>
      </c>
      <c r="G2025" s="2" t="s">
        <v>3</v>
      </c>
      <c r="H2025" s="2">
        <v>438691</v>
      </c>
      <c r="I2025" s="2">
        <v>-8062</v>
      </c>
    </row>
    <row r="2026" spans="1:9" hidden="1" x14ac:dyDescent="0.3">
      <c r="A2026" t="s">
        <v>31</v>
      </c>
      <c r="B2026" s="1">
        <v>43983</v>
      </c>
      <c r="C2026" s="2">
        <v>2176688</v>
      </c>
      <c r="D2026" s="2" t="s">
        <v>3</v>
      </c>
      <c r="E2026" s="2">
        <v>1729935</v>
      </c>
      <c r="F2026" s="2" t="s">
        <v>3</v>
      </c>
      <c r="G2026" s="2" t="s">
        <v>3</v>
      </c>
      <c r="H2026" s="2">
        <v>446753</v>
      </c>
      <c r="I2026" s="2">
        <v>51068</v>
      </c>
    </row>
    <row r="2027" spans="1:9" hidden="1" x14ac:dyDescent="0.3">
      <c r="A2027" t="s">
        <v>31</v>
      </c>
      <c r="B2027" s="1">
        <v>43952</v>
      </c>
      <c r="C2027" s="2">
        <v>2135027</v>
      </c>
      <c r="D2027" s="2" t="s">
        <v>3</v>
      </c>
      <c r="E2027" s="2">
        <v>1739342</v>
      </c>
      <c r="F2027" s="2" t="s">
        <v>3</v>
      </c>
      <c r="G2027" s="2" t="s">
        <v>3</v>
      </c>
      <c r="H2027" s="2">
        <v>395685</v>
      </c>
      <c r="I2027" s="2">
        <v>36582</v>
      </c>
    </row>
    <row r="2028" spans="1:9" hidden="1" x14ac:dyDescent="0.3">
      <c r="A2028" t="s">
        <v>31</v>
      </c>
      <c r="B2028" s="1">
        <v>43922</v>
      </c>
      <c r="C2028" s="2">
        <v>2094463</v>
      </c>
      <c r="D2028" s="2" t="s">
        <v>3</v>
      </c>
      <c r="E2028" s="2">
        <v>1735360</v>
      </c>
      <c r="F2028" s="2" t="s">
        <v>3</v>
      </c>
      <c r="G2028" s="2" t="s">
        <v>3</v>
      </c>
      <c r="H2028" s="2">
        <v>359103</v>
      </c>
      <c r="I2028" s="2">
        <v>86377</v>
      </c>
    </row>
    <row r="2029" spans="1:9" hidden="1" x14ac:dyDescent="0.3">
      <c r="A2029" t="s">
        <v>31</v>
      </c>
      <c r="B2029" s="1">
        <v>43891</v>
      </c>
      <c r="C2029" s="2">
        <v>2115423</v>
      </c>
      <c r="D2029" s="2" t="s">
        <v>3</v>
      </c>
      <c r="E2029" s="2">
        <v>1842697</v>
      </c>
      <c r="F2029" s="2" t="s">
        <v>3</v>
      </c>
      <c r="G2029" s="2" t="s">
        <v>3</v>
      </c>
      <c r="H2029" s="2">
        <v>272726</v>
      </c>
      <c r="I2029" s="2">
        <v>9481</v>
      </c>
    </row>
    <row r="2030" spans="1:9" hidden="1" x14ac:dyDescent="0.3">
      <c r="A2030" t="s">
        <v>31</v>
      </c>
      <c r="B2030" s="1">
        <v>43862</v>
      </c>
      <c r="C2030" s="2">
        <v>2194937</v>
      </c>
      <c r="D2030" s="2" t="s">
        <v>3</v>
      </c>
      <c r="E2030" s="2">
        <v>1931692</v>
      </c>
      <c r="F2030" s="2" t="s">
        <v>3</v>
      </c>
      <c r="G2030" s="2" t="s">
        <v>3</v>
      </c>
      <c r="H2030" s="2">
        <v>263245</v>
      </c>
      <c r="I2030" s="2">
        <v>14965</v>
      </c>
    </row>
    <row r="2031" spans="1:9" hidden="1" x14ac:dyDescent="0.3">
      <c r="A2031" t="s">
        <v>31</v>
      </c>
      <c r="B2031" s="1">
        <v>43831</v>
      </c>
      <c r="C2031" s="2">
        <v>2101817</v>
      </c>
      <c r="D2031" s="2" t="s">
        <v>3</v>
      </c>
      <c r="E2031" s="2">
        <v>1853537</v>
      </c>
      <c r="F2031" s="2" t="s">
        <v>3</v>
      </c>
      <c r="G2031" s="2" t="s">
        <v>3</v>
      </c>
      <c r="H2031" s="2">
        <v>248280</v>
      </c>
      <c r="I2031" s="2">
        <v>-30807</v>
      </c>
    </row>
    <row r="2032" spans="1:9" x14ac:dyDescent="0.3">
      <c r="A2032" t="s">
        <v>32</v>
      </c>
      <c r="B2032" s="1">
        <v>45931</v>
      </c>
      <c r="C2032" s="2">
        <v>1987622</v>
      </c>
      <c r="D2032" s="2">
        <v>3673</v>
      </c>
      <c r="E2032" s="2">
        <v>1649303</v>
      </c>
      <c r="F2032" s="2">
        <v>10628</v>
      </c>
      <c r="G2032" s="2">
        <v>3693</v>
      </c>
      <c r="H2032" s="2">
        <v>338319</v>
      </c>
      <c r="I2032" s="2">
        <v>-6955</v>
      </c>
    </row>
    <row r="2033" spans="1:9" x14ac:dyDescent="0.3">
      <c r="A2033" t="s">
        <v>32</v>
      </c>
      <c r="B2033" s="1">
        <v>45901</v>
      </c>
      <c r="C2033" s="2">
        <v>1955729</v>
      </c>
      <c r="D2033" s="2">
        <v>17277</v>
      </c>
      <c r="E2033" s="2">
        <v>1610455</v>
      </c>
      <c r="F2033" s="2">
        <v>15628</v>
      </c>
      <c r="G2033" s="2">
        <v>12013</v>
      </c>
      <c r="H2033" s="2">
        <v>345274</v>
      </c>
      <c r="I2033" s="2">
        <v>1649</v>
      </c>
    </row>
    <row r="2034" spans="1:9" x14ac:dyDescent="0.3">
      <c r="A2034" t="s">
        <v>32</v>
      </c>
      <c r="B2034" s="1">
        <v>45870</v>
      </c>
      <c r="C2034" s="2">
        <v>1949535</v>
      </c>
      <c r="D2034" s="2">
        <v>26546</v>
      </c>
      <c r="E2034" s="2">
        <v>1605910</v>
      </c>
      <c r="F2034" s="2">
        <v>14756</v>
      </c>
      <c r="G2034" s="2">
        <v>5831</v>
      </c>
      <c r="H2034" s="2">
        <v>343625</v>
      </c>
      <c r="I2034" s="2">
        <v>11790</v>
      </c>
    </row>
    <row r="2035" spans="1:9" x14ac:dyDescent="0.3">
      <c r="A2035" t="s">
        <v>32</v>
      </c>
      <c r="B2035" s="1">
        <v>45839</v>
      </c>
      <c r="C2035" s="2">
        <v>1909037</v>
      </c>
      <c r="D2035" s="2">
        <v>44619</v>
      </c>
      <c r="E2035" s="2">
        <v>1577202</v>
      </c>
      <c r="F2035" s="2">
        <v>40451</v>
      </c>
      <c r="G2035" s="2">
        <v>-10364</v>
      </c>
      <c r="H2035" s="2">
        <v>331835</v>
      </c>
      <c r="I2035" s="2">
        <v>4168</v>
      </c>
    </row>
    <row r="2036" spans="1:9" x14ac:dyDescent="0.3">
      <c r="A2036" t="s">
        <v>32</v>
      </c>
      <c r="B2036" s="1">
        <v>45809</v>
      </c>
      <c r="C2036" s="2">
        <v>1864808</v>
      </c>
      <c r="D2036" s="2">
        <v>-2124</v>
      </c>
      <c r="E2036" s="2">
        <v>1537141</v>
      </c>
      <c r="F2036" s="2">
        <v>-2439</v>
      </c>
      <c r="G2036" s="2">
        <v>1822</v>
      </c>
      <c r="H2036" s="2">
        <v>327667</v>
      </c>
      <c r="I2036" s="2">
        <v>315</v>
      </c>
    </row>
    <row r="2037" spans="1:9" x14ac:dyDescent="0.3">
      <c r="A2037" t="s">
        <v>32</v>
      </c>
      <c r="B2037" s="1">
        <v>45778</v>
      </c>
      <c r="C2037" s="2">
        <v>1869452</v>
      </c>
      <c r="D2037" s="2">
        <v>9982</v>
      </c>
      <c r="E2037" s="2">
        <v>1542100</v>
      </c>
      <c r="F2037" s="2">
        <v>11167</v>
      </c>
      <c r="G2037" s="2">
        <v>-11502</v>
      </c>
      <c r="H2037" s="2">
        <v>327352</v>
      </c>
      <c r="I2037" s="2">
        <v>-1185</v>
      </c>
    </row>
    <row r="2038" spans="1:9" x14ac:dyDescent="0.3">
      <c r="A2038" t="s">
        <v>32</v>
      </c>
      <c r="B2038" s="1">
        <v>45748</v>
      </c>
      <c r="C2038" s="2">
        <v>1875637</v>
      </c>
      <c r="D2038" s="2">
        <v>-17279</v>
      </c>
      <c r="E2038" s="2">
        <v>1547100</v>
      </c>
      <c r="F2038" s="2">
        <v>-20597</v>
      </c>
      <c r="G2038" s="2">
        <v>5988</v>
      </c>
      <c r="H2038" s="2">
        <v>328537</v>
      </c>
      <c r="I2038" s="2">
        <v>3318</v>
      </c>
    </row>
    <row r="2039" spans="1:9" x14ac:dyDescent="0.3">
      <c r="A2039" t="s">
        <v>32</v>
      </c>
      <c r="B2039" s="1">
        <v>45717</v>
      </c>
      <c r="C2039" s="2">
        <v>1857616</v>
      </c>
      <c r="D2039" s="2">
        <v>16378</v>
      </c>
      <c r="E2039" s="2">
        <v>1532397</v>
      </c>
      <c r="F2039" s="2">
        <v>23361</v>
      </c>
      <c r="G2039" s="2">
        <v>-3713</v>
      </c>
      <c r="H2039" s="2">
        <v>325219</v>
      </c>
      <c r="I2039" s="2">
        <v>-6983</v>
      </c>
    </row>
    <row r="2040" spans="1:9" x14ac:dyDescent="0.3">
      <c r="A2040" t="s">
        <v>32</v>
      </c>
      <c r="B2040" s="1">
        <v>45689</v>
      </c>
      <c r="C2040" s="2">
        <v>1833538</v>
      </c>
      <c r="D2040" s="2">
        <v>8682</v>
      </c>
      <c r="E2040" s="2">
        <v>1501336</v>
      </c>
      <c r="F2040" s="2">
        <v>8036</v>
      </c>
      <c r="G2040" s="2">
        <v>22666</v>
      </c>
      <c r="H2040" s="2">
        <v>332202</v>
      </c>
      <c r="I2040" s="2">
        <v>646</v>
      </c>
    </row>
    <row r="2041" spans="1:9" x14ac:dyDescent="0.3">
      <c r="A2041" t="s">
        <v>32</v>
      </c>
      <c r="B2041" s="1">
        <v>45658</v>
      </c>
      <c r="C2041" s="2">
        <v>1781298</v>
      </c>
      <c r="D2041" s="2">
        <v>-36977</v>
      </c>
      <c r="E2041" s="2">
        <v>1449742</v>
      </c>
      <c r="F2041" s="2">
        <v>-17037</v>
      </c>
      <c r="G2041" s="2">
        <v>8504</v>
      </c>
      <c r="H2041" s="2">
        <v>331556</v>
      </c>
      <c r="I2041" s="2">
        <v>-19940</v>
      </c>
    </row>
    <row r="2042" spans="1:9" x14ac:dyDescent="0.3">
      <c r="A2042" t="s">
        <v>32</v>
      </c>
      <c r="B2042" s="1">
        <v>45627</v>
      </c>
      <c r="C2042" s="2">
        <v>1795304</v>
      </c>
      <c r="D2042" s="2">
        <v>14973</v>
      </c>
      <c r="E2042" s="2">
        <v>1443808</v>
      </c>
      <c r="F2042" s="2">
        <v>17096</v>
      </c>
      <c r="G2042" s="2">
        <v>-9394</v>
      </c>
      <c r="H2042" s="2">
        <v>351496</v>
      </c>
      <c r="I2042" s="2">
        <v>-2123</v>
      </c>
    </row>
    <row r="2043" spans="1:9" x14ac:dyDescent="0.3">
      <c r="A2043" t="s">
        <v>32</v>
      </c>
      <c r="B2043" s="1">
        <v>45597</v>
      </c>
      <c r="C2043" s="2">
        <v>1793839</v>
      </c>
      <c r="D2043" s="2">
        <v>23836</v>
      </c>
      <c r="E2043" s="2">
        <v>1440220</v>
      </c>
      <c r="F2043" s="2">
        <v>12749</v>
      </c>
      <c r="G2043" s="2">
        <v>9657</v>
      </c>
      <c r="H2043" s="2">
        <v>353619</v>
      </c>
      <c r="I2043" s="2">
        <v>11087</v>
      </c>
    </row>
    <row r="2044" spans="1:9" x14ac:dyDescent="0.3">
      <c r="A2044" t="s">
        <v>32</v>
      </c>
      <c r="B2044" s="1">
        <v>45566</v>
      </c>
      <c r="C2044" s="2">
        <v>1766302</v>
      </c>
      <c r="D2044" s="2">
        <v>-13030</v>
      </c>
      <c r="E2044" s="2">
        <v>1423770</v>
      </c>
      <c r="F2044" s="2">
        <v>-22800</v>
      </c>
      <c r="G2044" s="2">
        <v>-17391</v>
      </c>
      <c r="H2044" s="2">
        <v>342532</v>
      </c>
      <c r="I2044" s="2">
        <v>9770</v>
      </c>
    </row>
    <row r="2045" spans="1:9" x14ac:dyDescent="0.3">
      <c r="A2045" t="s">
        <v>32</v>
      </c>
      <c r="B2045" s="1">
        <v>45536</v>
      </c>
      <c r="C2045" s="2">
        <v>1804313</v>
      </c>
      <c r="D2045" s="2">
        <v>57785</v>
      </c>
      <c r="E2045" s="2">
        <v>1471551</v>
      </c>
      <c r="F2045" s="2">
        <v>45698</v>
      </c>
      <c r="G2045" s="2">
        <v>18987</v>
      </c>
      <c r="H2045" s="2">
        <v>332762</v>
      </c>
      <c r="I2045" s="2">
        <v>12087</v>
      </c>
    </row>
    <row r="2046" spans="1:9" x14ac:dyDescent="0.3">
      <c r="A2046" t="s">
        <v>32</v>
      </c>
      <c r="B2046" s="1">
        <v>45505</v>
      </c>
      <c r="C2046" s="2">
        <v>1710832</v>
      </c>
      <c r="D2046" s="2">
        <v>22243</v>
      </c>
      <c r="E2046" s="2">
        <v>1390157</v>
      </c>
      <c r="F2046" s="2">
        <v>15318</v>
      </c>
      <c r="G2046" s="2">
        <v>14836</v>
      </c>
      <c r="H2046" s="2">
        <v>320675</v>
      </c>
      <c r="I2046" s="2">
        <v>6925</v>
      </c>
    </row>
    <row r="2047" spans="1:9" x14ac:dyDescent="0.3">
      <c r="A2047" t="s">
        <v>32</v>
      </c>
      <c r="B2047" s="1">
        <v>45474</v>
      </c>
      <c r="C2047" s="2">
        <v>1667083</v>
      </c>
      <c r="D2047" s="2">
        <v>5269</v>
      </c>
      <c r="E2047" s="2">
        <v>1353333</v>
      </c>
      <c r="F2047" s="2">
        <v>-15213</v>
      </c>
      <c r="G2047" s="2">
        <v>24303</v>
      </c>
      <c r="H2047" s="2">
        <v>313750</v>
      </c>
      <c r="I2047" s="2">
        <v>20482</v>
      </c>
    </row>
    <row r="2048" spans="1:9" x14ac:dyDescent="0.3">
      <c r="A2048" t="s">
        <v>32</v>
      </c>
      <c r="B2048" s="1">
        <v>45444</v>
      </c>
      <c r="C2048" s="2">
        <v>1645333</v>
      </c>
      <c r="D2048" s="2">
        <v>12106</v>
      </c>
      <c r="E2048" s="2">
        <v>1352065</v>
      </c>
      <c r="F2048" s="2">
        <v>23392</v>
      </c>
      <c r="G2048" s="2">
        <v>24325</v>
      </c>
      <c r="H2048" s="2">
        <v>293268</v>
      </c>
      <c r="I2048" s="2">
        <v>-11286</v>
      </c>
    </row>
    <row r="2049" spans="1:9" x14ac:dyDescent="0.3">
      <c r="A2049" t="s">
        <v>32</v>
      </c>
      <c r="B2049" s="1">
        <v>45413</v>
      </c>
      <c r="C2049" s="2">
        <v>1608607</v>
      </c>
      <c r="D2049" s="2">
        <v>14044</v>
      </c>
      <c r="E2049" s="2">
        <v>1304053</v>
      </c>
      <c r="F2049" s="2">
        <v>11269</v>
      </c>
      <c r="G2049" s="2">
        <v>12890</v>
      </c>
      <c r="H2049" s="2">
        <v>304554</v>
      </c>
      <c r="I2049" s="2">
        <v>2775</v>
      </c>
    </row>
    <row r="2050" spans="1:9" x14ac:dyDescent="0.3">
      <c r="A2050" t="s">
        <v>32</v>
      </c>
      <c r="B2050" s="1">
        <v>45383</v>
      </c>
      <c r="C2050" s="2">
        <v>1580782</v>
      </c>
      <c r="D2050" s="2">
        <v>10193</v>
      </c>
      <c r="E2050" s="2">
        <v>1279003</v>
      </c>
      <c r="F2050" s="2">
        <v>17450</v>
      </c>
      <c r="G2050" s="2">
        <v>-6571</v>
      </c>
      <c r="H2050" s="2">
        <v>301779</v>
      </c>
      <c r="I2050" s="2">
        <v>-7257</v>
      </c>
    </row>
    <row r="2051" spans="1:9" x14ac:dyDescent="0.3">
      <c r="A2051" t="s">
        <v>32</v>
      </c>
      <c r="B2051" s="1">
        <v>45352</v>
      </c>
      <c r="C2051" s="2">
        <v>1586469</v>
      </c>
      <c r="D2051" s="2">
        <v>-17538</v>
      </c>
      <c r="E2051" s="2">
        <v>1277433</v>
      </c>
      <c r="F2051" s="2">
        <v>-5204</v>
      </c>
      <c r="G2051" s="2">
        <v>8057</v>
      </c>
      <c r="H2051" s="2">
        <v>309036</v>
      </c>
      <c r="I2051" s="2">
        <v>-12334</v>
      </c>
    </row>
    <row r="2052" spans="1:9" x14ac:dyDescent="0.3">
      <c r="A2052" t="s">
        <v>32</v>
      </c>
      <c r="B2052" s="1">
        <v>45323</v>
      </c>
      <c r="C2052" s="2">
        <v>1580255</v>
      </c>
      <c r="D2052" s="2">
        <v>38462</v>
      </c>
      <c r="E2052" s="2">
        <v>1258885</v>
      </c>
      <c r="F2052" s="2">
        <v>25523</v>
      </c>
      <c r="G2052" s="2">
        <v>1855</v>
      </c>
      <c r="H2052" s="2">
        <v>321370</v>
      </c>
      <c r="I2052" s="2">
        <v>12939</v>
      </c>
    </row>
    <row r="2053" spans="1:9" x14ac:dyDescent="0.3">
      <c r="A2053" t="s">
        <v>32</v>
      </c>
      <c r="B2053" s="1">
        <v>45292</v>
      </c>
      <c r="C2053" s="2">
        <v>1525876</v>
      </c>
      <c r="D2053" s="2">
        <v>-428</v>
      </c>
      <c r="E2053" s="2">
        <v>1217445</v>
      </c>
      <c r="F2053" s="2">
        <v>19273</v>
      </c>
      <c r="G2053" s="2">
        <v>-358</v>
      </c>
      <c r="H2053" s="2">
        <v>308431</v>
      </c>
      <c r="I2053" s="2">
        <v>-19701</v>
      </c>
    </row>
    <row r="2054" spans="1:9" x14ac:dyDescent="0.3">
      <c r="A2054" t="s">
        <v>32</v>
      </c>
      <c r="B2054" s="1">
        <v>45261</v>
      </c>
      <c r="C2054" s="2">
        <v>1532416</v>
      </c>
      <c r="D2054" s="2">
        <v>-3918</v>
      </c>
      <c r="E2054" s="2">
        <v>1204284</v>
      </c>
      <c r="F2054" s="2">
        <v>-11221</v>
      </c>
      <c r="G2054" s="2">
        <v>17937</v>
      </c>
      <c r="H2054" s="2">
        <v>328132</v>
      </c>
      <c r="I2054" s="2">
        <v>7303</v>
      </c>
    </row>
    <row r="2055" spans="1:9" x14ac:dyDescent="0.3">
      <c r="A2055" t="s">
        <v>32</v>
      </c>
      <c r="B2055" s="1">
        <v>45231</v>
      </c>
      <c r="C2055" s="2">
        <v>1506901</v>
      </c>
      <c r="D2055" s="2">
        <v>81748</v>
      </c>
      <c r="E2055" s="2">
        <v>1186072</v>
      </c>
      <c r="F2055" s="2">
        <v>54750</v>
      </c>
      <c r="G2055" s="2">
        <v>20555</v>
      </c>
      <c r="H2055" s="2">
        <v>320829</v>
      </c>
      <c r="I2055" s="2">
        <v>26998</v>
      </c>
    </row>
    <row r="2056" spans="1:9" x14ac:dyDescent="0.3">
      <c r="A2056" t="s">
        <v>32</v>
      </c>
      <c r="B2056" s="1">
        <v>45200</v>
      </c>
      <c r="C2056" s="2">
        <v>1422788</v>
      </c>
      <c r="D2056" s="2">
        <v>-25275</v>
      </c>
      <c r="E2056" s="2">
        <v>1128957</v>
      </c>
      <c r="F2056" s="2">
        <v>-13480</v>
      </c>
      <c r="G2056" s="2">
        <v>-8239</v>
      </c>
      <c r="H2056" s="2">
        <v>293831</v>
      </c>
      <c r="I2056" s="2">
        <v>-11795</v>
      </c>
    </row>
    <row r="2057" spans="1:9" x14ac:dyDescent="0.3">
      <c r="A2057" t="s">
        <v>32</v>
      </c>
      <c r="B2057" s="1">
        <v>45170</v>
      </c>
      <c r="C2057" s="2">
        <v>1466583</v>
      </c>
      <c r="D2057" s="2">
        <v>26203</v>
      </c>
      <c r="E2057" s="2">
        <v>1160957</v>
      </c>
      <c r="F2057" s="2">
        <v>10446</v>
      </c>
      <c r="G2057" s="2">
        <v>-27496</v>
      </c>
      <c r="H2057" s="2">
        <v>305626</v>
      </c>
      <c r="I2057" s="2">
        <v>15757</v>
      </c>
    </row>
    <row r="2058" spans="1:9" x14ac:dyDescent="0.3">
      <c r="A2058" t="s">
        <v>32</v>
      </c>
      <c r="B2058" s="1">
        <v>45139</v>
      </c>
      <c r="C2058" s="2">
        <v>1472308</v>
      </c>
      <c r="D2058" s="2">
        <v>39987</v>
      </c>
      <c r="E2058" s="2">
        <v>1182439</v>
      </c>
      <c r="F2058" s="2">
        <v>8389</v>
      </c>
      <c r="G2058" s="2">
        <v>-4632</v>
      </c>
      <c r="H2058" s="2">
        <v>289869</v>
      </c>
      <c r="I2058" s="2">
        <v>31598</v>
      </c>
    </row>
    <row r="2059" spans="1:9" x14ac:dyDescent="0.3">
      <c r="A2059" t="s">
        <v>32</v>
      </c>
      <c r="B2059" s="1">
        <v>45108</v>
      </c>
      <c r="C2059" s="2">
        <v>1437045</v>
      </c>
      <c r="D2059" s="2">
        <v>-4165</v>
      </c>
      <c r="E2059" s="2">
        <v>1178774</v>
      </c>
      <c r="F2059" s="2">
        <v>3178</v>
      </c>
      <c r="G2059" s="2">
        <v>-6334</v>
      </c>
      <c r="H2059" s="2">
        <v>258271</v>
      </c>
      <c r="I2059" s="2">
        <v>-7343</v>
      </c>
    </row>
    <row r="2060" spans="1:9" x14ac:dyDescent="0.3">
      <c r="A2060" t="s">
        <v>32</v>
      </c>
      <c r="B2060" s="1">
        <v>45078</v>
      </c>
      <c r="C2060" s="2">
        <v>1435460</v>
      </c>
      <c r="D2060" s="2">
        <v>74982</v>
      </c>
      <c r="E2060" s="2">
        <v>1169846</v>
      </c>
      <c r="F2060" s="2">
        <v>56143</v>
      </c>
      <c r="G2060" s="2">
        <v>-9308</v>
      </c>
      <c r="H2060" s="2">
        <v>265614</v>
      </c>
      <c r="I2060" s="2">
        <v>18839</v>
      </c>
    </row>
    <row r="2061" spans="1:9" x14ac:dyDescent="0.3">
      <c r="A2061" t="s">
        <v>32</v>
      </c>
      <c r="B2061" s="1">
        <v>45047</v>
      </c>
      <c r="C2061" s="2">
        <v>1388937</v>
      </c>
      <c r="D2061" s="2">
        <v>15251</v>
      </c>
      <c r="E2061" s="2">
        <v>1142162</v>
      </c>
      <c r="F2061" s="2">
        <v>-12579</v>
      </c>
      <c r="G2061" s="2">
        <v>-10154</v>
      </c>
      <c r="H2061" s="2">
        <v>246775</v>
      </c>
      <c r="I2061" s="2">
        <v>27830</v>
      </c>
    </row>
    <row r="2062" spans="1:9" x14ac:dyDescent="0.3">
      <c r="A2062" t="s">
        <v>32</v>
      </c>
      <c r="B2062" s="1">
        <v>45017</v>
      </c>
      <c r="C2062" s="2">
        <v>1368669</v>
      </c>
      <c r="D2062" s="2">
        <v>33707</v>
      </c>
      <c r="E2062" s="2">
        <v>1149724</v>
      </c>
      <c r="F2062" s="2">
        <v>26508</v>
      </c>
      <c r="G2062" s="2">
        <v>542</v>
      </c>
      <c r="H2062" s="2">
        <v>218945</v>
      </c>
      <c r="I2062" s="2">
        <v>7199</v>
      </c>
    </row>
    <row r="2063" spans="1:9" x14ac:dyDescent="0.3">
      <c r="A2063" t="s">
        <v>32</v>
      </c>
      <c r="B2063" s="1">
        <v>44986</v>
      </c>
      <c r="C2063" s="2">
        <v>1355494</v>
      </c>
      <c r="D2063" s="2">
        <v>296</v>
      </c>
      <c r="E2063" s="2">
        <v>1143748</v>
      </c>
      <c r="F2063" s="2">
        <v>5916</v>
      </c>
      <c r="G2063" s="2">
        <v>19287</v>
      </c>
      <c r="H2063" s="2">
        <v>211746</v>
      </c>
      <c r="I2063" s="2">
        <v>-5620</v>
      </c>
    </row>
    <row r="2064" spans="1:9" x14ac:dyDescent="0.3">
      <c r="A2064" t="s">
        <v>32</v>
      </c>
      <c r="B2064" s="1">
        <v>44958</v>
      </c>
      <c r="C2064" s="2">
        <v>1340493</v>
      </c>
      <c r="D2064" s="2">
        <v>24823</v>
      </c>
      <c r="E2064" s="2">
        <v>1123127</v>
      </c>
      <c r="F2064" s="2">
        <v>11744</v>
      </c>
      <c r="G2064" s="2">
        <v>-19344</v>
      </c>
      <c r="H2064" s="2">
        <v>217366</v>
      </c>
      <c r="I2064" s="2">
        <v>13079</v>
      </c>
    </row>
    <row r="2065" spans="1:9" hidden="1" x14ac:dyDescent="0.3">
      <c r="A2065" t="s">
        <v>32</v>
      </c>
      <c r="B2065" s="1">
        <v>44927</v>
      </c>
      <c r="C2065" s="2">
        <v>1329214</v>
      </c>
      <c r="D2065" s="2" t="s">
        <v>3</v>
      </c>
      <c r="E2065" s="2">
        <v>1124927</v>
      </c>
      <c r="F2065" s="2" t="s">
        <v>3</v>
      </c>
      <c r="G2065" s="2" t="s">
        <v>3</v>
      </c>
      <c r="H2065" s="2">
        <v>204287</v>
      </c>
      <c r="I2065" s="2">
        <v>-3012</v>
      </c>
    </row>
    <row r="2066" spans="1:9" hidden="1" x14ac:dyDescent="0.3">
      <c r="A2066" t="s">
        <v>32</v>
      </c>
      <c r="B2066" s="1">
        <v>44896</v>
      </c>
      <c r="C2066" s="2">
        <v>1350825</v>
      </c>
      <c r="D2066" s="2" t="s">
        <v>3</v>
      </c>
      <c r="E2066" s="2">
        <v>1143526</v>
      </c>
      <c r="F2066" s="2" t="s">
        <v>3</v>
      </c>
      <c r="G2066" s="2" t="s">
        <v>3</v>
      </c>
      <c r="H2066" s="2">
        <v>207299</v>
      </c>
      <c r="I2066" s="2">
        <v>3316</v>
      </c>
    </row>
    <row r="2067" spans="1:9" hidden="1" x14ac:dyDescent="0.3">
      <c r="A2067" t="s">
        <v>32</v>
      </c>
      <c r="B2067" s="1">
        <v>44866</v>
      </c>
      <c r="C2067" s="2">
        <v>1330696</v>
      </c>
      <c r="D2067" s="2" t="s">
        <v>3</v>
      </c>
      <c r="E2067" s="2">
        <v>1126713</v>
      </c>
      <c r="F2067" s="2" t="s">
        <v>3</v>
      </c>
      <c r="G2067" s="2" t="s">
        <v>3</v>
      </c>
      <c r="H2067" s="2">
        <v>203983</v>
      </c>
      <c r="I2067" s="2">
        <v>782</v>
      </c>
    </row>
    <row r="2068" spans="1:9" hidden="1" x14ac:dyDescent="0.3">
      <c r="A2068" t="s">
        <v>32</v>
      </c>
      <c r="B2068" s="1">
        <v>44835</v>
      </c>
      <c r="C2068" s="2">
        <v>1328111</v>
      </c>
      <c r="D2068" s="2" t="s">
        <v>3</v>
      </c>
      <c r="E2068" s="2">
        <v>1124910</v>
      </c>
      <c r="F2068" s="2" t="s">
        <v>3</v>
      </c>
      <c r="G2068" s="2" t="s">
        <v>3</v>
      </c>
      <c r="H2068" s="2">
        <v>203201</v>
      </c>
      <c r="I2068" s="2">
        <v>-24128</v>
      </c>
    </row>
    <row r="2069" spans="1:9" hidden="1" x14ac:dyDescent="0.3">
      <c r="A2069" t="s">
        <v>32</v>
      </c>
      <c r="B2069" s="1">
        <v>44805</v>
      </c>
      <c r="C2069" s="2">
        <v>1338726</v>
      </c>
      <c r="D2069" s="2" t="s">
        <v>3</v>
      </c>
      <c r="E2069" s="2">
        <v>1111397</v>
      </c>
      <c r="F2069" s="2" t="s">
        <v>3</v>
      </c>
      <c r="G2069" s="2" t="s">
        <v>3</v>
      </c>
      <c r="H2069" s="2">
        <v>227329</v>
      </c>
      <c r="I2069" s="2">
        <v>-10702</v>
      </c>
    </row>
    <row r="2070" spans="1:9" hidden="1" x14ac:dyDescent="0.3">
      <c r="A2070" t="s">
        <v>32</v>
      </c>
      <c r="B2070" s="1">
        <v>44774</v>
      </c>
      <c r="C2070" s="2">
        <v>1349817</v>
      </c>
      <c r="D2070" s="2" t="s">
        <v>3</v>
      </c>
      <c r="E2070" s="2">
        <v>1111786</v>
      </c>
      <c r="F2070" s="2" t="s">
        <v>3</v>
      </c>
      <c r="G2070" s="2" t="s">
        <v>3</v>
      </c>
      <c r="H2070" s="2">
        <v>238031</v>
      </c>
      <c r="I2070" s="2">
        <v>12278</v>
      </c>
    </row>
    <row r="2071" spans="1:9" hidden="1" x14ac:dyDescent="0.3">
      <c r="A2071" t="s">
        <v>32</v>
      </c>
      <c r="B2071" s="1">
        <v>44743</v>
      </c>
      <c r="C2071" s="2">
        <v>1346622</v>
      </c>
      <c r="D2071" s="2" t="s">
        <v>3</v>
      </c>
      <c r="E2071" s="2">
        <v>1120869</v>
      </c>
      <c r="F2071" s="2" t="s">
        <v>3</v>
      </c>
      <c r="G2071" s="2" t="s">
        <v>3</v>
      </c>
      <c r="H2071" s="2">
        <v>225753</v>
      </c>
      <c r="I2071" s="2">
        <v>-15656</v>
      </c>
    </row>
    <row r="2072" spans="1:9" hidden="1" x14ac:dyDescent="0.3">
      <c r="A2072" t="s">
        <v>32</v>
      </c>
      <c r="B2072" s="1">
        <v>44713</v>
      </c>
      <c r="C2072" s="2">
        <v>1354603</v>
      </c>
      <c r="D2072" s="2" t="s">
        <v>3</v>
      </c>
      <c r="E2072" s="2">
        <v>1113194</v>
      </c>
      <c r="F2072" s="2" t="s">
        <v>3</v>
      </c>
      <c r="G2072" s="2" t="s">
        <v>3</v>
      </c>
      <c r="H2072" s="2">
        <v>241409</v>
      </c>
      <c r="I2072" s="2">
        <v>-4799</v>
      </c>
    </row>
    <row r="2073" spans="1:9" hidden="1" x14ac:dyDescent="0.3">
      <c r="A2073" t="s">
        <v>32</v>
      </c>
      <c r="B2073" s="1">
        <v>44682</v>
      </c>
      <c r="C2073" s="2">
        <v>1345273</v>
      </c>
      <c r="D2073" s="2" t="s">
        <v>3</v>
      </c>
      <c r="E2073" s="2">
        <v>1099065</v>
      </c>
      <c r="F2073" s="2" t="s">
        <v>3</v>
      </c>
      <c r="G2073" s="2" t="s">
        <v>3</v>
      </c>
      <c r="H2073" s="2">
        <v>246208</v>
      </c>
      <c r="I2073" s="2">
        <v>-25664</v>
      </c>
    </row>
    <row r="2074" spans="1:9" hidden="1" x14ac:dyDescent="0.3">
      <c r="A2074" t="s">
        <v>32</v>
      </c>
      <c r="B2074" s="1">
        <v>44652</v>
      </c>
      <c r="C2074" s="2">
        <v>1351751</v>
      </c>
      <c r="D2074" s="2" t="s">
        <v>3</v>
      </c>
      <c r="E2074" s="2">
        <v>1079879</v>
      </c>
      <c r="F2074" s="2" t="s">
        <v>3</v>
      </c>
      <c r="G2074" s="2" t="s">
        <v>3</v>
      </c>
      <c r="H2074" s="2">
        <v>271872</v>
      </c>
      <c r="I2074" s="2">
        <v>-16706</v>
      </c>
    </row>
    <row r="2075" spans="1:9" hidden="1" x14ac:dyDescent="0.3">
      <c r="A2075" t="s">
        <v>32</v>
      </c>
      <c r="B2075" s="1">
        <v>44621</v>
      </c>
      <c r="C2075" s="2">
        <v>1383134</v>
      </c>
      <c r="D2075" s="2" t="s">
        <v>3</v>
      </c>
      <c r="E2075" s="2">
        <v>1094556</v>
      </c>
      <c r="F2075" s="2" t="s">
        <v>3</v>
      </c>
      <c r="G2075" s="2" t="s">
        <v>3</v>
      </c>
      <c r="H2075" s="2">
        <v>288578</v>
      </c>
      <c r="I2075" s="2">
        <v>-18582</v>
      </c>
    </row>
    <row r="2076" spans="1:9" hidden="1" x14ac:dyDescent="0.3">
      <c r="A2076" t="s">
        <v>32</v>
      </c>
      <c r="B2076" s="1">
        <v>44593</v>
      </c>
      <c r="C2076" s="2">
        <v>1383553</v>
      </c>
      <c r="D2076" s="2" t="s">
        <v>3</v>
      </c>
      <c r="E2076" s="2">
        <v>1076393</v>
      </c>
      <c r="F2076" s="2" t="s">
        <v>3</v>
      </c>
      <c r="G2076" s="2" t="s">
        <v>3</v>
      </c>
      <c r="H2076" s="2">
        <v>307160</v>
      </c>
      <c r="I2076" s="2">
        <v>4640</v>
      </c>
    </row>
    <row r="2077" spans="1:9" hidden="1" x14ac:dyDescent="0.3">
      <c r="A2077" t="s">
        <v>32</v>
      </c>
      <c r="B2077" s="1">
        <v>44562</v>
      </c>
      <c r="C2077" s="2">
        <v>1336200</v>
      </c>
      <c r="D2077" s="2" t="s">
        <v>3</v>
      </c>
      <c r="E2077" s="2">
        <v>1033680</v>
      </c>
      <c r="F2077" s="2" t="s">
        <v>3</v>
      </c>
      <c r="G2077" s="2" t="s">
        <v>3</v>
      </c>
      <c r="H2077" s="2">
        <v>302520</v>
      </c>
      <c r="I2077" s="2">
        <v>-7089</v>
      </c>
    </row>
    <row r="2078" spans="1:9" hidden="1" x14ac:dyDescent="0.3">
      <c r="A2078" t="s">
        <v>32</v>
      </c>
      <c r="B2078" s="1">
        <v>44531</v>
      </c>
      <c r="C2078" s="2">
        <v>1402511</v>
      </c>
      <c r="D2078" s="2" t="s">
        <v>3</v>
      </c>
      <c r="E2078" s="2">
        <v>1092902</v>
      </c>
      <c r="F2078" s="2" t="s">
        <v>3</v>
      </c>
      <c r="G2078" s="2" t="s">
        <v>3</v>
      </c>
      <c r="H2078" s="2">
        <v>309609</v>
      </c>
      <c r="I2078" s="2">
        <v>-8224</v>
      </c>
    </row>
    <row r="2079" spans="1:9" hidden="1" x14ac:dyDescent="0.3">
      <c r="A2079" t="s">
        <v>32</v>
      </c>
      <c r="B2079" s="1">
        <v>44501</v>
      </c>
      <c r="C2079" s="2">
        <v>1359397</v>
      </c>
      <c r="D2079" s="2" t="s">
        <v>3</v>
      </c>
      <c r="E2079" s="2">
        <v>1041564</v>
      </c>
      <c r="F2079" s="2" t="s">
        <v>3</v>
      </c>
      <c r="G2079" s="2" t="s">
        <v>3</v>
      </c>
      <c r="H2079" s="2">
        <v>317833</v>
      </c>
      <c r="I2079" s="2">
        <v>9743</v>
      </c>
    </row>
    <row r="2080" spans="1:9" hidden="1" x14ac:dyDescent="0.3">
      <c r="A2080" t="s">
        <v>32</v>
      </c>
      <c r="B2080" s="1">
        <v>44470</v>
      </c>
      <c r="C2080" s="2">
        <v>1344663</v>
      </c>
      <c r="D2080" s="2" t="s">
        <v>3</v>
      </c>
      <c r="E2080" s="2">
        <v>1036573</v>
      </c>
      <c r="F2080" s="2" t="s">
        <v>3</v>
      </c>
      <c r="G2080" s="2" t="s">
        <v>3</v>
      </c>
      <c r="H2080" s="2">
        <v>308090</v>
      </c>
      <c r="I2080" s="2">
        <v>19186</v>
      </c>
    </row>
    <row r="2081" spans="1:9" hidden="1" x14ac:dyDescent="0.3">
      <c r="A2081" t="s">
        <v>32</v>
      </c>
      <c r="B2081" s="1">
        <v>44440</v>
      </c>
      <c r="C2081" s="2">
        <v>1324188</v>
      </c>
      <c r="D2081" s="2" t="s">
        <v>3</v>
      </c>
      <c r="E2081" s="2">
        <v>1035284</v>
      </c>
      <c r="F2081" s="2" t="s">
        <v>3</v>
      </c>
      <c r="G2081" s="2" t="s">
        <v>3</v>
      </c>
      <c r="H2081" s="2">
        <v>288904</v>
      </c>
      <c r="I2081" s="2">
        <v>-2413</v>
      </c>
    </row>
    <row r="2082" spans="1:9" hidden="1" x14ac:dyDescent="0.3">
      <c r="A2082" t="s">
        <v>32</v>
      </c>
      <c r="B2082" s="1">
        <v>44409</v>
      </c>
      <c r="C2082" s="2">
        <v>1325364</v>
      </c>
      <c r="D2082" s="2" t="s">
        <v>3</v>
      </c>
      <c r="E2082" s="2">
        <v>1034047</v>
      </c>
      <c r="F2082" s="2" t="s">
        <v>3</v>
      </c>
      <c r="G2082" s="2" t="s">
        <v>3</v>
      </c>
      <c r="H2082" s="2">
        <v>291317</v>
      </c>
      <c r="I2082" s="2">
        <v>3212</v>
      </c>
    </row>
    <row r="2083" spans="1:9" hidden="1" x14ac:dyDescent="0.3">
      <c r="A2083" t="s">
        <v>32</v>
      </c>
      <c r="B2083" s="1">
        <v>44378</v>
      </c>
      <c r="C2083" s="2">
        <v>1306759</v>
      </c>
      <c r="D2083" s="2" t="s">
        <v>3</v>
      </c>
      <c r="E2083" s="2">
        <v>1018654</v>
      </c>
      <c r="F2083" s="2" t="s">
        <v>3</v>
      </c>
      <c r="G2083" s="2" t="s">
        <v>3</v>
      </c>
      <c r="H2083" s="2">
        <v>288105</v>
      </c>
      <c r="I2083" s="2">
        <v>-9777</v>
      </c>
    </row>
    <row r="2084" spans="1:9" hidden="1" x14ac:dyDescent="0.3">
      <c r="A2084" t="s">
        <v>32</v>
      </c>
      <c r="B2084" s="1">
        <v>44348</v>
      </c>
      <c r="C2084" s="2">
        <v>1329119</v>
      </c>
      <c r="D2084" s="2" t="s">
        <v>3</v>
      </c>
      <c r="E2084" s="2">
        <v>1031237</v>
      </c>
      <c r="F2084" s="2" t="s">
        <v>3</v>
      </c>
      <c r="G2084" s="2" t="s">
        <v>3</v>
      </c>
      <c r="H2084" s="2">
        <v>297882</v>
      </c>
      <c r="I2084" s="2">
        <v>32248</v>
      </c>
    </row>
    <row r="2085" spans="1:9" hidden="1" x14ac:dyDescent="0.3">
      <c r="A2085" t="s">
        <v>32</v>
      </c>
      <c r="B2085" s="1">
        <v>44317</v>
      </c>
      <c r="C2085" s="2">
        <v>1166687</v>
      </c>
      <c r="D2085" s="2" t="s">
        <v>3</v>
      </c>
      <c r="E2085" s="2">
        <v>901053</v>
      </c>
      <c r="F2085" s="2" t="s">
        <v>3</v>
      </c>
      <c r="G2085" s="2" t="s">
        <v>3</v>
      </c>
      <c r="H2085" s="2">
        <v>265634</v>
      </c>
      <c r="I2085" s="2">
        <v>-4296</v>
      </c>
    </row>
    <row r="2086" spans="1:9" hidden="1" x14ac:dyDescent="0.3">
      <c r="A2086" t="s">
        <v>32</v>
      </c>
      <c r="B2086" s="1">
        <v>44287</v>
      </c>
      <c r="C2086" s="2">
        <v>1168951</v>
      </c>
      <c r="D2086" s="2" t="s">
        <v>3</v>
      </c>
      <c r="E2086" s="2">
        <v>899021</v>
      </c>
      <c r="F2086" s="2" t="s">
        <v>3</v>
      </c>
      <c r="G2086" s="2" t="s">
        <v>3</v>
      </c>
      <c r="H2086" s="2">
        <v>269930</v>
      </c>
      <c r="I2086" s="2">
        <v>-13876</v>
      </c>
    </row>
    <row r="2087" spans="1:9" hidden="1" x14ac:dyDescent="0.3">
      <c r="A2087" t="s">
        <v>32</v>
      </c>
      <c r="B2087" s="1">
        <v>44256</v>
      </c>
      <c r="C2087" s="2">
        <v>1172623</v>
      </c>
      <c r="D2087" s="2" t="s">
        <v>3</v>
      </c>
      <c r="E2087" s="2">
        <v>888817</v>
      </c>
      <c r="F2087" s="2" t="s">
        <v>3</v>
      </c>
      <c r="G2087" s="2" t="s">
        <v>3</v>
      </c>
      <c r="H2087" s="2">
        <v>283806</v>
      </c>
      <c r="I2087" s="2">
        <v>-11689</v>
      </c>
    </row>
    <row r="2088" spans="1:9" hidden="1" x14ac:dyDescent="0.3">
      <c r="A2088" t="s">
        <v>32</v>
      </c>
      <c r="B2088" s="1">
        <v>44228</v>
      </c>
      <c r="C2088" s="2">
        <v>1169970</v>
      </c>
      <c r="D2088" s="2" t="s">
        <v>3</v>
      </c>
      <c r="E2088" s="2">
        <v>874475</v>
      </c>
      <c r="F2088" s="2" t="s">
        <v>3</v>
      </c>
      <c r="G2088" s="2" t="s">
        <v>3</v>
      </c>
      <c r="H2088" s="2">
        <v>295495</v>
      </c>
      <c r="I2088" s="2">
        <v>-4692</v>
      </c>
    </row>
    <row r="2089" spans="1:9" hidden="1" x14ac:dyDescent="0.3">
      <c r="A2089" t="s">
        <v>32</v>
      </c>
      <c r="B2089" s="1">
        <v>44197</v>
      </c>
      <c r="C2089" s="2">
        <v>1200313</v>
      </c>
      <c r="D2089" s="2" t="s">
        <v>3</v>
      </c>
      <c r="E2089" s="2">
        <v>900126</v>
      </c>
      <c r="F2089" s="2" t="s">
        <v>3</v>
      </c>
      <c r="G2089" s="2" t="s">
        <v>3</v>
      </c>
      <c r="H2089" s="2">
        <v>300187</v>
      </c>
      <c r="I2089" s="2">
        <v>-11813</v>
      </c>
    </row>
    <row r="2090" spans="1:9" hidden="1" x14ac:dyDescent="0.3">
      <c r="A2090" t="s">
        <v>32</v>
      </c>
      <c r="B2090" s="1">
        <v>44166</v>
      </c>
      <c r="C2090" s="2">
        <v>1213628</v>
      </c>
      <c r="D2090" s="2" t="s">
        <v>3</v>
      </c>
      <c r="E2090" s="2">
        <v>901628</v>
      </c>
      <c r="F2090" s="2" t="s">
        <v>3</v>
      </c>
      <c r="G2090" s="2" t="s">
        <v>3</v>
      </c>
      <c r="H2090" s="2">
        <v>312000</v>
      </c>
      <c r="I2090" s="2">
        <v>17033</v>
      </c>
    </row>
    <row r="2091" spans="1:9" hidden="1" x14ac:dyDescent="0.3">
      <c r="A2091" t="s">
        <v>32</v>
      </c>
      <c r="B2091" s="1">
        <v>44136</v>
      </c>
      <c r="C2091" s="2">
        <v>1197265</v>
      </c>
      <c r="D2091" s="2" t="s">
        <v>3</v>
      </c>
      <c r="E2091" s="2">
        <v>902298</v>
      </c>
      <c r="F2091" s="2" t="s">
        <v>3</v>
      </c>
      <c r="G2091" s="2" t="s">
        <v>3</v>
      </c>
      <c r="H2091" s="2">
        <v>294967</v>
      </c>
      <c r="I2091" s="2">
        <v>11114</v>
      </c>
    </row>
    <row r="2092" spans="1:9" hidden="1" x14ac:dyDescent="0.3">
      <c r="A2092" t="s">
        <v>32</v>
      </c>
      <c r="B2092" s="1">
        <v>44105</v>
      </c>
      <c r="C2092" s="2">
        <v>1204652</v>
      </c>
      <c r="D2092" s="2" t="s">
        <v>3</v>
      </c>
      <c r="E2092" s="2">
        <v>920799</v>
      </c>
      <c r="F2092" s="2" t="s">
        <v>3</v>
      </c>
      <c r="G2092" s="2" t="s">
        <v>3</v>
      </c>
      <c r="H2092" s="2">
        <v>283853</v>
      </c>
      <c r="I2092" s="2">
        <v>-112</v>
      </c>
    </row>
    <row r="2093" spans="1:9" hidden="1" x14ac:dyDescent="0.3">
      <c r="A2093" t="s">
        <v>32</v>
      </c>
      <c r="B2093" s="1">
        <v>44075</v>
      </c>
      <c r="C2093" s="2">
        <v>1183109</v>
      </c>
      <c r="D2093" s="2" t="s">
        <v>3</v>
      </c>
      <c r="E2093" s="2">
        <v>899144</v>
      </c>
      <c r="F2093" s="2" t="s">
        <v>3</v>
      </c>
      <c r="G2093" s="2" t="s">
        <v>3</v>
      </c>
      <c r="H2093" s="2">
        <v>283965</v>
      </c>
      <c r="I2093" s="2">
        <v>-24094</v>
      </c>
    </row>
    <row r="2094" spans="1:9" hidden="1" x14ac:dyDescent="0.3">
      <c r="A2094" t="s">
        <v>32</v>
      </c>
      <c r="B2094" s="1">
        <v>44044</v>
      </c>
      <c r="C2094" s="2">
        <v>1206470</v>
      </c>
      <c r="D2094" s="2" t="s">
        <v>3</v>
      </c>
      <c r="E2094" s="2">
        <v>898411</v>
      </c>
      <c r="F2094" s="2" t="s">
        <v>3</v>
      </c>
      <c r="G2094" s="2" t="s">
        <v>3</v>
      </c>
      <c r="H2094" s="2">
        <v>308059</v>
      </c>
      <c r="I2094" s="2">
        <v>6720</v>
      </c>
    </row>
    <row r="2095" spans="1:9" hidden="1" x14ac:dyDescent="0.3">
      <c r="A2095" t="s">
        <v>32</v>
      </c>
      <c r="B2095" s="1">
        <v>44013</v>
      </c>
      <c r="C2095" s="2">
        <v>1193540</v>
      </c>
      <c r="D2095" s="2" t="s">
        <v>3</v>
      </c>
      <c r="E2095" s="2">
        <v>892201</v>
      </c>
      <c r="F2095" s="2" t="s">
        <v>3</v>
      </c>
      <c r="G2095" s="2" t="s">
        <v>3</v>
      </c>
      <c r="H2095" s="2">
        <v>301339</v>
      </c>
      <c r="I2095" s="2">
        <v>-3880</v>
      </c>
    </row>
    <row r="2096" spans="1:9" hidden="1" x14ac:dyDescent="0.3">
      <c r="A2096" t="s">
        <v>32</v>
      </c>
      <c r="B2096" s="1">
        <v>43983</v>
      </c>
      <c r="C2096" s="2">
        <v>1217484</v>
      </c>
      <c r="D2096" s="2" t="s">
        <v>3</v>
      </c>
      <c r="E2096" s="2">
        <v>912265</v>
      </c>
      <c r="F2096" s="2" t="s">
        <v>3</v>
      </c>
      <c r="G2096" s="2" t="s">
        <v>3</v>
      </c>
      <c r="H2096" s="2">
        <v>305219</v>
      </c>
      <c r="I2096" s="2">
        <v>32068</v>
      </c>
    </row>
    <row r="2097" spans="1:9" hidden="1" x14ac:dyDescent="0.3">
      <c r="A2097" t="s">
        <v>32</v>
      </c>
      <c r="B2097" s="1">
        <v>43952</v>
      </c>
      <c r="C2097" s="2">
        <v>1189083</v>
      </c>
      <c r="D2097" s="2" t="s">
        <v>3</v>
      </c>
      <c r="E2097" s="2">
        <v>915932</v>
      </c>
      <c r="F2097" s="2" t="s">
        <v>3</v>
      </c>
      <c r="G2097" s="2" t="s">
        <v>3</v>
      </c>
      <c r="H2097" s="2">
        <v>273151</v>
      </c>
      <c r="I2097" s="2">
        <v>33697</v>
      </c>
    </row>
    <row r="2098" spans="1:9" hidden="1" x14ac:dyDescent="0.3">
      <c r="A2098" t="s">
        <v>32</v>
      </c>
      <c r="B2098" s="1">
        <v>43922</v>
      </c>
      <c r="C2098" s="2">
        <v>1166042</v>
      </c>
      <c r="D2098" s="2" t="s">
        <v>3</v>
      </c>
      <c r="E2098" s="2">
        <v>926588</v>
      </c>
      <c r="F2098" s="2" t="s">
        <v>3</v>
      </c>
      <c r="G2098" s="2" t="s">
        <v>3</v>
      </c>
      <c r="H2098" s="2">
        <v>239454</v>
      </c>
      <c r="I2098" s="2">
        <v>84908</v>
      </c>
    </row>
    <row r="2099" spans="1:9" hidden="1" x14ac:dyDescent="0.3">
      <c r="A2099" t="s">
        <v>32</v>
      </c>
      <c r="B2099" s="1">
        <v>43891</v>
      </c>
      <c r="C2099" s="2">
        <v>1137126</v>
      </c>
      <c r="D2099" s="2" t="s">
        <v>3</v>
      </c>
      <c r="E2099" s="2">
        <v>982580</v>
      </c>
      <c r="F2099" s="2" t="s">
        <v>3</v>
      </c>
      <c r="G2099" s="2" t="s">
        <v>3</v>
      </c>
      <c r="H2099" s="2">
        <v>154546</v>
      </c>
      <c r="I2099" s="2">
        <v>7677</v>
      </c>
    </row>
    <row r="2100" spans="1:9" hidden="1" x14ac:dyDescent="0.3">
      <c r="A2100" t="s">
        <v>32</v>
      </c>
      <c r="B2100" s="1">
        <v>43862</v>
      </c>
      <c r="C2100" s="2">
        <v>1183078</v>
      </c>
      <c r="D2100" s="2" t="s">
        <v>3</v>
      </c>
      <c r="E2100" s="2">
        <v>1036209</v>
      </c>
      <c r="F2100" s="2" t="s">
        <v>3</v>
      </c>
      <c r="G2100" s="2" t="s">
        <v>3</v>
      </c>
      <c r="H2100" s="2">
        <v>146869</v>
      </c>
      <c r="I2100" s="2">
        <v>7102</v>
      </c>
    </row>
    <row r="2101" spans="1:9" hidden="1" x14ac:dyDescent="0.3">
      <c r="A2101" t="s">
        <v>32</v>
      </c>
      <c r="B2101" s="1">
        <v>43831</v>
      </c>
      <c r="C2101" s="2">
        <v>1130999</v>
      </c>
      <c r="D2101" s="2" t="s">
        <v>3</v>
      </c>
      <c r="E2101" s="2">
        <v>991232</v>
      </c>
      <c r="F2101" s="2" t="s">
        <v>3</v>
      </c>
      <c r="G2101" s="2" t="s">
        <v>3</v>
      </c>
      <c r="H2101" s="2">
        <v>139767</v>
      </c>
      <c r="I2101" s="2">
        <v>-22466</v>
      </c>
    </row>
    <row r="2102" spans="1:9" x14ac:dyDescent="0.3">
      <c r="A2102" t="s">
        <v>33</v>
      </c>
      <c r="B2102" s="1">
        <v>45931</v>
      </c>
      <c r="C2102" s="2">
        <v>2146164</v>
      </c>
      <c r="D2102" s="2">
        <v>2768</v>
      </c>
      <c r="E2102" s="2">
        <v>1801246</v>
      </c>
      <c r="F2102" s="2">
        <v>10986</v>
      </c>
      <c r="G2102" s="2">
        <v>1820</v>
      </c>
      <c r="H2102" s="2">
        <v>344918</v>
      </c>
      <c r="I2102" s="2">
        <v>-8218</v>
      </c>
    </row>
    <row r="2103" spans="1:9" x14ac:dyDescent="0.3">
      <c r="A2103" t="s">
        <v>33</v>
      </c>
      <c r="B2103" s="1">
        <v>45901</v>
      </c>
      <c r="C2103" s="2">
        <v>2115492</v>
      </c>
      <c r="D2103" s="2">
        <v>15225</v>
      </c>
      <c r="E2103" s="2">
        <v>1762356</v>
      </c>
      <c r="F2103" s="2">
        <v>17210</v>
      </c>
      <c r="G2103" s="2">
        <v>13025</v>
      </c>
      <c r="H2103" s="2">
        <v>353136</v>
      </c>
      <c r="I2103" s="2">
        <v>-1985</v>
      </c>
    </row>
    <row r="2104" spans="1:9" x14ac:dyDescent="0.3">
      <c r="A2104" t="s">
        <v>33</v>
      </c>
      <c r="B2104" s="1">
        <v>45870</v>
      </c>
      <c r="C2104" s="2">
        <v>2111497</v>
      </c>
      <c r="D2104" s="2">
        <v>19806</v>
      </c>
      <c r="E2104" s="2">
        <v>1756376</v>
      </c>
      <c r="F2104" s="2">
        <v>7620</v>
      </c>
      <c r="G2104" s="2">
        <v>7586</v>
      </c>
      <c r="H2104" s="2">
        <v>355121</v>
      </c>
      <c r="I2104" s="2">
        <v>12186</v>
      </c>
    </row>
    <row r="2105" spans="1:9" x14ac:dyDescent="0.3">
      <c r="A2105" t="s">
        <v>33</v>
      </c>
      <c r="B2105" s="1">
        <v>45839</v>
      </c>
      <c r="C2105" s="2">
        <v>2076362</v>
      </c>
      <c r="D2105" s="2">
        <v>46414</v>
      </c>
      <c r="E2105" s="2">
        <v>1733427</v>
      </c>
      <c r="F2105" s="2">
        <v>43235</v>
      </c>
      <c r="G2105" s="2">
        <v>-10625</v>
      </c>
      <c r="H2105" s="2">
        <v>342935</v>
      </c>
      <c r="I2105" s="2">
        <v>3179</v>
      </c>
    </row>
    <row r="2106" spans="1:9" x14ac:dyDescent="0.3">
      <c r="A2106" t="s">
        <v>33</v>
      </c>
      <c r="B2106" s="1">
        <v>45809</v>
      </c>
      <c r="C2106" s="2">
        <v>2031611</v>
      </c>
      <c r="D2106" s="2">
        <v>-57</v>
      </c>
      <c r="E2106" s="2">
        <v>1691855</v>
      </c>
      <c r="F2106" s="2">
        <v>-2036</v>
      </c>
      <c r="G2106" s="2">
        <v>2836</v>
      </c>
      <c r="H2106" s="2">
        <v>339756</v>
      </c>
      <c r="I2106" s="2">
        <v>1979</v>
      </c>
    </row>
    <row r="2107" spans="1:9" x14ac:dyDescent="0.3">
      <c r="A2107" t="s">
        <v>33</v>
      </c>
      <c r="B2107" s="1">
        <v>45778</v>
      </c>
      <c r="C2107" s="2">
        <v>2033239</v>
      </c>
      <c r="D2107" s="2">
        <v>5525</v>
      </c>
      <c r="E2107" s="2">
        <v>1695462</v>
      </c>
      <c r="F2107" s="2">
        <v>7822</v>
      </c>
      <c r="G2107" s="2">
        <v>-12586</v>
      </c>
      <c r="H2107" s="2">
        <v>337777</v>
      </c>
      <c r="I2107" s="2">
        <v>-2297</v>
      </c>
    </row>
    <row r="2108" spans="1:9" x14ac:dyDescent="0.3">
      <c r="A2108" t="s">
        <v>33</v>
      </c>
      <c r="B2108" s="1">
        <v>45748</v>
      </c>
      <c r="C2108" s="2">
        <v>2045125</v>
      </c>
      <c r="D2108" s="2">
        <v>-17383</v>
      </c>
      <c r="E2108" s="2">
        <v>1705051</v>
      </c>
      <c r="F2108" s="2">
        <v>-19808</v>
      </c>
      <c r="G2108" s="2">
        <v>6427</v>
      </c>
      <c r="H2108" s="2">
        <v>340074</v>
      </c>
      <c r="I2108" s="2">
        <v>2425</v>
      </c>
    </row>
    <row r="2109" spans="1:9" x14ac:dyDescent="0.3">
      <c r="A2109" t="s">
        <v>33</v>
      </c>
      <c r="B2109" s="1">
        <v>45717</v>
      </c>
      <c r="C2109" s="2">
        <v>2027328</v>
      </c>
      <c r="D2109" s="2">
        <v>20020</v>
      </c>
      <c r="E2109" s="2">
        <v>1689679</v>
      </c>
      <c r="F2109" s="2">
        <v>28166</v>
      </c>
      <c r="G2109" s="2">
        <v>-2359</v>
      </c>
      <c r="H2109" s="2">
        <v>337649</v>
      </c>
      <c r="I2109" s="2">
        <v>-8146</v>
      </c>
    </row>
    <row r="2110" spans="1:9" x14ac:dyDescent="0.3">
      <c r="A2110" t="s">
        <v>33</v>
      </c>
      <c r="B2110" s="1">
        <v>45689</v>
      </c>
      <c r="C2110" s="2">
        <v>1998255</v>
      </c>
      <c r="D2110" s="2">
        <v>12699</v>
      </c>
      <c r="E2110" s="2">
        <v>1652460</v>
      </c>
      <c r="F2110" s="2">
        <v>9961</v>
      </c>
      <c r="G2110" s="2">
        <v>25979</v>
      </c>
      <c r="H2110" s="2">
        <v>345795</v>
      </c>
      <c r="I2110" s="2">
        <v>2738</v>
      </c>
    </row>
    <row r="2111" spans="1:9" x14ac:dyDescent="0.3">
      <c r="A2111" t="s">
        <v>33</v>
      </c>
      <c r="B2111" s="1">
        <v>45658</v>
      </c>
      <c r="C2111" s="2">
        <v>1938981</v>
      </c>
      <c r="D2111" s="2">
        <v>-36947</v>
      </c>
      <c r="E2111" s="2">
        <v>1595924</v>
      </c>
      <c r="F2111" s="2">
        <v>-17175</v>
      </c>
      <c r="G2111" s="2">
        <v>7586</v>
      </c>
      <c r="H2111" s="2">
        <v>343057</v>
      </c>
      <c r="I2111" s="2">
        <v>-19772</v>
      </c>
    </row>
    <row r="2112" spans="1:9" x14ac:dyDescent="0.3">
      <c r="A2112" t="s">
        <v>33</v>
      </c>
      <c r="B2112" s="1">
        <v>45627</v>
      </c>
      <c r="C2112" s="2">
        <v>1952801</v>
      </c>
      <c r="D2112" s="2">
        <v>16208</v>
      </c>
      <c r="E2112" s="2">
        <v>1589972</v>
      </c>
      <c r="F2112" s="2">
        <v>16525</v>
      </c>
      <c r="G2112" s="2">
        <v>-10526</v>
      </c>
      <c r="H2112" s="2">
        <v>362829</v>
      </c>
      <c r="I2112" s="2">
        <v>-317</v>
      </c>
    </row>
    <row r="2113" spans="1:9" x14ac:dyDescent="0.3">
      <c r="A2113" t="s">
        <v>33</v>
      </c>
      <c r="B2113" s="1">
        <v>45597</v>
      </c>
      <c r="C2113" s="2">
        <v>1952062</v>
      </c>
      <c r="D2113" s="2">
        <v>26545</v>
      </c>
      <c r="E2113" s="2">
        <v>1588916</v>
      </c>
      <c r="F2113" s="2">
        <v>16665</v>
      </c>
      <c r="G2113" s="2">
        <v>9353</v>
      </c>
      <c r="H2113" s="2">
        <v>363146</v>
      </c>
      <c r="I2113" s="2">
        <v>9880</v>
      </c>
    </row>
    <row r="2114" spans="1:9" x14ac:dyDescent="0.3">
      <c r="A2114" t="s">
        <v>33</v>
      </c>
      <c r="B2114" s="1">
        <v>45566</v>
      </c>
      <c r="C2114" s="2">
        <v>1922624</v>
      </c>
      <c r="D2114" s="2">
        <v>-10903</v>
      </c>
      <c r="E2114" s="2">
        <v>1569358</v>
      </c>
      <c r="F2114" s="2">
        <v>-21397</v>
      </c>
      <c r="G2114" s="2">
        <v>-20344</v>
      </c>
      <c r="H2114" s="2">
        <v>353266</v>
      </c>
      <c r="I2114" s="2">
        <v>10494</v>
      </c>
    </row>
    <row r="2115" spans="1:9" x14ac:dyDescent="0.3">
      <c r="A2115" t="s">
        <v>33</v>
      </c>
      <c r="B2115" s="1">
        <v>45536</v>
      </c>
      <c r="C2115" s="2">
        <v>1960824</v>
      </c>
      <c r="D2115" s="2">
        <v>62216</v>
      </c>
      <c r="E2115" s="2">
        <v>1618052</v>
      </c>
      <c r="F2115" s="2">
        <v>48640</v>
      </c>
      <c r="G2115" s="2">
        <v>20641</v>
      </c>
      <c r="H2115" s="2">
        <v>342772</v>
      </c>
      <c r="I2115" s="2">
        <v>13576</v>
      </c>
    </row>
    <row r="2116" spans="1:9" x14ac:dyDescent="0.3">
      <c r="A2116" t="s">
        <v>33</v>
      </c>
      <c r="B2116" s="1">
        <v>45505</v>
      </c>
      <c r="C2116" s="2">
        <v>1861717</v>
      </c>
      <c r="D2116" s="2">
        <v>22786</v>
      </c>
      <c r="E2116" s="2">
        <v>1532521</v>
      </c>
      <c r="F2116" s="2">
        <v>15386</v>
      </c>
      <c r="G2116" s="2">
        <v>16629</v>
      </c>
      <c r="H2116" s="2">
        <v>329196</v>
      </c>
      <c r="I2116" s="2">
        <v>7400</v>
      </c>
    </row>
    <row r="2117" spans="1:9" x14ac:dyDescent="0.3">
      <c r="A2117" t="s">
        <v>33</v>
      </c>
      <c r="B2117" s="1">
        <v>45474</v>
      </c>
      <c r="C2117" s="2">
        <v>1815902</v>
      </c>
      <c r="D2117" s="2">
        <v>4581</v>
      </c>
      <c r="E2117" s="2">
        <v>1494106</v>
      </c>
      <c r="F2117" s="2">
        <v>-14159</v>
      </c>
      <c r="G2117" s="2">
        <v>26721</v>
      </c>
      <c r="H2117" s="2">
        <v>321796</v>
      </c>
      <c r="I2117" s="2">
        <v>18740</v>
      </c>
    </row>
    <row r="2118" spans="1:9" x14ac:dyDescent="0.3">
      <c r="A2118" t="s">
        <v>33</v>
      </c>
      <c r="B2118" s="1">
        <v>45444</v>
      </c>
      <c r="C2118" s="2">
        <v>1791739</v>
      </c>
      <c r="D2118" s="2">
        <v>15387</v>
      </c>
      <c r="E2118" s="2">
        <v>1488683</v>
      </c>
      <c r="F2118" s="2">
        <v>26053</v>
      </c>
      <c r="G2118" s="2">
        <v>26614</v>
      </c>
      <c r="H2118" s="2">
        <v>303056</v>
      </c>
      <c r="I2118" s="2">
        <v>-10666</v>
      </c>
    </row>
    <row r="2119" spans="1:9" x14ac:dyDescent="0.3">
      <c r="A2119" t="s">
        <v>33</v>
      </c>
      <c r="B2119" s="1">
        <v>45413</v>
      </c>
      <c r="C2119" s="2">
        <v>1751169</v>
      </c>
      <c r="D2119" s="2">
        <v>17178</v>
      </c>
      <c r="E2119" s="2">
        <v>1437447</v>
      </c>
      <c r="F2119" s="2">
        <v>13879</v>
      </c>
      <c r="G2119" s="2">
        <v>14060</v>
      </c>
      <c r="H2119" s="2">
        <v>313722</v>
      </c>
      <c r="I2119" s="2">
        <v>3299</v>
      </c>
    </row>
    <row r="2120" spans="1:9" x14ac:dyDescent="0.3">
      <c r="A2120" t="s">
        <v>33</v>
      </c>
      <c r="B2120" s="1">
        <v>45383</v>
      </c>
      <c r="C2120" s="2">
        <v>1719974</v>
      </c>
      <c r="D2120" s="2">
        <v>10223</v>
      </c>
      <c r="E2120" s="2">
        <v>1409551</v>
      </c>
      <c r="F2120" s="2">
        <v>16202</v>
      </c>
      <c r="G2120" s="2">
        <v>-9721</v>
      </c>
      <c r="H2120" s="2">
        <v>310423</v>
      </c>
      <c r="I2120" s="2">
        <v>-5979</v>
      </c>
    </row>
    <row r="2121" spans="1:9" x14ac:dyDescent="0.3">
      <c r="A2121" t="s">
        <v>33</v>
      </c>
      <c r="B2121" s="1">
        <v>45352</v>
      </c>
      <c r="C2121" s="2">
        <v>1728215</v>
      </c>
      <c r="D2121" s="2">
        <v>-13485</v>
      </c>
      <c r="E2121" s="2">
        <v>1411813</v>
      </c>
      <c r="F2121" s="2">
        <v>-2359</v>
      </c>
      <c r="G2121" s="2">
        <v>8898</v>
      </c>
      <c r="H2121" s="2">
        <v>316402</v>
      </c>
      <c r="I2121" s="2">
        <v>-11126</v>
      </c>
    </row>
    <row r="2122" spans="1:9" x14ac:dyDescent="0.3">
      <c r="A2122" t="s">
        <v>33</v>
      </c>
      <c r="B2122" s="1">
        <v>45323</v>
      </c>
      <c r="C2122" s="2">
        <v>1717259</v>
      </c>
      <c r="D2122" s="2">
        <v>40278</v>
      </c>
      <c r="E2122" s="2">
        <v>1389731</v>
      </c>
      <c r="F2122" s="2">
        <v>25958</v>
      </c>
      <c r="G2122" s="2">
        <v>-370</v>
      </c>
      <c r="H2122" s="2">
        <v>327528</v>
      </c>
      <c r="I2122" s="2">
        <v>14320</v>
      </c>
    </row>
    <row r="2123" spans="1:9" x14ac:dyDescent="0.3">
      <c r="A2123" t="s">
        <v>33</v>
      </c>
      <c r="B2123" s="1">
        <v>45292</v>
      </c>
      <c r="C2123" s="2">
        <v>1663098</v>
      </c>
      <c r="D2123" s="2">
        <v>-5285</v>
      </c>
      <c r="E2123" s="2">
        <v>1349890</v>
      </c>
      <c r="F2123" s="2">
        <v>15973</v>
      </c>
      <c r="G2123" s="2">
        <v>-3773</v>
      </c>
      <c r="H2123" s="2">
        <v>313208</v>
      </c>
      <c r="I2123" s="2">
        <v>-21258</v>
      </c>
    </row>
    <row r="2124" spans="1:9" x14ac:dyDescent="0.3">
      <c r="A2124" t="s">
        <v>33</v>
      </c>
      <c r="B2124" s="1">
        <v>45261</v>
      </c>
      <c r="C2124" s="2">
        <v>1675337</v>
      </c>
      <c r="D2124" s="2">
        <v>-2305</v>
      </c>
      <c r="E2124" s="2">
        <v>1340871</v>
      </c>
      <c r="F2124" s="2">
        <v>-10909</v>
      </c>
      <c r="G2124" s="2">
        <v>25864</v>
      </c>
      <c r="H2124" s="2">
        <v>334466</v>
      </c>
      <c r="I2124" s="2">
        <v>8604</v>
      </c>
    </row>
    <row r="2125" spans="1:9" x14ac:dyDescent="0.3">
      <c r="A2125" t="s">
        <v>33</v>
      </c>
      <c r="B2125" s="1">
        <v>45231</v>
      </c>
      <c r="C2125" s="2">
        <v>1646343</v>
      </c>
      <c r="D2125" s="2">
        <v>80455</v>
      </c>
      <c r="E2125" s="2">
        <v>1320481</v>
      </c>
      <c r="F2125" s="2">
        <v>55368</v>
      </c>
      <c r="G2125" s="2">
        <v>23901</v>
      </c>
      <c r="H2125" s="2">
        <v>325862</v>
      </c>
      <c r="I2125" s="2">
        <v>25087</v>
      </c>
    </row>
    <row r="2126" spans="1:9" x14ac:dyDescent="0.3">
      <c r="A2126" t="s">
        <v>33</v>
      </c>
      <c r="B2126" s="1">
        <v>45200</v>
      </c>
      <c r="C2126" s="2">
        <v>1560480</v>
      </c>
      <c r="D2126" s="2">
        <v>-26976</v>
      </c>
      <c r="E2126" s="2">
        <v>1259705</v>
      </c>
      <c r="F2126" s="2">
        <v>-17512</v>
      </c>
      <c r="G2126" s="2">
        <v>-8090</v>
      </c>
      <c r="H2126" s="2">
        <v>300775</v>
      </c>
      <c r="I2126" s="2">
        <v>-9464</v>
      </c>
    </row>
    <row r="2127" spans="1:9" x14ac:dyDescent="0.3">
      <c r="A2127" t="s">
        <v>33</v>
      </c>
      <c r="B2127" s="1">
        <v>45170</v>
      </c>
      <c r="C2127" s="2">
        <v>1607876</v>
      </c>
      <c r="D2127" s="2">
        <v>25961</v>
      </c>
      <c r="E2127" s="2">
        <v>1297637</v>
      </c>
      <c r="F2127" s="2">
        <v>12779</v>
      </c>
      <c r="G2127" s="2">
        <v>-29370</v>
      </c>
      <c r="H2127" s="2">
        <v>310239</v>
      </c>
      <c r="I2127" s="2">
        <v>13182</v>
      </c>
    </row>
    <row r="2128" spans="1:9" x14ac:dyDescent="0.3">
      <c r="A2128" t="s">
        <v>33</v>
      </c>
      <c r="B2128" s="1">
        <v>45139</v>
      </c>
      <c r="C2128" s="2">
        <v>1615367</v>
      </c>
      <c r="D2128" s="2">
        <v>40187</v>
      </c>
      <c r="E2128" s="2">
        <v>1318310</v>
      </c>
      <c r="F2128" s="2">
        <v>11086</v>
      </c>
      <c r="G2128" s="2">
        <v>-5510</v>
      </c>
      <c r="H2128" s="2">
        <v>297057</v>
      </c>
      <c r="I2128" s="2">
        <v>29101</v>
      </c>
    </row>
    <row r="2129" spans="1:9" x14ac:dyDescent="0.3">
      <c r="A2129" t="s">
        <v>33</v>
      </c>
      <c r="B2129" s="1">
        <v>45108</v>
      </c>
      <c r="C2129" s="2">
        <v>1580806</v>
      </c>
      <c r="D2129" s="2">
        <v>-3602</v>
      </c>
      <c r="E2129" s="2">
        <v>1312850</v>
      </c>
      <c r="F2129" s="2">
        <v>2854</v>
      </c>
      <c r="G2129" s="2">
        <v>-5885</v>
      </c>
      <c r="H2129" s="2">
        <v>267956</v>
      </c>
      <c r="I2129" s="2">
        <v>-6456</v>
      </c>
    </row>
    <row r="2130" spans="1:9" x14ac:dyDescent="0.3">
      <c r="A2130" t="s">
        <v>33</v>
      </c>
      <c r="B2130" s="1">
        <v>45078</v>
      </c>
      <c r="C2130" s="2">
        <v>1577758</v>
      </c>
      <c r="D2130" s="2">
        <v>83889</v>
      </c>
      <c r="E2130" s="2">
        <v>1303346</v>
      </c>
      <c r="F2130" s="2">
        <v>62798</v>
      </c>
      <c r="G2130" s="2">
        <v>-10715</v>
      </c>
      <c r="H2130" s="2">
        <v>274412</v>
      </c>
      <c r="I2130" s="2">
        <v>21091</v>
      </c>
    </row>
    <row r="2131" spans="1:9" x14ac:dyDescent="0.3">
      <c r="A2131" t="s">
        <v>33</v>
      </c>
      <c r="B2131" s="1">
        <v>45047</v>
      </c>
      <c r="C2131" s="2">
        <v>1523087</v>
      </c>
      <c r="D2131" s="2">
        <v>17063</v>
      </c>
      <c r="E2131" s="2">
        <v>1269766</v>
      </c>
      <c r="F2131" s="2">
        <v>-10710</v>
      </c>
      <c r="G2131" s="2">
        <v>-11655</v>
      </c>
      <c r="H2131" s="2">
        <v>253321</v>
      </c>
      <c r="I2131" s="2">
        <v>27773</v>
      </c>
    </row>
    <row r="2132" spans="1:9" x14ac:dyDescent="0.3">
      <c r="A2132" t="s">
        <v>33</v>
      </c>
      <c r="B2132" s="1">
        <v>45017</v>
      </c>
      <c r="C2132" s="2">
        <v>1502729</v>
      </c>
      <c r="D2132" s="2">
        <v>37477</v>
      </c>
      <c r="E2132" s="2">
        <v>1277181</v>
      </c>
      <c r="F2132" s="2">
        <v>30853</v>
      </c>
      <c r="G2132" s="2">
        <v>610</v>
      </c>
      <c r="H2132" s="2">
        <v>225548</v>
      </c>
      <c r="I2132" s="2">
        <v>6624</v>
      </c>
    </row>
    <row r="2133" spans="1:9" x14ac:dyDescent="0.3">
      <c r="A2133" t="s">
        <v>33</v>
      </c>
      <c r="B2133" s="1">
        <v>44986</v>
      </c>
      <c r="C2133" s="2">
        <v>1485370</v>
      </c>
      <c r="D2133" s="2">
        <v>2416</v>
      </c>
      <c r="E2133" s="2">
        <v>1266446</v>
      </c>
      <c r="F2133" s="2">
        <v>6055</v>
      </c>
      <c r="G2133" s="2">
        <v>22213</v>
      </c>
      <c r="H2133" s="2">
        <v>218924</v>
      </c>
      <c r="I2133" s="2">
        <v>-3639</v>
      </c>
    </row>
    <row r="2134" spans="1:9" x14ac:dyDescent="0.3">
      <c r="A2134" t="s">
        <v>33</v>
      </c>
      <c r="B2134" s="1">
        <v>44958</v>
      </c>
      <c r="C2134" s="2">
        <v>1467054</v>
      </c>
      <c r="D2134" s="2">
        <v>24469</v>
      </c>
      <c r="E2134" s="2">
        <v>1244491</v>
      </c>
      <c r="F2134" s="2">
        <v>13247</v>
      </c>
      <c r="G2134" s="2">
        <v>-22021</v>
      </c>
      <c r="H2134" s="2">
        <v>222563</v>
      </c>
      <c r="I2134" s="2">
        <v>11222</v>
      </c>
    </row>
    <row r="2135" spans="1:9" hidden="1" x14ac:dyDescent="0.3">
      <c r="A2135" t="s">
        <v>33</v>
      </c>
      <c r="B2135" s="1">
        <v>44927</v>
      </c>
      <c r="C2135" s="2">
        <v>1458228</v>
      </c>
      <c r="D2135" s="2" t="s">
        <v>3</v>
      </c>
      <c r="E2135" s="2">
        <v>1246887</v>
      </c>
      <c r="F2135" s="2" t="s">
        <v>3</v>
      </c>
      <c r="G2135" s="2" t="s">
        <v>3</v>
      </c>
      <c r="H2135" s="2">
        <v>211341</v>
      </c>
      <c r="I2135" s="2">
        <v>-1503</v>
      </c>
    </row>
    <row r="2136" spans="1:9" hidden="1" x14ac:dyDescent="0.3">
      <c r="A2136" t="s">
        <v>33</v>
      </c>
      <c r="B2136" s="1">
        <v>44896</v>
      </c>
      <c r="C2136" s="2">
        <v>1476788</v>
      </c>
      <c r="D2136" s="2" t="s">
        <v>3</v>
      </c>
      <c r="E2136" s="2">
        <v>1263944</v>
      </c>
      <c r="F2136" s="2" t="s">
        <v>3</v>
      </c>
      <c r="G2136" s="2" t="s">
        <v>3</v>
      </c>
      <c r="H2136" s="2">
        <v>212844</v>
      </c>
      <c r="I2136" s="2">
        <v>1252</v>
      </c>
    </row>
    <row r="2137" spans="1:9" hidden="1" x14ac:dyDescent="0.3">
      <c r="A2137" t="s">
        <v>33</v>
      </c>
      <c r="B2137" s="1">
        <v>44866</v>
      </c>
      <c r="C2137" s="2">
        <v>1464015</v>
      </c>
      <c r="D2137" s="2" t="s">
        <v>3</v>
      </c>
      <c r="E2137" s="2">
        <v>1252423</v>
      </c>
      <c r="F2137" s="2" t="s">
        <v>3</v>
      </c>
      <c r="G2137" s="2" t="s">
        <v>3</v>
      </c>
      <c r="H2137" s="2">
        <v>211592</v>
      </c>
      <c r="I2137" s="2">
        <v>2486</v>
      </c>
    </row>
    <row r="2138" spans="1:9" hidden="1" x14ac:dyDescent="0.3">
      <c r="A2138" t="s">
        <v>33</v>
      </c>
      <c r="B2138" s="1">
        <v>44835</v>
      </c>
      <c r="C2138" s="2">
        <v>1451106</v>
      </c>
      <c r="D2138" s="2" t="s">
        <v>3</v>
      </c>
      <c r="E2138" s="2">
        <v>1242000</v>
      </c>
      <c r="F2138" s="2" t="s">
        <v>3</v>
      </c>
      <c r="G2138" s="2" t="s">
        <v>3</v>
      </c>
      <c r="H2138" s="2">
        <v>209106</v>
      </c>
      <c r="I2138" s="2">
        <v>-22625</v>
      </c>
    </row>
    <row r="2139" spans="1:9" hidden="1" x14ac:dyDescent="0.3">
      <c r="A2139" t="s">
        <v>33</v>
      </c>
      <c r="B2139" s="1">
        <v>44805</v>
      </c>
      <c r="C2139" s="2">
        <v>1462218</v>
      </c>
      <c r="D2139" s="2" t="s">
        <v>3</v>
      </c>
      <c r="E2139" s="2">
        <v>1230487</v>
      </c>
      <c r="F2139" s="2" t="s">
        <v>3</v>
      </c>
      <c r="G2139" s="2" t="s">
        <v>3</v>
      </c>
      <c r="H2139" s="2">
        <v>231731</v>
      </c>
      <c r="I2139" s="2">
        <v>-8720</v>
      </c>
    </row>
    <row r="2140" spans="1:9" hidden="1" x14ac:dyDescent="0.3">
      <c r="A2140" t="s">
        <v>33</v>
      </c>
      <c r="B2140" s="1">
        <v>44774</v>
      </c>
      <c r="C2140" s="2">
        <v>1476157</v>
      </c>
      <c r="D2140" s="2" t="s">
        <v>3</v>
      </c>
      <c r="E2140" s="2">
        <v>1235706</v>
      </c>
      <c r="F2140" s="2" t="s">
        <v>3</v>
      </c>
      <c r="G2140" s="2" t="s">
        <v>3</v>
      </c>
      <c r="H2140" s="2">
        <v>240451</v>
      </c>
      <c r="I2140" s="2">
        <v>11310</v>
      </c>
    </row>
    <row r="2141" spans="1:9" hidden="1" x14ac:dyDescent="0.3">
      <c r="A2141" t="s">
        <v>33</v>
      </c>
      <c r="B2141" s="1">
        <v>44743</v>
      </c>
      <c r="C2141" s="2">
        <v>1478995</v>
      </c>
      <c r="D2141" s="2" t="s">
        <v>3</v>
      </c>
      <c r="E2141" s="2">
        <v>1249854</v>
      </c>
      <c r="F2141" s="2" t="s">
        <v>3</v>
      </c>
      <c r="G2141" s="2" t="s">
        <v>3</v>
      </c>
      <c r="H2141" s="2">
        <v>229141</v>
      </c>
      <c r="I2141" s="2">
        <v>-15986</v>
      </c>
    </row>
    <row r="2142" spans="1:9" hidden="1" x14ac:dyDescent="0.3">
      <c r="A2142" t="s">
        <v>33</v>
      </c>
      <c r="B2142" s="1">
        <v>44713</v>
      </c>
      <c r="C2142" s="2">
        <v>1482031</v>
      </c>
      <c r="D2142" s="2" t="s">
        <v>3</v>
      </c>
      <c r="E2142" s="2">
        <v>1236904</v>
      </c>
      <c r="F2142" s="2" t="s">
        <v>3</v>
      </c>
      <c r="G2142" s="2" t="s">
        <v>3</v>
      </c>
      <c r="H2142" s="2">
        <v>245127</v>
      </c>
      <c r="I2142" s="2">
        <v>-5384</v>
      </c>
    </row>
    <row r="2143" spans="1:9" hidden="1" x14ac:dyDescent="0.3">
      <c r="A2143" t="s">
        <v>33</v>
      </c>
      <c r="B2143" s="1">
        <v>44682</v>
      </c>
      <c r="C2143" s="2">
        <v>1473663</v>
      </c>
      <c r="D2143" s="2" t="s">
        <v>3</v>
      </c>
      <c r="E2143" s="2">
        <v>1223152</v>
      </c>
      <c r="F2143" s="2" t="s">
        <v>3</v>
      </c>
      <c r="G2143" s="2" t="s">
        <v>3</v>
      </c>
      <c r="H2143" s="2">
        <v>250511</v>
      </c>
      <c r="I2143" s="2">
        <v>-27693</v>
      </c>
    </row>
    <row r="2144" spans="1:9" hidden="1" x14ac:dyDescent="0.3">
      <c r="A2144" t="s">
        <v>33</v>
      </c>
      <c r="B2144" s="1">
        <v>44652</v>
      </c>
      <c r="C2144" s="2">
        <v>1485168</v>
      </c>
      <c r="D2144" s="2" t="s">
        <v>3</v>
      </c>
      <c r="E2144" s="2">
        <v>1206964</v>
      </c>
      <c r="F2144" s="2" t="s">
        <v>3</v>
      </c>
      <c r="G2144" s="2" t="s">
        <v>3</v>
      </c>
      <c r="H2144" s="2">
        <v>278204</v>
      </c>
      <c r="I2144" s="2">
        <v>-15726</v>
      </c>
    </row>
    <row r="2145" spans="1:9" hidden="1" x14ac:dyDescent="0.3">
      <c r="A2145" t="s">
        <v>33</v>
      </c>
      <c r="B2145" s="1">
        <v>44621</v>
      </c>
      <c r="C2145" s="2">
        <v>1518491</v>
      </c>
      <c r="D2145" s="2" t="s">
        <v>3</v>
      </c>
      <c r="E2145" s="2">
        <v>1224561</v>
      </c>
      <c r="F2145" s="2" t="s">
        <v>3</v>
      </c>
      <c r="G2145" s="2" t="s">
        <v>3</v>
      </c>
      <c r="H2145" s="2">
        <v>293930</v>
      </c>
      <c r="I2145" s="2">
        <v>-24658</v>
      </c>
    </row>
    <row r="2146" spans="1:9" hidden="1" x14ac:dyDescent="0.3">
      <c r="A2146" t="s">
        <v>33</v>
      </c>
      <c r="B2146" s="1">
        <v>44593</v>
      </c>
      <c r="C2146" s="2">
        <v>1528265</v>
      </c>
      <c r="D2146" s="2" t="s">
        <v>3</v>
      </c>
      <c r="E2146" s="2">
        <v>1209677</v>
      </c>
      <c r="F2146" s="2" t="s">
        <v>3</v>
      </c>
      <c r="G2146" s="2" t="s">
        <v>3</v>
      </c>
      <c r="H2146" s="2">
        <v>318588</v>
      </c>
      <c r="I2146" s="2">
        <v>5067</v>
      </c>
    </row>
    <row r="2147" spans="1:9" hidden="1" x14ac:dyDescent="0.3">
      <c r="A2147" t="s">
        <v>33</v>
      </c>
      <c r="B2147" s="1">
        <v>44562</v>
      </c>
      <c r="C2147" s="2">
        <v>1479385</v>
      </c>
      <c r="D2147" s="2" t="s">
        <v>3</v>
      </c>
      <c r="E2147" s="2">
        <v>1165864</v>
      </c>
      <c r="F2147" s="2" t="s">
        <v>3</v>
      </c>
      <c r="G2147" s="2" t="s">
        <v>3</v>
      </c>
      <c r="H2147" s="2">
        <v>313521</v>
      </c>
      <c r="I2147" s="2">
        <v>-4524</v>
      </c>
    </row>
    <row r="2148" spans="1:9" hidden="1" x14ac:dyDescent="0.3">
      <c r="A2148" t="s">
        <v>33</v>
      </c>
      <c r="B2148" s="1">
        <v>44531</v>
      </c>
      <c r="C2148" s="2">
        <v>1536819</v>
      </c>
      <c r="D2148" s="2" t="s">
        <v>3</v>
      </c>
      <c r="E2148" s="2">
        <v>1218774</v>
      </c>
      <c r="F2148" s="2" t="s">
        <v>3</v>
      </c>
      <c r="G2148" s="2" t="s">
        <v>3</v>
      </c>
      <c r="H2148" s="2">
        <v>318045</v>
      </c>
      <c r="I2148" s="2">
        <v>-6983</v>
      </c>
    </row>
    <row r="2149" spans="1:9" hidden="1" x14ac:dyDescent="0.3">
      <c r="A2149" t="s">
        <v>33</v>
      </c>
      <c r="B2149" s="1">
        <v>44501</v>
      </c>
      <c r="C2149" s="2">
        <v>1498768</v>
      </c>
      <c r="D2149" s="2" t="s">
        <v>3</v>
      </c>
      <c r="E2149" s="2">
        <v>1173740</v>
      </c>
      <c r="F2149" s="2" t="s">
        <v>3</v>
      </c>
      <c r="G2149" s="2" t="s">
        <v>3</v>
      </c>
      <c r="H2149" s="2">
        <v>325028</v>
      </c>
      <c r="I2149" s="2">
        <v>5338</v>
      </c>
    </row>
    <row r="2150" spans="1:9" hidden="1" x14ac:dyDescent="0.3">
      <c r="A2150" t="s">
        <v>33</v>
      </c>
      <c r="B2150" s="1">
        <v>44470</v>
      </c>
      <c r="C2150" s="2">
        <v>1483938</v>
      </c>
      <c r="D2150" s="2" t="s">
        <v>3</v>
      </c>
      <c r="E2150" s="2">
        <v>1164248</v>
      </c>
      <c r="F2150" s="2" t="s">
        <v>3</v>
      </c>
      <c r="G2150" s="2" t="s">
        <v>3</v>
      </c>
      <c r="H2150" s="2">
        <v>319690</v>
      </c>
      <c r="I2150" s="2">
        <v>19318</v>
      </c>
    </row>
    <row r="2151" spans="1:9" hidden="1" x14ac:dyDescent="0.3">
      <c r="A2151" t="s">
        <v>33</v>
      </c>
      <c r="B2151" s="1">
        <v>44440</v>
      </c>
      <c r="C2151" s="2">
        <v>1466836</v>
      </c>
      <c r="D2151" s="2" t="s">
        <v>3</v>
      </c>
      <c r="E2151" s="2">
        <v>1166464</v>
      </c>
      <c r="F2151" s="2" t="s">
        <v>3</v>
      </c>
      <c r="G2151" s="2" t="s">
        <v>3</v>
      </c>
      <c r="H2151" s="2">
        <v>300372</v>
      </c>
      <c r="I2151" s="2">
        <v>-4260</v>
      </c>
    </row>
    <row r="2152" spans="1:9" hidden="1" x14ac:dyDescent="0.3">
      <c r="A2152" t="s">
        <v>33</v>
      </c>
      <c r="B2152" s="1">
        <v>44409</v>
      </c>
      <c r="C2152" s="2">
        <v>1470129</v>
      </c>
      <c r="D2152" s="2" t="s">
        <v>3</v>
      </c>
      <c r="E2152" s="2">
        <v>1165497</v>
      </c>
      <c r="F2152" s="2" t="s">
        <v>3</v>
      </c>
      <c r="G2152" s="2" t="s">
        <v>3</v>
      </c>
      <c r="H2152" s="2">
        <v>304632</v>
      </c>
      <c r="I2152" s="2">
        <v>-2918</v>
      </c>
    </row>
    <row r="2153" spans="1:9" hidden="1" x14ac:dyDescent="0.3">
      <c r="A2153" t="s">
        <v>33</v>
      </c>
      <c r="B2153" s="1">
        <v>44378</v>
      </c>
      <c r="C2153" s="2">
        <v>1454915</v>
      </c>
      <c r="D2153" s="2" t="s">
        <v>3</v>
      </c>
      <c r="E2153" s="2">
        <v>1147365</v>
      </c>
      <c r="F2153" s="2" t="s">
        <v>3</v>
      </c>
      <c r="G2153" s="2" t="s">
        <v>3</v>
      </c>
      <c r="H2153" s="2">
        <v>307550</v>
      </c>
      <c r="I2153" s="2">
        <v>-6689</v>
      </c>
    </row>
    <row r="2154" spans="1:9" hidden="1" x14ac:dyDescent="0.3">
      <c r="A2154" t="s">
        <v>33</v>
      </c>
      <c r="B2154" s="1">
        <v>44348</v>
      </c>
      <c r="C2154" s="2">
        <v>1474653</v>
      </c>
      <c r="D2154" s="2" t="s">
        <v>3</v>
      </c>
      <c r="E2154" s="2">
        <v>1160414</v>
      </c>
      <c r="F2154" s="2" t="s">
        <v>3</v>
      </c>
      <c r="G2154" s="2" t="s">
        <v>3</v>
      </c>
      <c r="H2154" s="2">
        <v>314239</v>
      </c>
      <c r="I2154" s="2">
        <v>34610</v>
      </c>
    </row>
    <row r="2155" spans="1:9" hidden="1" x14ac:dyDescent="0.3">
      <c r="A2155" t="s">
        <v>33</v>
      </c>
      <c r="B2155" s="1">
        <v>44317</v>
      </c>
      <c r="C2155" s="2">
        <v>1310654</v>
      </c>
      <c r="D2155" s="2" t="s">
        <v>3</v>
      </c>
      <c r="E2155" s="2">
        <v>1031025</v>
      </c>
      <c r="F2155" s="2" t="s">
        <v>3</v>
      </c>
      <c r="G2155" s="2" t="s">
        <v>3</v>
      </c>
      <c r="H2155" s="2">
        <v>279629</v>
      </c>
      <c r="I2155" s="2">
        <v>-8365</v>
      </c>
    </row>
    <row r="2156" spans="1:9" hidden="1" x14ac:dyDescent="0.3">
      <c r="A2156" t="s">
        <v>33</v>
      </c>
      <c r="B2156" s="1">
        <v>44287</v>
      </c>
      <c r="C2156" s="2">
        <v>1310083</v>
      </c>
      <c r="D2156" s="2" t="s">
        <v>3</v>
      </c>
      <c r="E2156" s="2">
        <v>1022089</v>
      </c>
      <c r="F2156" s="2" t="s">
        <v>3</v>
      </c>
      <c r="G2156" s="2" t="s">
        <v>3</v>
      </c>
      <c r="H2156" s="2">
        <v>287994</v>
      </c>
      <c r="I2156" s="2">
        <v>-13204</v>
      </c>
    </row>
    <row r="2157" spans="1:9" hidden="1" x14ac:dyDescent="0.3">
      <c r="A2157" t="s">
        <v>33</v>
      </c>
      <c r="B2157" s="1">
        <v>44256</v>
      </c>
      <c r="C2157" s="2">
        <v>1313296</v>
      </c>
      <c r="D2157" s="2" t="s">
        <v>3</v>
      </c>
      <c r="E2157" s="2">
        <v>1012098</v>
      </c>
      <c r="F2157" s="2" t="s">
        <v>3</v>
      </c>
      <c r="G2157" s="2" t="s">
        <v>3</v>
      </c>
      <c r="H2157" s="2">
        <v>301198</v>
      </c>
      <c r="I2157" s="2">
        <v>-14782</v>
      </c>
    </row>
    <row r="2158" spans="1:9" hidden="1" x14ac:dyDescent="0.3">
      <c r="A2158" t="s">
        <v>33</v>
      </c>
      <c r="B2158" s="1">
        <v>44228</v>
      </c>
      <c r="C2158" s="2">
        <v>1313785</v>
      </c>
      <c r="D2158" s="2" t="s">
        <v>3</v>
      </c>
      <c r="E2158" s="2">
        <v>997805</v>
      </c>
      <c r="F2158" s="2" t="s">
        <v>3</v>
      </c>
      <c r="G2158" s="2" t="s">
        <v>3</v>
      </c>
      <c r="H2158" s="2">
        <v>315980</v>
      </c>
      <c r="I2158" s="2">
        <v>-3010</v>
      </c>
    </row>
    <row r="2159" spans="1:9" hidden="1" x14ac:dyDescent="0.3">
      <c r="A2159" t="s">
        <v>33</v>
      </c>
      <c r="B2159" s="1">
        <v>44197</v>
      </c>
      <c r="C2159" s="2">
        <v>1346627</v>
      </c>
      <c r="D2159" s="2" t="s">
        <v>3</v>
      </c>
      <c r="E2159" s="2">
        <v>1027637</v>
      </c>
      <c r="F2159" s="2" t="s">
        <v>3</v>
      </c>
      <c r="G2159" s="2" t="s">
        <v>3</v>
      </c>
      <c r="H2159" s="2">
        <v>318990</v>
      </c>
      <c r="I2159" s="2">
        <v>-16998</v>
      </c>
    </row>
    <row r="2160" spans="1:9" hidden="1" x14ac:dyDescent="0.3">
      <c r="A2160" t="s">
        <v>33</v>
      </c>
      <c r="B2160" s="1">
        <v>44166</v>
      </c>
      <c r="C2160" s="2">
        <v>1351845</v>
      </c>
      <c r="D2160" s="2" t="s">
        <v>3</v>
      </c>
      <c r="E2160" s="2">
        <v>1015857</v>
      </c>
      <c r="F2160" s="2" t="s">
        <v>3</v>
      </c>
      <c r="G2160" s="2" t="s">
        <v>3</v>
      </c>
      <c r="H2160" s="2">
        <v>335988</v>
      </c>
      <c r="I2160" s="2">
        <v>16974</v>
      </c>
    </row>
    <row r="2161" spans="1:9" hidden="1" x14ac:dyDescent="0.3">
      <c r="A2161" t="s">
        <v>33</v>
      </c>
      <c r="B2161" s="1">
        <v>44136</v>
      </c>
      <c r="C2161" s="2">
        <v>1331670</v>
      </c>
      <c r="D2161" s="2" t="s">
        <v>3</v>
      </c>
      <c r="E2161" s="2">
        <v>1012656</v>
      </c>
      <c r="F2161" s="2" t="s">
        <v>3</v>
      </c>
      <c r="G2161" s="2" t="s">
        <v>3</v>
      </c>
      <c r="H2161" s="2">
        <v>319014</v>
      </c>
      <c r="I2161" s="2">
        <v>11497</v>
      </c>
    </row>
    <row r="2162" spans="1:9" hidden="1" x14ac:dyDescent="0.3">
      <c r="A2162" t="s">
        <v>33</v>
      </c>
      <c r="B2162" s="1">
        <v>44105</v>
      </c>
      <c r="C2162" s="2">
        <v>1339679</v>
      </c>
      <c r="D2162" s="2" t="s">
        <v>3</v>
      </c>
      <c r="E2162" s="2">
        <v>1032162</v>
      </c>
      <c r="F2162" s="2" t="s">
        <v>3</v>
      </c>
      <c r="G2162" s="2" t="s">
        <v>3</v>
      </c>
      <c r="H2162" s="2">
        <v>307517</v>
      </c>
      <c r="I2162" s="2">
        <v>-424</v>
      </c>
    </row>
    <row r="2163" spans="1:9" hidden="1" x14ac:dyDescent="0.3">
      <c r="A2163" t="s">
        <v>33</v>
      </c>
      <c r="B2163" s="1">
        <v>44075</v>
      </c>
      <c r="C2163" s="2">
        <v>1316920</v>
      </c>
      <c r="D2163" s="2" t="s">
        <v>3</v>
      </c>
      <c r="E2163" s="2">
        <v>1008979</v>
      </c>
      <c r="F2163" s="2" t="s">
        <v>3</v>
      </c>
      <c r="G2163" s="2" t="s">
        <v>3</v>
      </c>
      <c r="H2163" s="2">
        <v>307941</v>
      </c>
      <c r="I2163" s="2">
        <v>-28776</v>
      </c>
    </row>
    <row r="2164" spans="1:9" hidden="1" x14ac:dyDescent="0.3">
      <c r="A2164" t="s">
        <v>33</v>
      </c>
      <c r="B2164" s="1">
        <v>44044</v>
      </c>
      <c r="C2164" s="2">
        <v>1341976</v>
      </c>
      <c r="D2164" s="2" t="s">
        <v>3</v>
      </c>
      <c r="E2164" s="2">
        <v>1005259</v>
      </c>
      <c r="F2164" s="2" t="s">
        <v>3</v>
      </c>
      <c r="G2164" s="2" t="s">
        <v>3</v>
      </c>
      <c r="H2164" s="2">
        <v>336717</v>
      </c>
      <c r="I2164" s="2">
        <v>12287</v>
      </c>
    </row>
    <row r="2165" spans="1:9" hidden="1" x14ac:dyDescent="0.3">
      <c r="A2165" t="s">
        <v>33</v>
      </c>
      <c r="B2165" s="1">
        <v>44013</v>
      </c>
      <c r="C2165" s="2">
        <v>1332860</v>
      </c>
      <c r="D2165" s="2" t="s">
        <v>3</v>
      </c>
      <c r="E2165" s="2">
        <v>1008430</v>
      </c>
      <c r="F2165" s="2" t="s">
        <v>3</v>
      </c>
      <c r="G2165" s="2" t="s">
        <v>3</v>
      </c>
      <c r="H2165" s="2">
        <v>324430</v>
      </c>
      <c r="I2165" s="2">
        <v>590</v>
      </c>
    </row>
    <row r="2166" spans="1:9" hidden="1" x14ac:dyDescent="0.3">
      <c r="A2166" t="s">
        <v>33</v>
      </c>
      <c r="B2166" s="1">
        <v>43983</v>
      </c>
      <c r="C2166" s="2">
        <v>1349325</v>
      </c>
      <c r="D2166" s="2" t="s">
        <v>3</v>
      </c>
      <c r="E2166" s="2">
        <v>1025485</v>
      </c>
      <c r="F2166" s="2" t="s">
        <v>3</v>
      </c>
      <c r="G2166" s="2" t="s">
        <v>3</v>
      </c>
      <c r="H2166" s="2">
        <v>323840</v>
      </c>
      <c r="I2166" s="2">
        <v>39705</v>
      </c>
    </row>
    <row r="2167" spans="1:9" hidden="1" x14ac:dyDescent="0.3">
      <c r="A2167" t="s">
        <v>33</v>
      </c>
      <c r="B2167" s="1">
        <v>43952</v>
      </c>
      <c r="C2167" s="2">
        <v>1314694</v>
      </c>
      <c r="D2167" s="2" t="s">
        <v>3</v>
      </c>
      <c r="E2167" s="2">
        <v>1030559</v>
      </c>
      <c r="F2167" s="2" t="s">
        <v>3</v>
      </c>
      <c r="G2167" s="2" t="s">
        <v>3</v>
      </c>
      <c r="H2167" s="2">
        <v>284135</v>
      </c>
      <c r="I2167" s="2">
        <v>35017</v>
      </c>
    </row>
    <row r="2168" spans="1:9" hidden="1" x14ac:dyDescent="0.3">
      <c r="A2168" t="s">
        <v>33</v>
      </c>
      <c r="B2168" s="1">
        <v>43922</v>
      </c>
      <c r="C2168" s="2">
        <v>1286317</v>
      </c>
      <c r="D2168" s="2" t="s">
        <v>3</v>
      </c>
      <c r="E2168" s="2">
        <v>1037199</v>
      </c>
      <c r="F2168" s="2" t="s">
        <v>3</v>
      </c>
      <c r="G2168" s="2" t="s">
        <v>3</v>
      </c>
      <c r="H2168" s="2">
        <v>249118</v>
      </c>
      <c r="I2168" s="2">
        <v>87747</v>
      </c>
    </row>
    <row r="2169" spans="1:9" hidden="1" x14ac:dyDescent="0.3">
      <c r="A2169" t="s">
        <v>33</v>
      </c>
      <c r="B2169" s="1">
        <v>43891</v>
      </c>
      <c r="C2169" s="2">
        <v>1260744</v>
      </c>
      <c r="D2169" s="2" t="s">
        <v>3</v>
      </c>
      <c r="E2169" s="2">
        <v>1099373</v>
      </c>
      <c r="F2169" s="2" t="s">
        <v>3</v>
      </c>
      <c r="G2169" s="2" t="s">
        <v>3</v>
      </c>
      <c r="H2169" s="2">
        <v>161371</v>
      </c>
      <c r="I2169" s="2">
        <v>5373</v>
      </c>
    </row>
    <row r="2170" spans="1:9" hidden="1" x14ac:dyDescent="0.3">
      <c r="A2170" t="s">
        <v>33</v>
      </c>
      <c r="B2170" s="1">
        <v>43862</v>
      </c>
      <c r="C2170" s="2">
        <v>1317792</v>
      </c>
      <c r="D2170" s="2" t="s">
        <v>3</v>
      </c>
      <c r="E2170" s="2">
        <v>1161794</v>
      </c>
      <c r="F2170" s="2" t="s">
        <v>3</v>
      </c>
      <c r="G2170" s="2" t="s">
        <v>3</v>
      </c>
      <c r="H2170" s="2">
        <v>155998</v>
      </c>
      <c r="I2170" s="2">
        <v>-39013</v>
      </c>
    </row>
    <row r="2171" spans="1:9" hidden="1" x14ac:dyDescent="0.3">
      <c r="A2171" t="s">
        <v>33</v>
      </c>
      <c r="B2171" s="1">
        <v>43831</v>
      </c>
      <c r="C2171" s="2">
        <v>1713902</v>
      </c>
      <c r="D2171" s="2" t="s">
        <v>3</v>
      </c>
      <c r="E2171" s="2">
        <v>1518891</v>
      </c>
      <c r="F2171" s="2" t="s">
        <v>3</v>
      </c>
      <c r="G2171" s="2" t="s">
        <v>3</v>
      </c>
      <c r="H2171" s="2">
        <v>195011</v>
      </c>
      <c r="I2171" s="2">
        <v>-32826</v>
      </c>
    </row>
    <row r="2172" spans="1:9" x14ac:dyDescent="0.3">
      <c r="A2172" t="s">
        <v>34</v>
      </c>
      <c r="B2172" s="1">
        <v>45931</v>
      </c>
      <c r="C2172" s="2">
        <v>419131</v>
      </c>
      <c r="D2172" s="2">
        <v>-57825</v>
      </c>
      <c r="E2172" s="2">
        <v>379909</v>
      </c>
      <c r="F2172" s="2">
        <v>-62563</v>
      </c>
      <c r="G2172" s="2">
        <v>1594</v>
      </c>
      <c r="H2172" s="2">
        <v>39222</v>
      </c>
      <c r="I2172" s="2">
        <v>4738</v>
      </c>
    </row>
    <row r="2173" spans="1:9" x14ac:dyDescent="0.3">
      <c r="A2173" t="s">
        <v>34</v>
      </c>
      <c r="B2173" s="1">
        <v>45901</v>
      </c>
      <c r="C2173" s="2">
        <v>475759</v>
      </c>
      <c r="D2173" s="2">
        <v>30049</v>
      </c>
      <c r="E2173" s="2">
        <v>441275</v>
      </c>
      <c r="F2173" s="2">
        <v>26899</v>
      </c>
      <c r="G2173" s="2">
        <v>3873</v>
      </c>
      <c r="H2173" s="2">
        <v>34484</v>
      </c>
      <c r="I2173" s="2">
        <v>3150</v>
      </c>
    </row>
    <row r="2174" spans="1:9" x14ac:dyDescent="0.3">
      <c r="A2174" t="s">
        <v>34</v>
      </c>
      <c r="B2174" s="1">
        <v>45870</v>
      </c>
      <c r="C2174" s="2">
        <v>443685</v>
      </c>
      <c r="D2174" s="2">
        <v>58650</v>
      </c>
      <c r="E2174" s="2">
        <v>412351</v>
      </c>
      <c r="F2174" s="2">
        <v>58275</v>
      </c>
      <c r="G2174" s="2">
        <v>-940</v>
      </c>
      <c r="H2174" s="2">
        <v>31334</v>
      </c>
      <c r="I2174" s="2">
        <v>375</v>
      </c>
    </row>
    <row r="2175" spans="1:9" x14ac:dyDescent="0.3">
      <c r="A2175" t="s">
        <v>34</v>
      </c>
      <c r="B2175" s="1">
        <v>45839</v>
      </c>
      <c r="C2175" s="2">
        <v>381439</v>
      </c>
      <c r="D2175" s="2">
        <v>-52876</v>
      </c>
      <c r="E2175" s="2">
        <v>350480</v>
      </c>
      <c r="F2175" s="2">
        <v>-51011</v>
      </c>
      <c r="G2175" s="2">
        <v>-2406</v>
      </c>
      <c r="H2175" s="2">
        <v>30959</v>
      </c>
      <c r="I2175" s="2">
        <v>-1865</v>
      </c>
    </row>
    <row r="2176" spans="1:9" x14ac:dyDescent="0.3">
      <c r="A2176" t="s">
        <v>34</v>
      </c>
      <c r="B2176" s="1">
        <v>45809</v>
      </c>
      <c r="C2176" s="2">
        <v>438231</v>
      </c>
      <c r="D2176" s="2">
        <v>848</v>
      </c>
      <c r="E2176" s="2">
        <v>405407</v>
      </c>
      <c r="F2176" s="2">
        <v>1276</v>
      </c>
      <c r="G2176" s="2">
        <v>3905</v>
      </c>
      <c r="H2176" s="2">
        <v>32824</v>
      </c>
      <c r="I2176" s="2">
        <v>-428</v>
      </c>
    </row>
    <row r="2177" spans="1:9" x14ac:dyDescent="0.3">
      <c r="A2177" t="s">
        <v>34</v>
      </c>
      <c r="B2177" s="1">
        <v>45778</v>
      </c>
      <c r="C2177" s="2">
        <v>430059</v>
      </c>
      <c r="D2177" s="2">
        <v>63972</v>
      </c>
      <c r="E2177" s="2">
        <v>396807</v>
      </c>
      <c r="F2177" s="2">
        <v>65866</v>
      </c>
      <c r="G2177" s="2">
        <v>-6314</v>
      </c>
      <c r="H2177" s="2">
        <v>33252</v>
      </c>
      <c r="I2177" s="2">
        <v>-1894</v>
      </c>
    </row>
    <row r="2178" spans="1:9" x14ac:dyDescent="0.3">
      <c r="A2178" t="s">
        <v>34</v>
      </c>
      <c r="B2178" s="1">
        <v>45748</v>
      </c>
      <c r="C2178" s="2">
        <v>368383</v>
      </c>
      <c r="D2178" s="2">
        <v>-58829</v>
      </c>
      <c r="E2178" s="2">
        <v>333237</v>
      </c>
      <c r="F2178" s="2">
        <v>-57710</v>
      </c>
      <c r="G2178" s="2">
        <v>-201</v>
      </c>
      <c r="H2178" s="2">
        <v>35146</v>
      </c>
      <c r="I2178" s="2">
        <v>-1119</v>
      </c>
    </row>
    <row r="2179" spans="1:9" x14ac:dyDescent="0.3">
      <c r="A2179" t="s">
        <v>34</v>
      </c>
      <c r="B2179" s="1">
        <v>45717</v>
      </c>
      <c r="C2179" s="2">
        <v>426182</v>
      </c>
      <c r="D2179" s="2">
        <v>19235</v>
      </c>
      <c r="E2179" s="2">
        <v>389917</v>
      </c>
      <c r="F2179" s="2">
        <v>16009</v>
      </c>
      <c r="G2179" s="2">
        <v>855</v>
      </c>
      <c r="H2179" s="2">
        <v>36265</v>
      </c>
      <c r="I2179" s="2">
        <v>3226</v>
      </c>
    </row>
    <row r="2180" spans="1:9" x14ac:dyDescent="0.3">
      <c r="A2180" t="s">
        <v>34</v>
      </c>
      <c r="B2180" s="1">
        <v>45689</v>
      </c>
      <c r="C2180" s="2">
        <v>406136</v>
      </c>
      <c r="D2180" s="2">
        <v>47959</v>
      </c>
      <c r="E2180" s="2">
        <v>373097</v>
      </c>
      <c r="F2180" s="2">
        <v>46516</v>
      </c>
      <c r="G2180" s="2">
        <v>7285</v>
      </c>
      <c r="H2180" s="2">
        <v>33039</v>
      </c>
      <c r="I2180" s="2">
        <v>1443</v>
      </c>
    </row>
    <row r="2181" spans="1:9" x14ac:dyDescent="0.3">
      <c r="A2181" t="s">
        <v>34</v>
      </c>
      <c r="B2181" s="1">
        <v>45658</v>
      </c>
      <c r="C2181" s="2">
        <v>350815</v>
      </c>
      <c r="D2181" s="2">
        <v>-30126</v>
      </c>
      <c r="E2181" s="2">
        <v>319219</v>
      </c>
      <c r="F2181" s="2">
        <v>-30072</v>
      </c>
      <c r="G2181" s="2">
        <v>1933</v>
      </c>
      <c r="H2181" s="2">
        <v>31596</v>
      </c>
      <c r="I2181" s="2">
        <v>-54</v>
      </c>
    </row>
    <row r="2182" spans="1:9" x14ac:dyDescent="0.3">
      <c r="A2182" t="s">
        <v>34</v>
      </c>
      <c r="B2182" s="1">
        <v>45627</v>
      </c>
      <c r="C2182" s="2">
        <v>378756</v>
      </c>
      <c r="D2182" s="2">
        <v>15068</v>
      </c>
      <c r="E2182" s="2">
        <v>347106</v>
      </c>
      <c r="F2182" s="2">
        <v>16834</v>
      </c>
      <c r="G2182" s="2">
        <v>-12399</v>
      </c>
      <c r="H2182" s="2">
        <v>31650</v>
      </c>
      <c r="I2182" s="2">
        <v>-1766</v>
      </c>
    </row>
    <row r="2183" spans="1:9" x14ac:dyDescent="0.3">
      <c r="A2183" t="s">
        <v>34</v>
      </c>
      <c r="B2183" s="1">
        <v>45597</v>
      </c>
      <c r="C2183" s="2">
        <v>372377</v>
      </c>
      <c r="D2183" s="2">
        <v>-2048</v>
      </c>
      <c r="E2183" s="2">
        <v>338961</v>
      </c>
      <c r="F2183" s="2">
        <v>-5078</v>
      </c>
      <c r="G2183" s="2">
        <v>3371</v>
      </c>
      <c r="H2183" s="2">
        <v>33416</v>
      </c>
      <c r="I2183" s="2">
        <v>3030</v>
      </c>
    </row>
    <row r="2184" spans="1:9" x14ac:dyDescent="0.3">
      <c r="A2184" t="s">
        <v>34</v>
      </c>
      <c r="B2184" s="1">
        <v>45566</v>
      </c>
      <c r="C2184" s="2">
        <v>363665</v>
      </c>
      <c r="D2184" s="2">
        <v>5463</v>
      </c>
      <c r="E2184" s="2">
        <v>333279</v>
      </c>
      <c r="F2184" s="2">
        <v>4139</v>
      </c>
      <c r="G2184" s="2">
        <v>-2234</v>
      </c>
      <c r="H2184" s="2">
        <v>30386</v>
      </c>
      <c r="I2184" s="2">
        <v>1324</v>
      </c>
    </row>
    <row r="2185" spans="1:9" x14ac:dyDescent="0.3">
      <c r="A2185" t="s">
        <v>34</v>
      </c>
      <c r="B2185" s="1">
        <v>45536</v>
      </c>
      <c r="C2185" s="2">
        <v>367910</v>
      </c>
      <c r="D2185" s="2">
        <v>370</v>
      </c>
      <c r="E2185" s="2">
        <v>338848</v>
      </c>
      <c r="F2185" s="2">
        <v>3130</v>
      </c>
      <c r="G2185" s="2">
        <v>1302</v>
      </c>
      <c r="H2185" s="2">
        <v>29062</v>
      </c>
      <c r="I2185" s="2">
        <v>-2760</v>
      </c>
    </row>
    <row r="2186" spans="1:9" x14ac:dyDescent="0.3">
      <c r="A2186" t="s">
        <v>34</v>
      </c>
      <c r="B2186" s="1">
        <v>45505</v>
      </c>
      <c r="C2186" s="2">
        <v>362881</v>
      </c>
      <c r="D2186" s="2">
        <v>-13699</v>
      </c>
      <c r="E2186" s="2">
        <v>331059</v>
      </c>
      <c r="F2186" s="2">
        <v>-14075</v>
      </c>
      <c r="G2186" s="2">
        <v>3217</v>
      </c>
      <c r="H2186" s="2">
        <v>31822</v>
      </c>
      <c r="I2186" s="2">
        <v>376</v>
      </c>
    </row>
    <row r="2187" spans="1:9" x14ac:dyDescent="0.3">
      <c r="A2187" t="s">
        <v>34</v>
      </c>
      <c r="B2187" s="1">
        <v>45474</v>
      </c>
      <c r="C2187" s="2">
        <v>375322</v>
      </c>
      <c r="D2187" s="2">
        <v>5190</v>
      </c>
      <c r="E2187" s="2">
        <v>343876</v>
      </c>
      <c r="F2187" s="2">
        <v>7359</v>
      </c>
      <c r="G2187" s="2">
        <v>-745</v>
      </c>
      <c r="H2187" s="2">
        <v>31446</v>
      </c>
      <c r="I2187" s="2">
        <v>-2169</v>
      </c>
    </row>
    <row r="2188" spans="1:9" x14ac:dyDescent="0.3">
      <c r="A2188" t="s">
        <v>34</v>
      </c>
      <c r="B2188" s="1">
        <v>45444</v>
      </c>
      <c r="C2188" s="2">
        <v>372539</v>
      </c>
      <c r="D2188" s="2">
        <v>16328</v>
      </c>
      <c r="E2188" s="2">
        <v>338924</v>
      </c>
      <c r="F2188" s="2">
        <v>18498</v>
      </c>
      <c r="G2188" s="2">
        <v>3081</v>
      </c>
      <c r="H2188" s="2">
        <v>33615</v>
      </c>
      <c r="I2188" s="2">
        <v>-2170</v>
      </c>
    </row>
    <row r="2189" spans="1:9" x14ac:dyDescent="0.3">
      <c r="A2189" t="s">
        <v>34</v>
      </c>
      <c r="B2189" s="1">
        <v>45413</v>
      </c>
      <c r="C2189" s="2">
        <v>356312</v>
      </c>
      <c r="D2189" s="2">
        <v>10013</v>
      </c>
      <c r="E2189" s="2">
        <v>320527</v>
      </c>
      <c r="F2189" s="2">
        <v>6762</v>
      </c>
      <c r="G2189" s="2">
        <v>1626</v>
      </c>
      <c r="H2189" s="2">
        <v>35785</v>
      </c>
      <c r="I2189" s="2">
        <v>3251</v>
      </c>
    </row>
    <row r="2190" spans="1:9" x14ac:dyDescent="0.3">
      <c r="A2190" t="s">
        <v>34</v>
      </c>
      <c r="B2190" s="1">
        <v>45383</v>
      </c>
      <c r="C2190" s="2">
        <v>341552</v>
      </c>
      <c r="D2190" s="2">
        <v>-21347</v>
      </c>
      <c r="E2190" s="2">
        <v>309018</v>
      </c>
      <c r="F2190" s="2">
        <v>-21392</v>
      </c>
      <c r="G2190" s="2">
        <v>-4428</v>
      </c>
      <c r="H2190" s="2">
        <v>32534</v>
      </c>
      <c r="I2190" s="2">
        <v>45</v>
      </c>
    </row>
    <row r="2191" spans="1:9" x14ac:dyDescent="0.3">
      <c r="A2191" t="s">
        <v>34</v>
      </c>
      <c r="B2191" s="1">
        <v>45352</v>
      </c>
      <c r="C2191" s="2">
        <v>369357</v>
      </c>
      <c r="D2191" s="2">
        <v>1819</v>
      </c>
      <c r="E2191" s="2">
        <v>336868</v>
      </c>
      <c r="F2191" s="2">
        <v>601</v>
      </c>
      <c r="G2191" s="2">
        <v>2928</v>
      </c>
      <c r="H2191" s="2">
        <v>32489</v>
      </c>
      <c r="I2191" s="2">
        <v>1218</v>
      </c>
    </row>
    <row r="2192" spans="1:9" x14ac:dyDescent="0.3">
      <c r="A2192" t="s">
        <v>34</v>
      </c>
      <c r="B2192" s="1">
        <v>45323</v>
      </c>
      <c r="C2192" s="2">
        <v>365342</v>
      </c>
      <c r="D2192" s="2">
        <v>17624</v>
      </c>
      <c r="E2192" s="2">
        <v>334071</v>
      </c>
      <c r="F2192" s="2">
        <v>27607</v>
      </c>
      <c r="G2192" s="2">
        <v>-1974</v>
      </c>
      <c r="H2192" s="2">
        <v>31271</v>
      </c>
      <c r="I2192" s="2">
        <v>-9983</v>
      </c>
    </row>
    <row r="2193" spans="1:9" x14ac:dyDescent="0.3">
      <c r="A2193" t="s">
        <v>34</v>
      </c>
      <c r="B2193" s="1">
        <v>45292</v>
      </c>
      <c r="C2193" s="2">
        <v>351337</v>
      </c>
      <c r="D2193" s="2">
        <v>9936</v>
      </c>
      <c r="E2193" s="2">
        <v>310083</v>
      </c>
      <c r="F2193" s="2">
        <v>-1387</v>
      </c>
      <c r="G2193" s="2">
        <v>-253</v>
      </c>
      <c r="H2193" s="2">
        <v>41254</v>
      </c>
      <c r="I2193" s="2">
        <v>11323</v>
      </c>
    </row>
    <row r="2194" spans="1:9" x14ac:dyDescent="0.3">
      <c r="A2194" t="s">
        <v>34</v>
      </c>
      <c r="B2194" s="1">
        <v>45261</v>
      </c>
      <c r="C2194" s="2">
        <v>348460</v>
      </c>
      <c r="D2194" s="2">
        <v>-955</v>
      </c>
      <c r="E2194" s="2">
        <v>318529</v>
      </c>
      <c r="F2194" s="2">
        <v>4563</v>
      </c>
      <c r="G2194" s="2">
        <v>3815</v>
      </c>
      <c r="H2194" s="2">
        <v>29931</v>
      </c>
      <c r="I2194" s="2">
        <v>-5518</v>
      </c>
    </row>
    <row r="2195" spans="1:9" x14ac:dyDescent="0.3">
      <c r="A2195" t="s">
        <v>34</v>
      </c>
      <c r="B2195" s="1">
        <v>45231</v>
      </c>
      <c r="C2195" s="2">
        <v>321152</v>
      </c>
      <c r="D2195" s="2">
        <v>45022</v>
      </c>
      <c r="E2195" s="2">
        <v>285703</v>
      </c>
      <c r="F2195" s="2">
        <v>45957</v>
      </c>
      <c r="G2195" s="2">
        <v>6868</v>
      </c>
      <c r="H2195" s="2">
        <v>35449</v>
      </c>
      <c r="I2195" s="2">
        <v>-935</v>
      </c>
    </row>
    <row r="2196" spans="1:9" x14ac:dyDescent="0.3">
      <c r="A2196" t="s">
        <v>34</v>
      </c>
      <c r="B2196" s="1">
        <v>45200</v>
      </c>
      <c r="C2196" s="2">
        <v>281530</v>
      </c>
      <c r="D2196" s="2">
        <v>-8384</v>
      </c>
      <c r="E2196" s="2">
        <v>245146</v>
      </c>
      <c r="F2196" s="2">
        <v>-5919</v>
      </c>
      <c r="G2196" s="2">
        <v>-1766</v>
      </c>
      <c r="H2196" s="2">
        <v>36384</v>
      </c>
      <c r="I2196" s="2">
        <v>-2465</v>
      </c>
    </row>
    <row r="2197" spans="1:9" x14ac:dyDescent="0.3">
      <c r="A2197" t="s">
        <v>34</v>
      </c>
      <c r="B2197" s="1">
        <v>45170</v>
      </c>
      <c r="C2197" s="2">
        <v>280536</v>
      </c>
      <c r="D2197" s="2">
        <v>-13931</v>
      </c>
      <c r="E2197" s="2">
        <v>241687</v>
      </c>
      <c r="F2197" s="2">
        <v>-17521</v>
      </c>
      <c r="G2197" s="2">
        <v>-6877</v>
      </c>
      <c r="H2197" s="2">
        <v>38849</v>
      </c>
      <c r="I2197" s="2">
        <v>3590</v>
      </c>
    </row>
    <row r="2198" spans="1:9" x14ac:dyDescent="0.3">
      <c r="A2198" t="s">
        <v>34</v>
      </c>
      <c r="B2198" s="1">
        <v>45139</v>
      </c>
      <c r="C2198" s="2">
        <v>295094</v>
      </c>
      <c r="D2198" s="2">
        <v>-814</v>
      </c>
      <c r="E2198" s="2">
        <v>259835</v>
      </c>
      <c r="F2198" s="2">
        <v>450</v>
      </c>
      <c r="G2198" s="2">
        <v>-2217</v>
      </c>
      <c r="H2198" s="2">
        <v>35259</v>
      </c>
      <c r="I2198" s="2">
        <v>-1264</v>
      </c>
    </row>
    <row r="2199" spans="1:9" x14ac:dyDescent="0.3">
      <c r="A2199" t="s">
        <v>34</v>
      </c>
      <c r="B2199" s="1">
        <v>45108</v>
      </c>
      <c r="C2199" s="2">
        <v>293901</v>
      </c>
      <c r="D2199" s="2">
        <v>7678</v>
      </c>
      <c r="E2199" s="2">
        <v>257378</v>
      </c>
      <c r="F2199" s="2">
        <v>-2617</v>
      </c>
      <c r="G2199" s="2">
        <v>3051</v>
      </c>
      <c r="H2199" s="2">
        <v>36523</v>
      </c>
      <c r="I2199" s="2">
        <v>10295</v>
      </c>
    </row>
    <row r="2200" spans="1:9" x14ac:dyDescent="0.3">
      <c r="A2200" t="s">
        <v>34</v>
      </c>
      <c r="B2200" s="1">
        <v>45078</v>
      </c>
      <c r="C2200" s="2">
        <v>275555</v>
      </c>
      <c r="D2200" s="2">
        <v>6490</v>
      </c>
      <c r="E2200" s="2">
        <v>249327</v>
      </c>
      <c r="F2200" s="2">
        <v>3612</v>
      </c>
      <c r="G2200" s="2">
        <v>-2594</v>
      </c>
      <c r="H2200" s="2">
        <v>26228</v>
      </c>
      <c r="I2200" s="2">
        <v>2878</v>
      </c>
    </row>
    <row r="2201" spans="1:9" x14ac:dyDescent="0.3">
      <c r="A2201" t="s">
        <v>34</v>
      </c>
      <c r="B2201" s="1">
        <v>45047</v>
      </c>
      <c r="C2201" s="2">
        <v>265888</v>
      </c>
      <c r="D2201" s="2">
        <v>33278</v>
      </c>
      <c r="E2201" s="2">
        <v>242538</v>
      </c>
      <c r="F2201" s="2">
        <v>31037</v>
      </c>
      <c r="G2201" s="2">
        <v>-1764</v>
      </c>
      <c r="H2201" s="2">
        <v>23350</v>
      </c>
      <c r="I2201" s="2">
        <v>2241</v>
      </c>
    </row>
    <row r="2202" spans="1:9" x14ac:dyDescent="0.3">
      <c r="A2202" t="s">
        <v>34</v>
      </c>
      <c r="B2202" s="1">
        <v>45017</v>
      </c>
      <c r="C2202" s="2">
        <v>247080</v>
      </c>
      <c r="D2202" s="2">
        <v>1166</v>
      </c>
      <c r="E2202" s="2">
        <v>225971</v>
      </c>
      <c r="F2202" s="2">
        <v>2612</v>
      </c>
      <c r="G2202" s="2">
        <v>1662</v>
      </c>
      <c r="H2202" s="2">
        <v>21109</v>
      </c>
      <c r="I2202" s="2">
        <v>-1446</v>
      </c>
    </row>
    <row r="2203" spans="1:9" x14ac:dyDescent="0.3">
      <c r="A2203" t="s">
        <v>34</v>
      </c>
      <c r="B2203" s="1">
        <v>44986</v>
      </c>
      <c r="C2203" s="2">
        <v>245299</v>
      </c>
      <c r="D2203" s="2">
        <v>3504</v>
      </c>
      <c r="E2203" s="2">
        <v>222744</v>
      </c>
      <c r="F2203" s="2">
        <v>6428</v>
      </c>
      <c r="G2203" s="2">
        <v>4797</v>
      </c>
      <c r="H2203" s="2">
        <v>22555</v>
      </c>
      <c r="I2203" s="2">
        <v>-2924</v>
      </c>
    </row>
    <row r="2204" spans="1:9" x14ac:dyDescent="0.3">
      <c r="A2204" t="s">
        <v>34</v>
      </c>
      <c r="B2204" s="1">
        <v>44958</v>
      </c>
      <c r="C2204" s="2">
        <v>235308</v>
      </c>
      <c r="D2204" s="2">
        <v>-4076</v>
      </c>
      <c r="E2204" s="2">
        <v>209829</v>
      </c>
      <c r="F2204" s="2">
        <v>-3998</v>
      </c>
      <c r="G2204" s="2">
        <v>-4849</v>
      </c>
      <c r="H2204" s="2">
        <v>25479</v>
      </c>
      <c r="I2204" s="2">
        <v>-78</v>
      </c>
    </row>
    <row r="2205" spans="1:9" hidden="1" x14ac:dyDescent="0.3">
      <c r="A2205" t="s">
        <v>34</v>
      </c>
      <c r="B2205" s="1">
        <v>44927</v>
      </c>
      <c r="C2205" s="2">
        <v>254095</v>
      </c>
      <c r="D2205" s="2" t="s">
        <v>3</v>
      </c>
      <c r="E2205" s="2">
        <v>228538</v>
      </c>
      <c r="F2205" s="2" t="s">
        <v>3</v>
      </c>
      <c r="G2205" s="2" t="s">
        <v>3</v>
      </c>
      <c r="H2205" s="2">
        <v>25557</v>
      </c>
      <c r="I2205" s="2">
        <v>3088</v>
      </c>
    </row>
    <row r="2206" spans="1:9" hidden="1" x14ac:dyDescent="0.3">
      <c r="A2206" t="s">
        <v>34</v>
      </c>
      <c r="B2206" s="1">
        <v>44896</v>
      </c>
      <c r="C2206" s="2">
        <v>215054</v>
      </c>
      <c r="D2206" s="2" t="s">
        <v>3</v>
      </c>
      <c r="E2206" s="2">
        <v>192585</v>
      </c>
      <c r="F2206" s="2" t="s">
        <v>3</v>
      </c>
      <c r="G2206" s="2" t="s">
        <v>3</v>
      </c>
      <c r="H2206" s="2">
        <v>22469</v>
      </c>
      <c r="I2206" s="2">
        <v>-1745</v>
      </c>
    </row>
    <row r="2207" spans="1:9" hidden="1" x14ac:dyDescent="0.3">
      <c r="A2207" t="s">
        <v>34</v>
      </c>
      <c r="B2207" s="1">
        <v>44866</v>
      </c>
      <c r="C2207" s="2">
        <v>228760</v>
      </c>
      <c r="D2207" s="2" t="s">
        <v>3</v>
      </c>
      <c r="E2207" s="2">
        <v>204546</v>
      </c>
      <c r="F2207" s="2" t="s">
        <v>3</v>
      </c>
      <c r="G2207" s="2" t="s">
        <v>3</v>
      </c>
      <c r="H2207" s="2">
        <v>24214</v>
      </c>
      <c r="I2207" s="2">
        <v>765</v>
      </c>
    </row>
    <row r="2208" spans="1:9" hidden="1" x14ac:dyDescent="0.3">
      <c r="A2208" t="s">
        <v>34</v>
      </c>
      <c r="B2208" s="1">
        <v>44835</v>
      </c>
      <c r="C2208" s="2">
        <v>218187</v>
      </c>
      <c r="D2208" s="2" t="s">
        <v>3</v>
      </c>
      <c r="E2208" s="2">
        <v>194738</v>
      </c>
      <c r="F2208" s="2" t="s">
        <v>3</v>
      </c>
      <c r="G2208" s="2" t="s">
        <v>3</v>
      </c>
      <c r="H2208" s="2">
        <v>23449</v>
      </c>
      <c r="I2208" s="2">
        <v>4493</v>
      </c>
    </row>
    <row r="2209" spans="1:9" hidden="1" x14ac:dyDescent="0.3">
      <c r="A2209" t="s">
        <v>34</v>
      </c>
      <c r="B2209" s="1">
        <v>44805</v>
      </c>
      <c r="C2209" s="2">
        <v>199922</v>
      </c>
      <c r="D2209" s="2" t="s">
        <v>3</v>
      </c>
      <c r="E2209" s="2">
        <v>180966</v>
      </c>
      <c r="F2209" s="2" t="s">
        <v>3</v>
      </c>
      <c r="G2209" s="2" t="s">
        <v>3</v>
      </c>
      <c r="H2209" s="2">
        <v>18956</v>
      </c>
      <c r="I2209" s="2">
        <v>217</v>
      </c>
    </row>
    <row r="2210" spans="1:9" hidden="1" x14ac:dyDescent="0.3">
      <c r="A2210" t="s">
        <v>34</v>
      </c>
      <c r="B2210" s="1">
        <v>44774</v>
      </c>
      <c r="C2210" s="2">
        <v>228223</v>
      </c>
      <c r="D2210" s="2" t="s">
        <v>3</v>
      </c>
      <c r="E2210" s="2">
        <v>209484</v>
      </c>
      <c r="F2210" s="2" t="s">
        <v>3</v>
      </c>
      <c r="G2210" s="2" t="s">
        <v>3</v>
      </c>
      <c r="H2210" s="2">
        <v>18739</v>
      </c>
      <c r="I2210" s="2">
        <v>-470</v>
      </c>
    </row>
    <row r="2211" spans="1:9" hidden="1" x14ac:dyDescent="0.3">
      <c r="A2211" t="s">
        <v>34</v>
      </c>
      <c r="B2211" s="1">
        <v>44743</v>
      </c>
      <c r="C2211" s="2">
        <v>227947</v>
      </c>
      <c r="D2211" s="2" t="s">
        <v>3</v>
      </c>
      <c r="E2211" s="2">
        <v>208738</v>
      </c>
      <c r="F2211" s="2" t="s">
        <v>3</v>
      </c>
      <c r="G2211" s="2" t="s">
        <v>3</v>
      </c>
      <c r="H2211" s="2">
        <v>19209</v>
      </c>
      <c r="I2211" s="2">
        <v>2863</v>
      </c>
    </row>
    <row r="2212" spans="1:9" hidden="1" x14ac:dyDescent="0.3">
      <c r="A2212" t="s">
        <v>34</v>
      </c>
      <c r="B2212" s="1">
        <v>44713</v>
      </c>
      <c r="C2212" s="2">
        <v>206186</v>
      </c>
      <c r="D2212" s="2" t="s">
        <v>3</v>
      </c>
      <c r="E2212" s="2">
        <v>189840</v>
      </c>
      <c r="F2212" s="2" t="s">
        <v>3</v>
      </c>
      <c r="G2212" s="2" t="s">
        <v>3</v>
      </c>
      <c r="H2212" s="2">
        <v>16346</v>
      </c>
      <c r="I2212" s="2">
        <v>1941</v>
      </c>
    </row>
    <row r="2213" spans="1:9" hidden="1" x14ac:dyDescent="0.3">
      <c r="A2213" t="s">
        <v>34</v>
      </c>
      <c r="B2213" s="1">
        <v>44682</v>
      </c>
      <c r="C2213" s="2">
        <v>225459</v>
      </c>
      <c r="D2213" s="2" t="s">
        <v>3</v>
      </c>
      <c r="E2213" s="2">
        <v>211054</v>
      </c>
      <c r="F2213" s="2" t="s">
        <v>3</v>
      </c>
      <c r="G2213" s="2" t="s">
        <v>3</v>
      </c>
      <c r="H2213" s="2">
        <v>14405</v>
      </c>
      <c r="I2213" s="2">
        <v>-7680</v>
      </c>
    </row>
    <row r="2214" spans="1:9" hidden="1" x14ac:dyDescent="0.3">
      <c r="A2214" t="s">
        <v>34</v>
      </c>
      <c r="B2214" s="1">
        <v>44652</v>
      </c>
      <c r="C2214" s="2">
        <v>234650</v>
      </c>
      <c r="D2214" s="2" t="s">
        <v>3</v>
      </c>
      <c r="E2214" s="2">
        <v>212565</v>
      </c>
      <c r="F2214" s="2" t="s">
        <v>3</v>
      </c>
      <c r="G2214" s="2" t="s">
        <v>3</v>
      </c>
      <c r="H2214" s="2">
        <v>22085</v>
      </c>
      <c r="I2214" s="2">
        <v>127</v>
      </c>
    </row>
    <row r="2215" spans="1:9" hidden="1" x14ac:dyDescent="0.3">
      <c r="A2215" t="s">
        <v>34</v>
      </c>
      <c r="B2215" s="1">
        <v>44621</v>
      </c>
      <c r="C2215" s="2">
        <v>236549</v>
      </c>
      <c r="D2215" s="2" t="s">
        <v>3</v>
      </c>
      <c r="E2215" s="2">
        <v>214591</v>
      </c>
      <c r="F2215" s="2" t="s">
        <v>3</v>
      </c>
      <c r="G2215" s="2" t="s">
        <v>3</v>
      </c>
      <c r="H2215" s="2">
        <v>21958</v>
      </c>
      <c r="I2215" s="2">
        <v>-8478</v>
      </c>
    </row>
    <row r="2216" spans="1:9" hidden="1" x14ac:dyDescent="0.3">
      <c r="A2216" t="s">
        <v>34</v>
      </c>
      <c r="B2216" s="1">
        <v>44593</v>
      </c>
      <c r="C2216" s="2">
        <v>224115</v>
      </c>
      <c r="D2216" s="2" t="s">
        <v>3</v>
      </c>
      <c r="E2216" s="2">
        <v>193679</v>
      </c>
      <c r="F2216" s="2" t="s">
        <v>3</v>
      </c>
      <c r="G2216" s="2" t="s">
        <v>3</v>
      </c>
      <c r="H2216" s="2">
        <v>30436</v>
      </c>
      <c r="I2216" s="2">
        <v>8902</v>
      </c>
    </row>
    <row r="2217" spans="1:9" hidden="1" x14ac:dyDescent="0.3">
      <c r="A2217" t="s">
        <v>34</v>
      </c>
      <c r="B2217" s="1">
        <v>44562</v>
      </c>
      <c r="C2217" s="2">
        <v>217589</v>
      </c>
      <c r="D2217" s="2" t="s">
        <v>3</v>
      </c>
      <c r="E2217" s="2">
        <v>196055</v>
      </c>
      <c r="F2217" s="2" t="s">
        <v>3</v>
      </c>
      <c r="G2217" s="2" t="s">
        <v>3</v>
      </c>
      <c r="H2217" s="2">
        <v>21534</v>
      </c>
      <c r="I2217" s="2">
        <v>3339</v>
      </c>
    </row>
    <row r="2218" spans="1:9" hidden="1" x14ac:dyDescent="0.3">
      <c r="A2218" t="s">
        <v>34</v>
      </c>
      <c r="B2218" s="1">
        <v>44531</v>
      </c>
      <c r="C2218" s="2">
        <v>219677</v>
      </c>
      <c r="D2218" s="2" t="s">
        <v>3</v>
      </c>
      <c r="E2218" s="2">
        <v>201482</v>
      </c>
      <c r="F2218" s="2" t="s">
        <v>3</v>
      </c>
      <c r="G2218" s="2" t="s">
        <v>3</v>
      </c>
      <c r="H2218" s="2">
        <v>18195</v>
      </c>
      <c r="I2218" s="2">
        <v>-1164</v>
      </c>
    </row>
    <row r="2219" spans="1:9" hidden="1" x14ac:dyDescent="0.3">
      <c r="A2219" t="s">
        <v>34</v>
      </c>
      <c r="B2219" s="1">
        <v>44501</v>
      </c>
      <c r="C2219" s="2">
        <v>195073</v>
      </c>
      <c r="D2219" s="2" t="s">
        <v>3</v>
      </c>
      <c r="E2219" s="2">
        <v>175714</v>
      </c>
      <c r="F2219" s="2" t="s">
        <v>3</v>
      </c>
      <c r="G2219" s="2" t="s">
        <v>3</v>
      </c>
      <c r="H2219" s="2">
        <v>19359</v>
      </c>
      <c r="I2219" s="2">
        <v>-2011</v>
      </c>
    </row>
    <row r="2220" spans="1:9" hidden="1" x14ac:dyDescent="0.3">
      <c r="A2220" t="s">
        <v>34</v>
      </c>
      <c r="B2220" s="1">
        <v>44470</v>
      </c>
      <c r="C2220" s="2">
        <v>200283</v>
      </c>
      <c r="D2220" s="2" t="s">
        <v>3</v>
      </c>
      <c r="E2220" s="2">
        <v>178913</v>
      </c>
      <c r="F2220" s="2" t="s">
        <v>3</v>
      </c>
      <c r="G2220" s="2" t="s">
        <v>3</v>
      </c>
      <c r="H2220" s="2">
        <v>21370</v>
      </c>
      <c r="I2220" s="2">
        <v>3241</v>
      </c>
    </row>
    <row r="2221" spans="1:9" hidden="1" x14ac:dyDescent="0.3">
      <c r="A2221" t="s">
        <v>34</v>
      </c>
      <c r="B2221" s="1">
        <v>44440</v>
      </c>
      <c r="C2221" s="2">
        <v>167110</v>
      </c>
      <c r="D2221" s="2" t="s">
        <v>3</v>
      </c>
      <c r="E2221" s="2">
        <v>148981</v>
      </c>
      <c r="F2221" s="2" t="s">
        <v>3</v>
      </c>
      <c r="G2221" s="2" t="s">
        <v>3</v>
      </c>
      <c r="H2221" s="2">
        <v>18129</v>
      </c>
      <c r="I2221" s="2">
        <v>588</v>
      </c>
    </row>
    <row r="2222" spans="1:9" hidden="1" x14ac:dyDescent="0.3">
      <c r="A2222" t="s">
        <v>34</v>
      </c>
      <c r="B2222" s="1">
        <v>44409</v>
      </c>
      <c r="C2222" s="2">
        <v>169194</v>
      </c>
      <c r="D2222" s="2" t="s">
        <v>3</v>
      </c>
      <c r="E2222" s="2">
        <v>151653</v>
      </c>
      <c r="F2222" s="2" t="s">
        <v>3</v>
      </c>
      <c r="G2222" s="2" t="s">
        <v>3</v>
      </c>
      <c r="H2222" s="2">
        <v>17541</v>
      </c>
      <c r="I2222" s="2">
        <v>-465</v>
      </c>
    </row>
    <row r="2223" spans="1:9" hidden="1" x14ac:dyDescent="0.3">
      <c r="A2223" t="s">
        <v>34</v>
      </c>
      <c r="B2223" s="1">
        <v>44378</v>
      </c>
      <c r="C2223" s="2">
        <v>167043</v>
      </c>
      <c r="D2223" s="2" t="s">
        <v>3</v>
      </c>
      <c r="E2223" s="2">
        <v>149037</v>
      </c>
      <c r="F2223" s="2" t="s">
        <v>3</v>
      </c>
      <c r="G2223" s="2" t="s">
        <v>3</v>
      </c>
      <c r="H2223" s="2">
        <v>18006</v>
      </c>
      <c r="I2223" s="2">
        <v>252</v>
      </c>
    </row>
    <row r="2224" spans="1:9" hidden="1" x14ac:dyDescent="0.3">
      <c r="A2224" t="s">
        <v>34</v>
      </c>
      <c r="B2224" s="1">
        <v>44348</v>
      </c>
      <c r="C2224" s="2">
        <v>167790</v>
      </c>
      <c r="D2224" s="2" t="s">
        <v>3</v>
      </c>
      <c r="E2224" s="2">
        <v>150036</v>
      </c>
      <c r="F2224" s="2" t="s">
        <v>3</v>
      </c>
      <c r="G2224" s="2" t="s">
        <v>3</v>
      </c>
      <c r="H2224" s="2">
        <v>17754</v>
      </c>
      <c r="I2224" s="2">
        <v>-2780</v>
      </c>
    </row>
    <row r="2225" spans="1:9" hidden="1" x14ac:dyDescent="0.3">
      <c r="A2225" t="s">
        <v>34</v>
      </c>
      <c r="B2225" s="1">
        <v>44317</v>
      </c>
      <c r="C2225" s="2">
        <v>121071</v>
      </c>
      <c r="D2225" s="2" t="s">
        <v>3</v>
      </c>
      <c r="E2225" s="2">
        <v>100537</v>
      </c>
      <c r="F2225" s="2" t="s">
        <v>3</v>
      </c>
      <c r="G2225" s="2" t="s">
        <v>3</v>
      </c>
      <c r="H2225" s="2">
        <v>20534</v>
      </c>
      <c r="I2225" s="2">
        <v>7</v>
      </c>
    </row>
    <row r="2226" spans="1:9" hidden="1" x14ac:dyDescent="0.3">
      <c r="A2226" t="s">
        <v>34</v>
      </c>
      <c r="B2226" s="1">
        <v>44287</v>
      </c>
      <c r="C2226" s="2">
        <v>116069</v>
      </c>
      <c r="D2226" s="2" t="s">
        <v>3</v>
      </c>
      <c r="E2226" s="2">
        <v>95542</v>
      </c>
      <c r="F2226" s="2" t="s">
        <v>3</v>
      </c>
      <c r="G2226" s="2" t="s">
        <v>3</v>
      </c>
      <c r="H2226" s="2">
        <v>20527</v>
      </c>
      <c r="I2226" s="2">
        <v>-210</v>
      </c>
    </row>
    <row r="2227" spans="1:9" hidden="1" x14ac:dyDescent="0.3">
      <c r="A2227" t="s">
        <v>34</v>
      </c>
      <c r="B2227" s="1">
        <v>44256</v>
      </c>
      <c r="C2227" s="2">
        <v>106010</v>
      </c>
      <c r="D2227" s="2" t="s">
        <v>3</v>
      </c>
      <c r="E2227" s="2">
        <v>85273</v>
      </c>
      <c r="F2227" s="2" t="s">
        <v>3</v>
      </c>
      <c r="G2227" s="2" t="s">
        <v>3</v>
      </c>
      <c r="H2227" s="2">
        <v>20737</v>
      </c>
      <c r="I2227" s="2">
        <v>-1110</v>
      </c>
    </row>
    <row r="2228" spans="1:9" hidden="1" x14ac:dyDescent="0.3">
      <c r="A2228" t="s">
        <v>34</v>
      </c>
      <c r="B2228" s="1">
        <v>44228</v>
      </c>
      <c r="C2228" s="2">
        <v>112665</v>
      </c>
      <c r="D2228" s="2" t="s">
        <v>3</v>
      </c>
      <c r="E2228" s="2">
        <v>90818</v>
      </c>
      <c r="F2228" s="2" t="s">
        <v>3</v>
      </c>
      <c r="G2228" s="2" t="s">
        <v>3</v>
      </c>
      <c r="H2228" s="2">
        <v>21847</v>
      </c>
      <c r="I2228" s="2">
        <v>-3676</v>
      </c>
    </row>
    <row r="2229" spans="1:9" hidden="1" x14ac:dyDescent="0.3">
      <c r="A2229" t="s">
        <v>34</v>
      </c>
      <c r="B2229" s="1">
        <v>44197</v>
      </c>
      <c r="C2229" s="2">
        <v>126638</v>
      </c>
      <c r="D2229" s="2" t="s">
        <v>3</v>
      </c>
      <c r="E2229" s="2">
        <v>101115</v>
      </c>
      <c r="F2229" s="2" t="s">
        <v>3</v>
      </c>
      <c r="G2229" s="2" t="s">
        <v>3</v>
      </c>
      <c r="H2229" s="2">
        <v>25523</v>
      </c>
      <c r="I2229" s="2">
        <v>468</v>
      </c>
    </row>
    <row r="2230" spans="1:9" hidden="1" x14ac:dyDescent="0.3">
      <c r="A2230" t="s">
        <v>34</v>
      </c>
      <c r="B2230" s="1">
        <v>44166</v>
      </c>
      <c r="C2230" s="2">
        <v>119907</v>
      </c>
      <c r="D2230" s="2" t="s">
        <v>3</v>
      </c>
      <c r="E2230" s="2">
        <v>94852</v>
      </c>
      <c r="F2230" s="2" t="s">
        <v>3</v>
      </c>
      <c r="G2230" s="2" t="s">
        <v>3</v>
      </c>
      <c r="H2230" s="2">
        <v>25055</v>
      </c>
      <c r="I2230" s="2">
        <v>346</v>
      </c>
    </row>
    <row r="2231" spans="1:9" hidden="1" x14ac:dyDescent="0.3">
      <c r="A2231" t="s">
        <v>34</v>
      </c>
      <c r="B2231" s="1">
        <v>44136</v>
      </c>
      <c r="C2231" s="2">
        <v>127439</v>
      </c>
      <c r="D2231" s="2" t="s">
        <v>3</v>
      </c>
      <c r="E2231" s="2">
        <v>102730</v>
      </c>
      <c r="F2231" s="2" t="s">
        <v>3</v>
      </c>
      <c r="G2231" s="2" t="s">
        <v>3</v>
      </c>
      <c r="H2231" s="2">
        <v>24709</v>
      </c>
      <c r="I2231" s="2">
        <v>3596</v>
      </c>
    </row>
    <row r="2232" spans="1:9" hidden="1" x14ac:dyDescent="0.3">
      <c r="A2232" t="s">
        <v>34</v>
      </c>
      <c r="B2232" s="1">
        <v>44105</v>
      </c>
      <c r="C2232" s="2">
        <v>131335</v>
      </c>
      <c r="D2232" s="2" t="s">
        <v>3</v>
      </c>
      <c r="E2232" s="2">
        <v>110222</v>
      </c>
      <c r="F2232" s="2" t="s">
        <v>3</v>
      </c>
      <c r="G2232" s="2" t="s">
        <v>3</v>
      </c>
      <c r="H2232" s="2">
        <v>21113</v>
      </c>
      <c r="I2232" s="2">
        <v>-2159</v>
      </c>
    </row>
    <row r="2233" spans="1:9" hidden="1" x14ac:dyDescent="0.3">
      <c r="A2233" t="s">
        <v>34</v>
      </c>
      <c r="B2233" s="1">
        <v>44075</v>
      </c>
      <c r="C2233" s="2">
        <v>127984</v>
      </c>
      <c r="D2233" s="2" t="s">
        <v>3</v>
      </c>
      <c r="E2233" s="2">
        <v>104712</v>
      </c>
      <c r="F2233" s="2" t="s">
        <v>3</v>
      </c>
      <c r="G2233" s="2" t="s">
        <v>3</v>
      </c>
      <c r="H2233" s="2">
        <v>23272</v>
      </c>
      <c r="I2233" s="2">
        <v>-2024</v>
      </c>
    </row>
    <row r="2234" spans="1:9" hidden="1" x14ac:dyDescent="0.3">
      <c r="A2234" t="s">
        <v>34</v>
      </c>
      <c r="B2234" s="1">
        <v>44044</v>
      </c>
      <c r="C2234" s="2">
        <v>131055</v>
      </c>
      <c r="D2234" s="2" t="s">
        <v>3</v>
      </c>
      <c r="E2234" s="2">
        <v>105759</v>
      </c>
      <c r="F2234" s="2" t="s">
        <v>3</v>
      </c>
      <c r="G2234" s="2" t="s">
        <v>3</v>
      </c>
      <c r="H2234" s="2">
        <v>25296</v>
      </c>
      <c r="I2234" s="2">
        <v>508</v>
      </c>
    </row>
    <row r="2235" spans="1:9" hidden="1" x14ac:dyDescent="0.3">
      <c r="A2235" t="s">
        <v>34</v>
      </c>
      <c r="B2235" s="1">
        <v>44013</v>
      </c>
      <c r="C2235" s="2">
        <v>133892</v>
      </c>
      <c r="D2235" s="2" t="s">
        <v>3</v>
      </c>
      <c r="E2235" s="2">
        <v>109104</v>
      </c>
      <c r="F2235" s="2" t="s">
        <v>3</v>
      </c>
      <c r="G2235" s="2" t="s">
        <v>3</v>
      </c>
      <c r="H2235" s="2">
        <v>24788</v>
      </c>
      <c r="I2235" s="2">
        <v>-1061</v>
      </c>
    </row>
    <row r="2236" spans="1:9" hidden="1" x14ac:dyDescent="0.3">
      <c r="A2236" t="s">
        <v>34</v>
      </c>
      <c r="B2236" s="1">
        <v>43983</v>
      </c>
      <c r="C2236" s="2">
        <v>127612</v>
      </c>
      <c r="D2236" s="2" t="s">
        <v>3</v>
      </c>
      <c r="E2236" s="2">
        <v>101763</v>
      </c>
      <c r="F2236" s="2" t="s">
        <v>3</v>
      </c>
      <c r="G2236" s="2" t="s">
        <v>3</v>
      </c>
      <c r="H2236" s="2">
        <v>25849</v>
      </c>
      <c r="I2236" s="2">
        <v>837</v>
      </c>
    </row>
    <row r="2237" spans="1:9" hidden="1" x14ac:dyDescent="0.3">
      <c r="A2237" t="s">
        <v>34</v>
      </c>
      <c r="B2237" s="1">
        <v>43952</v>
      </c>
      <c r="C2237" s="2">
        <v>129904</v>
      </c>
      <c r="D2237" s="2" t="s">
        <v>3</v>
      </c>
      <c r="E2237" s="2">
        <v>104892</v>
      </c>
      <c r="F2237" s="2" t="s">
        <v>3</v>
      </c>
      <c r="G2237" s="2" t="s">
        <v>3</v>
      </c>
      <c r="H2237" s="2">
        <v>25012</v>
      </c>
      <c r="I2237" s="2">
        <v>1627</v>
      </c>
    </row>
    <row r="2238" spans="1:9" hidden="1" x14ac:dyDescent="0.3">
      <c r="A2238" t="s">
        <v>34</v>
      </c>
      <c r="B2238" s="1">
        <v>43922</v>
      </c>
      <c r="C2238" s="2">
        <v>136260</v>
      </c>
      <c r="D2238" s="2" t="s">
        <v>3</v>
      </c>
      <c r="E2238" s="2">
        <v>112875</v>
      </c>
      <c r="F2238" s="2" t="s">
        <v>3</v>
      </c>
      <c r="G2238" s="2" t="s">
        <v>3</v>
      </c>
      <c r="H2238" s="2">
        <v>23385</v>
      </c>
      <c r="I2238" s="2">
        <v>3553</v>
      </c>
    </row>
    <row r="2239" spans="1:9" hidden="1" x14ac:dyDescent="0.3">
      <c r="A2239" t="s">
        <v>34</v>
      </c>
      <c r="B2239" s="1">
        <v>43891</v>
      </c>
      <c r="C2239" s="2">
        <v>131519</v>
      </c>
      <c r="D2239" s="2" t="s">
        <v>3</v>
      </c>
      <c r="E2239" s="2">
        <v>111687</v>
      </c>
      <c r="F2239" s="2" t="s">
        <v>3</v>
      </c>
      <c r="G2239" s="2" t="s">
        <v>3</v>
      </c>
      <c r="H2239" s="2">
        <v>19832</v>
      </c>
      <c r="I2239" s="2">
        <v>-1422</v>
      </c>
    </row>
    <row r="2240" spans="1:9" hidden="1" x14ac:dyDescent="0.3">
      <c r="A2240" t="s">
        <v>34</v>
      </c>
      <c r="B2240" s="1">
        <v>43862</v>
      </c>
      <c r="C2240" s="2">
        <v>148298</v>
      </c>
      <c r="D2240" s="2" t="s">
        <v>3</v>
      </c>
      <c r="E2240" s="2">
        <v>127044</v>
      </c>
      <c r="F2240" s="2" t="s">
        <v>3</v>
      </c>
      <c r="G2240" s="2" t="s">
        <v>3</v>
      </c>
      <c r="H2240" s="2">
        <v>21254</v>
      </c>
      <c r="I2240" s="2">
        <v>1936</v>
      </c>
    </row>
    <row r="2241" spans="1:9" hidden="1" x14ac:dyDescent="0.3">
      <c r="A2241" t="s">
        <v>34</v>
      </c>
      <c r="B2241" s="1">
        <v>43831</v>
      </c>
      <c r="C2241" s="2">
        <v>157929</v>
      </c>
      <c r="D2241" s="2" t="s">
        <v>3</v>
      </c>
      <c r="E2241" s="2">
        <v>138611</v>
      </c>
      <c r="F2241" s="2" t="s">
        <v>3</v>
      </c>
      <c r="G2241" s="2" t="s">
        <v>3</v>
      </c>
      <c r="H2241" s="2">
        <v>19318</v>
      </c>
      <c r="I2241" s="2">
        <v>1336</v>
      </c>
    </row>
    <row r="2242" spans="1:9" x14ac:dyDescent="0.3">
      <c r="A2242" t="s">
        <v>35</v>
      </c>
      <c r="B2242" s="1">
        <v>45931</v>
      </c>
      <c r="C2242" s="2">
        <v>11232</v>
      </c>
      <c r="D2242" s="2">
        <v>1597</v>
      </c>
      <c r="E2242" s="2">
        <v>4884</v>
      </c>
      <c r="F2242" s="2">
        <v>917</v>
      </c>
      <c r="G2242" s="2">
        <v>-27</v>
      </c>
      <c r="H2242" s="2">
        <v>6348</v>
      </c>
      <c r="I2242" s="2">
        <v>680</v>
      </c>
    </row>
    <row r="2243" spans="1:9" x14ac:dyDescent="0.3">
      <c r="A2243" t="s">
        <v>35</v>
      </c>
      <c r="B2243" s="1">
        <v>45901</v>
      </c>
      <c r="C2243" s="2">
        <v>9737</v>
      </c>
      <c r="D2243" s="2">
        <v>-460</v>
      </c>
      <c r="E2243" s="2">
        <v>4069</v>
      </c>
      <c r="F2243" s="2">
        <v>196</v>
      </c>
      <c r="G2243" s="2">
        <v>-17</v>
      </c>
      <c r="H2243" s="2">
        <v>5668</v>
      </c>
      <c r="I2243" s="2">
        <v>-656</v>
      </c>
    </row>
    <row r="2244" spans="1:9" x14ac:dyDescent="0.3">
      <c r="A2244" t="s">
        <v>35</v>
      </c>
      <c r="B2244" s="1">
        <v>45870</v>
      </c>
      <c r="C2244" s="2">
        <v>10363</v>
      </c>
      <c r="D2244" s="2">
        <v>528</v>
      </c>
      <c r="E2244" s="2">
        <v>4039</v>
      </c>
      <c r="F2244" s="2">
        <v>540</v>
      </c>
      <c r="G2244" s="2">
        <v>16</v>
      </c>
      <c r="H2244" s="2">
        <v>6324</v>
      </c>
      <c r="I2244" s="2">
        <v>-12</v>
      </c>
    </row>
    <row r="2245" spans="1:9" x14ac:dyDescent="0.3">
      <c r="A2245" t="s">
        <v>35</v>
      </c>
      <c r="B2245" s="1">
        <v>45839</v>
      </c>
      <c r="C2245" s="2">
        <v>9923</v>
      </c>
      <c r="D2245" s="2">
        <v>451</v>
      </c>
      <c r="E2245" s="2">
        <v>3587</v>
      </c>
      <c r="F2245" s="2">
        <v>381</v>
      </c>
      <c r="G2245" s="2">
        <v>-27</v>
      </c>
      <c r="H2245" s="2">
        <v>6336</v>
      </c>
      <c r="I2245" s="2">
        <v>70</v>
      </c>
    </row>
    <row r="2246" spans="1:9" x14ac:dyDescent="0.3">
      <c r="A2246" t="s">
        <v>35</v>
      </c>
      <c r="B2246" s="1">
        <v>45809</v>
      </c>
      <c r="C2246" s="2">
        <v>9685</v>
      </c>
      <c r="D2246" s="2">
        <v>233</v>
      </c>
      <c r="E2246" s="2">
        <v>3419</v>
      </c>
      <c r="F2246" s="2">
        <v>277</v>
      </c>
      <c r="G2246" s="2">
        <v>-18</v>
      </c>
      <c r="H2246" s="2">
        <v>6266</v>
      </c>
      <c r="I2246" s="2">
        <v>-44</v>
      </c>
    </row>
    <row r="2247" spans="1:9" x14ac:dyDescent="0.3">
      <c r="A2247" t="s">
        <v>35</v>
      </c>
      <c r="B2247" s="1">
        <v>45778</v>
      </c>
      <c r="C2247" s="2">
        <v>10025</v>
      </c>
      <c r="D2247" s="2">
        <v>524</v>
      </c>
      <c r="E2247" s="2">
        <v>3715</v>
      </c>
      <c r="F2247" s="2">
        <v>776</v>
      </c>
      <c r="G2247" s="2">
        <v>-20</v>
      </c>
      <c r="H2247" s="2">
        <v>6310</v>
      </c>
      <c r="I2247" s="2">
        <v>-252</v>
      </c>
    </row>
    <row r="2248" spans="1:9" x14ac:dyDescent="0.3">
      <c r="A2248" t="s">
        <v>35</v>
      </c>
      <c r="B2248" s="1">
        <v>45748</v>
      </c>
      <c r="C2248" s="2">
        <v>9562</v>
      </c>
      <c r="D2248" s="2">
        <v>257</v>
      </c>
      <c r="E2248" s="2">
        <v>3000</v>
      </c>
      <c r="F2248" s="2">
        <v>72</v>
      </c>
      <c r="G2248" s="2">
        <v>-9</v>
      </c>
      <c r="H2248" s="2">
        <v>6562</v>
      </c>
      <c r="I2248" s="2">
        <v>185</v>
      </c>
    </row>
    <row r="2249" spans="1:9" x14ac:dyDescent="0.3">
      <c r="A2249" t="s">
        <v>35</v>
      </c>
      <c r="B2249" s="1">
        <v>45717</v>
      </c>
      <c r="C2249" s="2">
        <v>9489</v>
      </c>
      <c r="D2249" s="2">
        <v>-2</v>
      </c>
      <c r="E2249" s="2">
        <v>3112</v>
      </c>
      <c r="F2249" s="2">
        <v>-18</v>
      </c>
      <c r="G2249" s="2">
        <v>-2</v>
      </c>
      <c r="H2249" s="2">
        <v>6377</v>
      </c>
      <c r="I2249" s="2">
        <v>16</v>
      </c>
    </row>
    <row r="2250" spans="1:9" x14ac:dyDescent="0.3">
      <c r="A2250" t="s">
        <v>35</v>
      </c>
      <c r="B2250" s="1">
        <v>45689</v>
      </c>
      <c r="C2250" s="2">
        <v>9415</v>
      </c>
      <c r="D2250" s="2">
        <v>34</v>
      </c>
      <c r="E2250" s="2">
        <v>3054</v>
      </c>
      <c r="F2250" s="2">
        <v>171</v>
      </c>
      <c r="G2250" s="2">
        <v>1</v>
      </c>
      <c r="H2250" s="2">
        <v>6361</v>
      </c>
      <c r="I2250" s="2">
        <v>-137</v>
      </c>
    </row>
    <row r="2251" spans="1:9" x14ac:dyDescent="0.3">
      <c r="A2251" t="s">
        <v>35</v>
      </c>
      <c r="B2251" s="1">
        <v>45658</v>
      </c>
      <c r="C2251" s="2">
        <v>9476</v>
      </c>
      <c r="D2251" s="2">
        <v>141</v>
      </c>
      <c r="E2251" s="2">
        <v>2978</v>
      </c>
      <c r="F2251" s="2">
        <v>230</v>
      </c>
      <c r="G2251" s="2">
        <v>-4</v>
      </c>
      <c r="H2251" s="2">
        <v>6498</v>
      </c>
      <c r="I2251" s="2">
        <v>-89</v>
      </c>
    </row>
    <row r="2252" spans="1:9" x14ac:dyDescent="0.3">
      <c r="A2252" t="s">
        <v>35</v>
      </c>
      <c r="B2252" s="1">
        <v>45627</v>
      </c>
      <c r="C2252" s="2">
        <v>9390</v>
      </c>
      <c r="D2252" s="2">
        <v>255</v>
      </c>
      <c r="E2252" s="2">
        <v>2803</v>
      </c>
      <c r="F2252" s="2">
        <v>228</v>
      </c>
      <c r="G2252" s="2">
        <v>-27</v>
      </c>
      <c r="H2252" s="2">
        <v>6587</v>
      </c>
      <c r="I2252" s="2">
        <v>27</v>
      </c>
    </row>
    <row r="2253" spans="1:9" x14ac:dyDescent="0.3">
      <c r="A2253" t="s">
        <v>35</v>
      </c>
      <c r="B2253" s="1">
        <v>45597</v>
      </c>
      <c r="C2253" s="2">
        <v>10113</v>
      </c>
      <c r="D2253" s="2">
        <v>-155</v>
      </c>
      <c r="E2253" s="2">
        <v>3553</v>
      </c>
      <c r="F2253" s="2">
        <v>116</v>
      </c>
      <c r="G2253" s="2">
        <v>28</v>
      </c>
      <c r="H2253" s="2">
        <v>6560</v>
      </c>
      <c r="I2253" s="2">
        <v>-271</v>
      </c>
    </row>
    <row r="2254" spans="1:9" x14ac:dyDescent="0.3">
      <c r="A2254" t="s">
        <v>35</v>
      </c>
      <c r="B2254" s="1">
        <v>45566</v>
      </c>
      <c r="C2254" s="2">
        <v>10301</v>
      </c>
      <c r="D2254" s="2">
        <v>-173</v>
      </c>
      <c r="E2254" s="2">
        <v>3470</v>
      </c>
      <c r="F2254" s="2">
        <v>84</v>
      </c>
      <c r="G2254" s="2">
        <v>-74</v>
      </c>
      <c r="H2254" s="2">
        <v>6831</v>
      </c>
      <c r="I2254" s="2">
        <v>-257</v>
      </c>
    </row>
    <row r="2255" spans="1:9" x14ac:dyDescent="0.3">
      <c r="A2255" t="s">
        <v>35</v>
      </c>
      <c r="B2255" s="1">
        <v>45536</v>
      </c>
      <c r="C2255" s="2">
        <v>10587</v>
      </c>
      <c r="D2255" s="2">
        <v>-187</v>
      </c>
      <c r="E2255" s="2">
        <v>3499</v>
      </c>
      <c r="F2255" s="2">
        <v>-129</v>
      </c>
      <c r="G2255" s="2">
        <v>4</v>
      </c>
      <c r="H2255" s="2">
        <v>7088</v>
      </c>
      <c r="I2255" s="2">
        <v>-58</v>
      </c>
    </row>
    <row r="2256" spans="1:9" x14ac:dyDescent="0.3">
      <c r="A2256" t="s">
        <v>35</v>
      </c>
      <c r="B2256" s="1">
        <v>45505</v>
      </c>
      <c r="C2256" s="2">
        <v>10301</v>
      </c>
      <c r="D2256" s="2">
        <v>838</v>
      </c>
      <c r="E2256" s="2">
        <v>3155</v>
      </c>
      <c r="F2256" s="2">
        <v>258</v>
      </c>
      <c r="G2256" s="2">
        <v>16</v>
      </c>
      <c r="H2256" s="2">
        <v>7146</v>
      </c>
      <c r="I2256" s="2">
        <v>580</v>
      </c>
    </row>
    <row r="2257" spans="1:9" x14ac:dyDescent="0.3">
      <c r="A2257" t="s">
        <v>35</v>
      </c>
      <c r="B2257" s="1">
        <v>45474</v>
      </c>
      <c r="C2257" s="2">
        <v>9199</v>
      </c>
      <c r="D2257" s="2">
        <v>416</v>
      </c>
      <c r="E2257" s="2">
        <v>2633</v>
      </c>
      <c r="F2257" s="2">
        <v>110</v>
      </c>
      <c r="G2257" s="2">
        <v>18</v>
      </c>
      <c r="H2257" s="2">
        <v>6566</v>
      </c>
      <c r="I2257" s="2">
        <v>306</v>
      </c>
    </row>
    <row r="2258" spans="1:9" x14ac:dyDescent="0.3">
      <c r="A2258" t="s">
        <v>35</v>
      </c>
      <c r="B2258" s="1">
        <v>45444</v>
      </c>
      <c r="C2258" s="2">
        <v>8836</v>
      </c>
      <c r="D2258" s="2">
        <v>85</v>
      </c>
      <c r="E2258" s="2">
        <v>2576</v>
      </c>
      <c r="F2258" s="2">
        <v>111</v>
      </c>
      <c r="G2258" s="2">
        <v>42</v>
      </c>
      <c r="H2258" s="2">
        <v>6260</v>
      </c>
      <c r="I2258" s="2">
        <v>-26</v>
      </c>
    </row>
    <row r="2259" spans="1:9" x14ac:dyDescent="0.3">
      <c r="A2259" t="s">
        <v>35</v>
      </c>
      <c r="B2259" s="1">
        <v>45413</v>
      </c>
      <c r="C2259" s="2">
        <v>8802</v>
      </c>
      <c r="D2259" s="2">
        <v>283</v>
      </c>
      <c r="E2259" s="2">
        <v>2516</v>
      </c>
      <c r="F2259" s="2">
        <v>131</v>
      </c>
      <c r="G2259" s="2">
        <v>16</v>
      </c>
      <c r="H2259" s="2">
        <v>6286</v>
      </c>
      <c r="I2259" s="2">
        <v>152</v>
      </c>
    </row>
    <row r="2260" spans="1:9" x14ac:dyDescent="0.3">
      <c r="A2260" t="s">
        <v>35</v>
      </c>
      <c r="B2260" s="1">
        <v>45383</v>
      </c>
      <c r="C2260" s="2">
        <v>8678</v>
      </c>
      <c r="D2260" s="2">
        <v>1217</v>
      </c>
      <c r="E2260" s="2">
        <v>2544</v>
      </c>
      <c r="F2260" s="2">
        <v>954</v>
      </c>
      <c r="G2260" s="2">
        <v>-16</v>
      </c>
      <c r="H2260" s="2">
        <v>6134</v>
      </c>
      <c r="I2260" s="2">
        <v>263</v>
      </c>
    </row>
    <row r="2261" spans="1:9" x14ac:dyDescent="0.3">
      <c r="A2261" t="s">
        <v>35</v>
      </c>
      <c r="B2261" s="1">
        <v>45352</v>
      </c>
      <c r="C2261" s="2">
        <v>8569</v>
      </c>
      <c r="D2261" s="2">
        <v>1030</v>
      </c>
      <c r="E2261" s="2">
        <v>2698</v>
      </c>
      <c r="F2261" s="2">
        <v>46</v>
      </c>
      <c r="G2261" s="2">
        <v>10</v>
      </c>
      <c r="H2261" s="2">
        <v>5871</v>
      </c>
      <c r="I2261" s="2">
        <v>984</v>
      </c>
    </row>
    <row r="2262" spans="1:9" x14ac:dyDescent="0.3">
      <c r="A2262" t="s">
        <v>35</v>
      </c>
      <c r="B2262" s="1">
        <v>45323</v>
      </c>
      <c r="C2262" s="2">
        <v>7679</v>
      </c>
      <c r="D2262" s="2">
        <v>-72</v>
      </c>
      <c r="E2262" s="2">
        <v>2792</v>
      </c>
      <c r="F2262" s="2">
        <v>35</v>
      </c>
      <c r="G2262" s="2">
        <v>-18</v>
      </c>
      <c r="H2262" s="2">
        <v>4887</v>
      </c>
      <c r="I2262" s="2">
        <v>-107</v>
      </c>
    </row>
    <row r="2263" spans="1:9" x14ac:dyDescent="0.3">
      <c r="A2263" t="s">
        <v>35</v>
      </c>
      <c r="B2263" s="1">
        <v>45292</v>
      </c>
      <c r="C2263" s="2">
        <v>7800</v>
      </c>
      <c r="D2263" s="2">
        <v>232</v>
      </c>
      <c r="E2263" s="2">
        <v>2806</v>
      </c>
      <c r="F2263" s="2">
        <v>184</v>
      </c>
      <c r="G2263" s="2">
        <v>-12</v>
      </c>
      <c r="H2263" s="2">
        <v>4994</v>
      </c>
      <c r="I2263" s="2">
        <v>48</v>
      </c>
    </row>
    <row r="2264" spans="1:9" x14ac:dyDescent="0.3">
      <c r="A2264" t="s">
        <v>35</v>
      </c>
      <c r="B2264" s="1">
        <v>45261</v>
      </c>
      <c r="C2264" s="2">
        <v>7670</v>
      </c>
      <c r="D2264" s="2">
        <v>204</v>
      </c>
      <c r="E2264" s="2">
        <v>2724</v>
      </c>
      <c r="F2264" s="2">
        <v>307</v>
      </c>
      <c r="G2264" s="2">
        <v>27</v>
      </c>
      <c r="H2264" s="2">
        <v>4946</v>
      </c>
      <c r="I2264" s="2">
        <v>-103</v>
      </c>
    </row>
    <row r="2265" spans="1:9" x14ac:dyDescent="0.3">
      <c r="A2265" t="s">
        <v>35</v>
      </c>
      <c r="B2265" s="1">
        <v>45231</v>
      </c>
      <c r="C2265" s="2">
        <v>7468</v>
      </c>
      <c r="D2265" s="2">
        <v>67</v>
      </c>
      <c r="E2265" s="2">
        <v>2419</v>
      </c>
      <c r="F2265" s="2">
        <v>246</v>
      </c>
      <c r="G2265" s="2">
        <v>10</v>
      </c>
      <c r="H2265" s="2">
        <v>5049</v>
      </c>
      <c r="I2265" s="2">
        <v>-179</v>
      </c>
    </row>
    <row r="2266" spans="1:9" x14ac:dyDescent="0.3">
      <c r="A2266" t="s">
        <v>35</v>
      </c>
      <c r="B2266" s="1">
        <v>45200</v>
      </c>
      <c r="C2266" s="2">
        <v>7534</v>
      </c>
      <c r="D2266" s="2">
        <v>-1377</v>
      </c>
      <c r="E2266" s="2">
        <v>2306</v>
      </c>
      <c r="F2266" s="2">
        <v>173</v>
      </c>
      <c r="G2266" s="2">
        <v>-3</v>
      </c>
      <c r="H2266" s="2">
        <v>5228</v>
      </c>
      <c r="I2266" s="2">
        <v>-1550</v>
      </c>
    </row>
    <row r="2267" spans="1:9" x14ac:dyDescent="0.3">
      <c r="A2267" t="s">
        <v>35</v>
      </c>
      <c r="B2267" s="1">
        <v>45170</v>
      </c>
      <c r="C2267" s="2">
        <v>9084</v>
      </c>
      <c r="D2267" s="2">
        <v>363</v>
      </c>
      <c r="E2267" s="2">
        <v>2306</v>
      </c>
      <c r="F2267" s="2">
        <v>188</v>
      </c>
      <c r="G2267" s="2">
        <v>-46</v>
      </c>
      <c r="H2267" s="2">
        <v>6778</v>
      </c>
      <c r="I2267" s="2">
        <v>175</v>
      </c>
    </row>
    <row r="2268" spans="1:9" x14ac:dyDescent="0.3">
      <c r="A2268" t="s">
        <v>35</v>
      </c>
      <c r="B2268" s="1">
        <v>45139</v>
      </c>
      <c r="C2268" s="2">
        <v>8792</v>
      </c>
      <c r="D2268" s="2">
        <v>234</v>
      </c>
      <c r="E2268" s="2">
        <v>2189</v>
      </c>
      <c r="F2268" s="2">
        <v>182</v>
      </c>
      <c r="G2268" s="2">
        <v>-6</v>
      </c>
      <c r="H2268" s="2">
        <v>6603</v>
      </c>
      <c r="I2268" s="2">
        <v>52</v>
      </c>
    </row>
    <row r="2269" spans="1:9" x14ac:dyDescent="0.3">
      <c r="A2269" t="s">
        <v>35</v>
      </c>
      <c r="B2269" s="1">
        <v>45108</v>
      </c>
      <c r="C2269" s="2">
        <v>8584</v>
      </c>
      <c r="D2269" s="2">
        <v>211</v>
      </c>
      <c r="E2269" s="2">
        <v>2033</v>
      </c>
      <c r="F2269" s="2">
        <v>73</v>
      </c>
      <c r="G2269" s="2">
        <v>-18</v>
      </c>
      <c r="H2269" s="2">
        <v>6551</v>
      </c>
      <c r="I2269" s="2">
        <v>138</v>
      </c>
    </row>
    <row r="2270" spans="1:9" x14ac:dyDescent="0.3">
      <c r="A2270" t="s">
        <v>35</v>
      </c>
      <c r="B2270" s="1">
        <v>45078</v>
      </c>
      <c r="C2270" s="2">
        <v>8400</v>
      </c>
      <c r="D2270" s="2">
        <v>185</v>
      </c>
      <c r="E2270" s="2">
        <v>1987</v>
      </c>
      <c r="F2270" s="2">
        <v>86</v>
      </c>
      <c r="G2270" s="2">
        <v>-13</v>
      </c>
      <c r="H2270" s="2">
        <v>6413</v>
      </c>
      <c r="I2270" s="2">
        <v>99</v>
      </c>
    </row>
    <row r="2271" spans="1:9" x14ac:dyDescent="0.3">
      <c r="A2271" t="s">
        <v>35</v>
      </c>
      <c r="B2271" s="1">
        <v>45047</v>
      </c>
      <c r="C2271" s="2">
        <v>8230</v>
      </c>
      <c r="D2271" s="2">
        <v>235</v>
      </c>
      <c r="E2271" s="2">
        <v>1916</v>
      </c>
      <c r="F2271" s="2">
        <v>122</v>
      </c>
      <c r="G2271" s="2">
        <v>7</v>
      </c>
      <c r="H2271" s="2">
        <v>6314</v>
      </c>
      <c r="I2271" s="2">
        <v>113</v>
      </c>
    </row>
    <row r="2272" spans="1:9" x14ac:dyDescent="0.3">
      <c r="A2272" t="s">
        <v>35</v>
      </c>
      <c r="B2272" s="1">
        <v>45017</v>
      </c>
      <c r="C2272" s="2">
        <v>8056</v>
      </c>
      <c r="D2272" s="2">
        <v>305</v>
      </c>
      <c r="E2272" s="2">
        <v>1855</v>
      </c>
      <c r="F2272" s="2">
        <v>88</v>
      </c>
      <c r="G2272" s="2">
        <v>2</v>
      </c>
      <c r="H2272" s="2">
        <v>6201</v>
      </c>
      <c r="I2272" s="2">
        <v>217</v>
      </c>
    </row>
    <row r="2273" spans="1:9" x14ac:dyDescent="0.3">
      <c r="A2273" t="s">
        <v>35</v>
      </c>
      <c r="B2273" s="1">
        <v>44986</v>
      </c>
      <c r="C2273" s="2">
        <v>7838</v>
      </c>
      <c r="D2273" s="2">
        <v>867</v>
      </c>
      <c r="E2273" s="2">
        <v>1854</v>
      </c>
      <c r="F2273" s="2">
        <v>214</v>
      </c>
      <c r="G2273" s="2">
        <v>-243</v>
      </c>
      <c r="H2273" s="2">
        <v>5984</v>
      </c>
      <c r="I2273" s="2">
        <v>653</v>
      </c>
    </row>
    <row r="2274" spans="1:9" x14ac:dyDescent="0.3">
      <c r="A2274" t="s">
        <v>35</v>
      </c>
      <c r="B2274" s="1">
        <v>44958</v>
      </c>
      <c r="C2274" s="2">
        <v>7179</v>
      </c>
      <c r="D2274" s="2">
        <v>381</v>
      </c>
      <c r="E2274" s="2">
        <v>1848</v>
      </c>
      <c r="F2274" s="2">
        <v>141</v>
      </c>
      <c r="G2274" s="2">
        <v>-15</v>
      </c>
      <c r="H2274" s="2">
        <v>5331</v>
      </c>
      <c r="I2274" s="2">
        <v>240</v>
      </c>
    </row>
    <row r="2275" spans="1:9" hidden="1" x14ac:dyDescent="0.3">
      <c r="A2275" t="s">
        <v>35</v>
      </c>
      <c r="B2275" s="1">
        <v>44927</v>
      </c>
      <c r="C2275" s="2">
        <v>6854</v>
      </c>
      <c r="D2275" s="2" t="s">
        <v>3</v>
      </c>
      <c r="E2275" s="2">
        <v>1763</v>
      </c>
      <c r="F2275" s="2" t="s">
        <v>3</v>
      </c>
      <c r="G2275" s="2" t="s">
        <v>3</v>
      </c>
      <c r="H2275" s="2">
        <v>5091</v>
      </c>
      <c r="I2275" s="2">
        <v>378</v>
      </c>
    </row>
    <row r="2276" spans="1:9" hidden="1" x14ac:dyDescent="0.3">
      <c r="A2276" t="s">
        <v>35</v>
      </c>
      <c r="B2276" s="1">
        <v>44896</v>
      </c>
      <c r="C2276" s="2">
        <v>6542</v>
      </c>
      <c r="D2276" s="2" t="s">
        <v>3</v>
      </c>
      <c r="E2276" s="2">
        <v>1829</v>
      </c>
      <c r="F2276" s="2" t="s">
        <v>3</v>
      </c>
      <c r="G2276" s="2" t="s">
        <v>3</v>
      </c>
      <c r="H2276" s="2">
        <v>4713</v>
      </c>
      <c r="I2276" s="2">
        <v>-277</v>
      </c>
    </row>
    <row r="2277" spans="1:9" hidden="1" x14ac:dyDescent="0.3">
      <c r="A2277" t="s">
        <v>35</v>
      </c>
      <c r="B2277" s="1">
        <v>44866</v>
      </c>
      <c r="C2277" s="2">
        <v>6759</v>
      </c>
      <c r="D2277" s="2" t="s">
        <v>3</v>
      </c>
      <c r="E2277" s="2">
        <v>1769</v>
      </c>
      <c r="F2277" s="2" t="s">
        <v>3</v>
      </c>
      <c r="G2277" s="2" t="s">
        <v>3</v>
      </c>
      <c r="H2277" s="2">
        <v>4990</v>
      </c>
      <c r="I2277" s="2">
        <v>292</v>
      </c>
    </row>
    <row r="2278" spans="1:9" hidden="1" x14ac:dyDescent="0.3">
      <c r="A2278" t="s">
        <v>35</v>
      </c>
      <c r="B2278" s="1">
        <v>44835</v>
      </c>
      <c r="C2278" s="2">
        <v>6208</v>
      </c>
      <c r="D2278" s="2" t="s">
        <v>3</v>
      </c>
      <c r="E2278" s="2">
        <v>1510</v>
      </c>
      <c r="F2278" s="2" t="s">
        <v>3</v>
      </c>
      <c r="G2278" s="2" t="s">
        <v>3</v>
      </c>
      <c r="H2278" s="2">
        <v>4698</v>
      </c>
      <c r="I2278" s="2">
        <v>499</v>
      </c>
    </row>
    <row r="2279" spans="1:9" hidden="1" x14ac:dyDescent="0.3">
      <c r="A2279" t="s">
        <v>35</v>
      </c>
      <c r="B2279" s="1">
        <v>44805</v>
      </c>
      <c r="C2279" s="2">
        <v>5536</v>
      </c>
      <c r="D2279" s="2" t="s">
        <v>3</v>
      </c>
      <c r="E2279" s="2">
        <v>1337</v>
      </c>
      <c r="F2279" s="2" t="s">
        <v>3</v>
      </c>
      <c r="G2279" s="2" t="s">
        <v>3</v>
      </c>
      <c r="H2279" s="2">
        <v>4199</v>
      </c>
      <c r="I2279" s="2">
        <v>275</v>
      </c>
    </row>
    <row r="2280" spans="1:9" hidden="1" x14ac:dyDescent="0.3">
      <c r="A2280" t="s">
        <v>35</v>
      </c>
      <c r="B2280" s="1">
        <v>44774</v>
      </c>
      <c r="C2280" s="2">
        <v>5225</v>
      </c>
      <c r="D2280" s="2" t="s">
        <v>3</v>
      </c>
      <c r="E2280" s="2">
        <v>1301</v>
      </c>
      <c r="F2280" s="2" t="s">
        <v>3</v>
      </c>
      <c r="G2280" s="2" t="s">
        <v>3</v>
      </c>
      <c r="H2280" s="2">
        <v>3924</v>
      </c>
      <c r="I2280" s="2">
        <v>237</v>
      </c>
    </row>
    <row r="2281" spans="1:9" hidden="1" x14ac:dyDescent="0.3">
      <c r="A2281" t="s">
        <v>35</v>
      </c>
      <c r="B2281" s="1">
        <v>44743</v>
      </c>
      <c r="C2281" s="2">
        <v>4892</v>
      </c>
      <c r="D2281" s="2" t="s">
        <v>3</v>
      </c>
      <c r="E2281" s="2">
        <v>1205</v>
      </c>
      <c r="F2281" s="2" t="s">
        <v>3</v>
      </c>
      <c r="G2281" s="2" t="s">
        <v>3</v>
      </c>
      <c r="H2281" s="2">
        <v>3687</v>
      </c>
      <c r="I2281" s="2">
        <v>399</v>
      </c>
    </row>
    <row r="2282" spans="1:9" hidden="1" x14ac:dyDescent="0.3">
      <c r="A2282" t="s">
        <v>35</v>
      </c>
      <c r="B2282" s="1">
        <v>44713</v>
      </c>
      <c r="C2282" s="2">
        <v>4381</v>
      </c>
      <c r="D2282" s="2" t="s">
        <v>3</v>
      </c>
      <c r="E2282" s="2">
        <v>1093</v>
      </c>
      <c r="F2282" s="2" t="s">
        <v>3</v>
      </c>
      <c r="G2282" s="2" t="s">
        <v>3</v>
      </c>
      <c r="H2282" s="2">
        <v>3288</v>
      </c>
      <c r="I2282" s="2">
        <v>362</v>
      </c>
    </row>
    <row r="2283" spans="1:9" hidden="1" x14ac:dyDescent="0.3">
      <c r="A2283" t="s">
        <v>35</v>
      </c>
      <c r="B2283" s="1">
        <v>44682</v>
      </c>
      <c r="C2283" s="2">
        <v>3860</v>
      </c>
      <c r="D2283" s="2" t="s">
        <v>3</v>
      </c>
      <c r="E2283" s="2">
        <v>934</v>
      </c>
      <c r="F2283" s="2" t="s">
        <v>3</v>
      </c>
      <c r="G2283" s="2" t="s">
        <v>3</v>
      </c>
      <c r="H2283" s="2">
        <v>2926</v>
      </c>
      <c r="I2283" s="2">
        <v>60</v>
      </c>
    </row>
    <row r="2284" spans="1:9" hidden="1" x14ac:dyDescent="0.3">
      <c r="A2284" t="s">
        <v>35</v>
      </c>
      <c r="B2284" s="1">
        <v>44652</v>
      </c>
      <c r="C2284" s="2">
        <v>3781</v>
      </c>
      <c r="D2284" s="2" t="s">
        <v>3</v>
      </c>
      <c r="E2284" s="2">
        <v>915</v>
      </c>
      <c r="F2284" s="2" t="s">
        <v>3</v>
      </c>
      <c r="G2284" s="2" t="s">
        <v>3</v>
      </c>
      <c r="H2284" s="2">
        <v>2866</v>
      </c>
      <c r="I2284" s="2">
        <v>199</v>
      </c>
    </row>
    <row r="2285" spans="1:9" hidden="1" x14ac:dyDescent="0.3">
      <c r="A2285" t="s">
        <v>35</v>
      </c>
      <c r="B2285" s="1">
        <v>44621</v>
      </c>
      <c r="C2285" s="2">
        <v>3455</v>
      </c>
      <c r="D2285" s="2" t="s">
        <v>3</v>
      </c>
      <c r="E2285" s="2">
        <v>788</v>
      </c>
      <c r="F2285" s="2" t="s">
        <v>3</v>
      </c>
      <c r="G2285" s="2" t="s">
        <v>3</v>
      </c>
      <c r="H2285" s="2">
        <v>2667</v>
      </c>
      <c r="I2285" s="2">
        <v>245</v>
      </c>
    </row>
    <row r="2286" spans="1:9" hidden="1" x14ac:dyDescent="0.3">
      <c r="A2286" t="s">
        <v>35</v>
      </c>
      <c r="B2286" s="1">
        <v>44593</v>
      </c>
      <c r="C2286" s="2">
        <v>3148</v>
      </c>
      <c r="D2286" s="2" t="s">
        <v>3</v>
      </c>
      <c r="E2286" s="2">
        <v>726</v>
      </c>
      <c r="F2286" s="2" t="s">
        <v>3</v>
      </c>
      <c r="G2286" s="2" t="s">
        <v>3</v>
      </c>
      <c r="H2286" s="2">
        <v>2422</v>
      </c>
      <c r="I2286" s="2">
        <v>89</v>
      </c>
    </row>
    <row r="2287" spans="1:9" hidden="1" x14ac:dyDescent="0.3">
      <c r="A2287" t="s">
        <v>35</v>
      </c>
      <c r="B2287" s="1">
        <v>44562</v>
      </c>
      <c r="C2287" s="2">
        <v>3090</v>
      </c>
      <c r="D2287" s="2" t="s">
        <v>3</v>
      </c>
      <c r="E2287" s="2">
        <v>757</v>
      </c>
      <c r="F2287" s="2" t="s">
        <v>3</v>
      </c>
      <c r="G2287" s="2" t="s">
        <v>3</v>
      </c>
      <c r="H2287" s="2">
        <v>2333</v>
      </c>
      <c r="I2287" s="2">
        <v>42</v>
      </c>
    </row>
    <row r="2288" spans="1:9" hidden="1" x14ac:dyDescent="0.3">
      <c r="A2288" t="s">
        <v>35</v>
      </c>
      <c r="B2288" s="1">
        <v>44531</v>
      </c>
      <c r="C2288" s="2">
        <v>3053</v>
      </c>
      <c r="D2288" s="2" t="s">
        <v>3</v>
      </c>
      <c r="E2288" s="2">
        <v>762</v>
      </c>
      <c r="F2288" s="2" t="s">
        <v>3</v>
      </c>
      <c r="G2288" s="2" t="s">
        <v>3</v>
      </c>
      <c r="H2288" s="2">
        <v>2291</v>
      </c>
      <c r="I2288" s="2">
        <v>-42</v>
      </c>
    </row>
    <row r="2289" spans="1:9" hidden="1" x14ac:dyDescent="0.3">
      <c r="A2289" t="s">
        <v>35</v>
      </c>
      <c r="B2289" s="1">
        <v>44501</v>
      </c>
      <c r="C2289" s="2">
        <v>3111</v>
      </c>
      <c r="D2289" s="2" t="s">
        <v>3</v>
      </c>
      <c r="E2289" s="2">
        <v>778</v>
      </c>
      <c r="F2289" s="2" t="s">
        <v>3</v>
      </c>
      <c r="G2289" s="2" t="s">
        <v>3</v>
      </c>
      <c r="H2289" s="2">
        <v>2333</v>
      </c>
      <c r="I2289" s="2">
        <v>44</v>
      </c>
    </row>
    <row r="2290" spans="1:9" hidden="1" x14ac:dyDescent="0.3">
      <c r="A2290" t="s">
        <v>35</v>
      </c>
      <c r="B2290" s="1">
        <v>44470</v>
      </c>
      <c r="C2290" s="2">
        <v>3121</v>
      </c>
      <c r="D2290" s="2" t="s">
        <v>3</v>
      </c>
      <c r="E2290" s="2">
        <v>832</v>
      </c>
      <c r="F2290" s="2" t="s">
        <v>3</v>
      </c>
      <c r="G2290" s="2" t="s">
        <v>3</v>
      </c>
      <c r="H2290" s="2">
        <v>2289</v>
      </c>
      <c r="I2290" s="2">
        <v>-54</v>
      </c>
    </row>
    <row r="2291" spans="1:9" hidden="1" x14ac:dyDescent="0.3">
      <c r="A2291" t="s">
        <v>35</v>
      </c>
      <c r="B2291" s="1">
        <v>44440</v>
      </c>
      <c r="C2291" s="2">
        <v>3113</v>
      </c>
      <c r="D2291" s="2" t="s">
        <v>3</v>
      </c>
      <c r="E2291" s="2">
        <v>770</v>
      </c>
      <c r="F2291" s="2" t="s">
        <v>3</v>
      </c>
      <c r="G2291" s="2" t="s">
        <v>3</v>
      </c>
      <c r="H2291" s="2">
        <v>2343</v>
      </c>
      <c r="I2291" s="2">
        <v>72</v>
      </c>
    </row>
    <row r="2292" spans="1:9" hidden="1" x14ac:dyDescent="0.3">
      <c r="A2292" t="s">
        <v>35</v>
      </c>
      <c r="B2292" s="1">
        <v>44409</v>
      </c>
      <c r="C2292" s="2">
        <v>3074</v>
      </c>
      <c r="D2292" s="2" t="s">
        <v>3</v>
      </c>
      <c r="E2292" s="2">
        <v>803</v>
      </c>
      <c r="F2292" s="2" t="s">
        <v>3</v>
      </c>
      <c r="G2292" s="2" t="s">
        <v>3</v>
      </c>
      <c r="H2292" s="2">
        <v>2271</v>
      </c>
      <c r="I2292" s="2">
        <v>-32</v>
      </c>
    </row>
    <row r="2293" spans="1:9" hidden="1" x14ac:dyDescent="0.3">
      <c r="A2293" t="s">
        <v>35</v>
      </c>
      <c r="B2293" s="1">
        <v>44378</v>
      </c>
      <c r="C2293" s="2">
        <v>3112</v>
      </c>
      <c r="D2293" s="2" t="s">
        <v>3</v>
      </c>
      <c r="E2293" s="2">
        <v>809</v>
      </c>
      <c r="F2293" s="2" t="s">
        <v>3</v>
      </c>
      <c r="G2293" s="2" t="s">
        <v>3</v>
      </c>
      <c r="H2293" s="2">
        <v>2303</v>
      </c>
      <c r="I2293" s="2">
        <v>-19</v>
      </c>
    </row>
    <row r="2294" spans="1:9" hidden="1" x14ac:dyDescent="0.3">
      <c r="A2294" t="s">
        <v>35</v>
      </c>
      <c r="B2294" s="1">
        <v>44348</v>
      </c>
      <c r="C2294" s="2">
        <v>3152</v>
      </c>
      <c r="D2294" s="2" t="s">
        <v>3</v>
      </c>
      <c r="E2294" s="2">
        <v>830</v>
      </c>
      <c r="F2294" s="2" t="s">
        <v>3</v>
      </c>
      <c r="G2294" s="2" t="s">
        <v>3</v>
      </c>
      <c r="H2294" s="2">
        <v>2322</v>
      </c>
      <c r="I2294" s="2">
        <v>-45</v>
      </c>
    </row>
    <row r="2295" spans="1:9" hidden="1" x14ac:dyDescent="0.3">
      <c r="A2295" t="s">
        <v>35</v>
      </c>
      <c r="B2295" s="1">
        <v>44317</v>
      </c>
      <c r="C2295" s="2">
        <v>3172</v>
      </c>
      <c r="D2295" s="2" t="s">
        <v>3</v>
      </c>
      <c r="E2295" s="2">
        <v>805</v>
      </c>
      <c r="F2295" s="2" t="s">
        <v>3</v>
      </c>
      <c r="G2295" s="2" t="s">
        <v>3</v>
      </c>
      <c r="H2295" s="2">
        <v>2367</v>
      </c>
      <c r="I2295" s="2">
        <v>41</v>
      </c>
    </row>
    <row r="2296" spans="1:9" hidden="1" x14ac:dyDescent="0.3">
      <c r="A2296" t="s">
        <v>35</v>
      </c>
      <c r="B2296" s="1">
        <v>44287</v>
      </c>
      <c r="C2296" s="2">
        <v>3144</v>
      </c>
      <c r="D2296" s="2" t="s">
        <v>3</v>
      </c>
      <c r="E2296" s="2">
        <v>818</v>
      </c>
      <c r="F2296" s="2" t="s">
        <v>3</v>
      </c>
      <c r="G2296" s="2" t="s">
        <v>3</v>
      </c>
      <c r="H2296" s="2">
        <v>2326</v>
      </c>
      <c r="I2296" s="2">
        <v>-95</v>
      </c>
    </row>
    <row r="2297" spans="1:9" hidden="1" x14ac:dyDescent="0.3">
      <c r="A2297" t="s">
        <v>35</v>
      </c>
      <c r="B2297" s="1">
        <v>44256</v>
      </c>
      <c r="C2297" s="2">
        <v>3241</v>
      </c>
      <c r="D2297" s="2" t="s">
        <v>3</v>
      </c>
      <c r="E2297" s="2">
        <v>820</v>
      </c>
      <c r="F2297" s="2" t="s">
        <v>3</v>
      </c>
      <c r="G2297" s="2" t="s">
        <v>3</v>
      </c>
      <c r="H2297" s="2">
        <v>2421</v>
      </c>
      <c r="I2297" s="2">
        <v>-84</v>
      </c>
    </row>
    <row r="2298" spans="1:9" hidden="1" x14ac:dyDescent="0.3">
      <c r="A2298" t="s">
        <v>35</v>
      </c>
      <c r="B2298" s="1">
        <v>44228</v>
      </c>
      <c r="C2298" s="2">
        <v>3349</v>
      </c>
      <c r="D2298" s="2" t="s">
        <v>3</v>
      </c>
      <c r="E2298" s="2">
        <v>844</v>
      </c>
      <c r="F2298" s="2" t="s">
        <v>3</v>
      </c>
      <c r="G2298" s="2" t="s">
        <v>3</v>
      </c>
      <c r="H2298" s="2">
        <v>2505</v>
      </c>
      <c r="I2298" s="2">
        <v>-158</v>
      </c>
    </row>
    <row r="2299" spans="1:9" hidden="1" x14ac:dyDescent="0.3">
      <c r="A2299" t="s">
        <v>35</v>
      </c>
      <c r="B2299" s="1">
        <v>44197</v>
      </c>
      <c r="C2299" s="2">
        <v>3595</v>
      </c>
      <c r="D2299" s="2" t="s">
        <v>3</v>
      </c>
      <c r="E2299" s="2">
        <v>932</v>
      </c>
      <c r="F2299" s="2" t="s">
        <v>3</v>
      </c>
      <c r="G2299" s="2" t="s">
        <v>3</v>
      </c>
      <c r="H2299" s="2">
        <v>2663</v>
      </c>
      <c r="I2299" s="2">
        <v>-15</v>
      </c>
    </row>
    <row r="2300" spans="1:9" hidden="1" x14ac:dyDescent="0.3">
      <c r="A2300" t="s">
        <v>35</v>
      </c>
      <c r="B2300" s="1">
        <v>44166</v>
      </c>
      <c r="C2300" s="2">
        <v>3628</v>
      </c>
      <c r="D2300" s="2" t="s">
        <v>3</v>
      </c>
      <c r="E2300" s="2">
        <v>950</v>
      </c>
      <c r="F2300" s="2" t="s">
        <v>3</v>
      </c>
      <c r="G2300" s="2" t="s">
        <v>3</v>
      </c>
      <c r="H2300" s="2">
        <v>2678</v>
      </c>
      <c r="I2300" s="2">
        <v>-293</v>
      </c>
    </row>
    <row r="2301" spans="1:9" hidden="1" x14ac:dyDescent="0.3">
      <c r="A2301" t="s">
        <v>35</v>
      </c>
      <c r="B2301" s="1">
        <v>44136</v>
      </c>
      <c r="C2301" s="2">
        <v>3931</v>
      </c>
      <c r="D2301" s="2" t="s">
        <v>3</v>
      </c>
      <c r="E2301" s="2">
        <v>960</v>
      </c>
      <c r="F2301" s="2" t="s">
        <v>3</v>
      </c>
      <c r="G2301" s="2" t="s">
        <v>3</v>
      </c>
      <c r="H2301" s="2">
        <v>2971</v>
      </c>
      <c r="I2301" s="2">
        <v>-81</v>
      </c>
    </row>
    <row r="2302" spans="1:9" hidden="1" x14ac:dyDescent="0.3">
      <c r="A2302" t="s">
        <v>35</v>
      </c>
      <c r="B2302" s="1">
        <v>44105</v>
      </c>
      <c r="C2302" s="2">
        <v>4090</v>
      </c>
      <c r="D2302" s="2" t="s">
        <v>3</v>
      </c>
      <c r="E2302" s="2">
        <v>1038</v>
      </c>
      <c r="F2302" s="2" t="s">
        <v>3</v>
      </c>
      <c r="G2302" s="2" t="s">
        <v>3</v>
      </c>
      <c r="H2302" s="2">
        <v>3052</v>
      </c>
      <c r="I2302" s="2">
        <v>-260</v>
      </c>
    </row>
    <row r="2303" spans="1:9" hidden="1" x14ac:dyDescent="0.3">
      <c r="A2303" t="s">
        <v>35</v>
      </c>
      <c r="B2303" s="1">
        <v>44075</v>
      </c>
      <c r="C2303" s="2">
        <v>4404</v>
      </c>
      <c r="D2303" s="2" t="s">
        <v>3</v>
      </c>
      <c r="E2303" s="2">
        <v>1092</v>
      </c>
      <c r="F2303" s="2" t="s">
        <v>3</v>
      </c>
      <c r="G2303" s="2" t="s">
        <v>3</v>
      </c>
      <c r="H2303" s="2">
        <v>3312</v>
      </c>
      <c r="I2303" s="2">
        <v>-215</v>
      </c>
    </row>
    <row r="2304" spans="1:9" hidden="1" x14ac:dyDescent="0.3">
      <c r="A2304" t="s">
        <v>35</v>
      </c>
      <c r="B2304" s="1">
        <v>44044</v>
      </c>
      <c r="C2304" s="2">
        <v>4690</v>
      </c>
      <c r="D2304" s="2" t="s">
        <v>3</v>
      </c>
      <c r="E2304" s="2">
        <v>1163</v>
      </c>
      <c r="F2304" s="2" t="s">
        <v>3</v>
      </c>
      <c r="G2304" s="2" t="s">
        <v>3</v>
      </c>
      <c r="H2304" s="2">
        <v>3527</v>
      </c>
      <c r="I2304" s="2">
        <v>-52</v>
      </c>
    </row>
    <row r="2305" spans="1:9" hidden="1" x14ac:dyDescent="0.3">
      <c r="A2305" t="s">
        <v>35</v>
      </c>
      <c r="B2305" s="1">
        <v>44013</v>
      </c>
      <c r="C2305" s="2">
        <v>4779</v>
      </c>
      <c r="D2305" s="2" t="s">
        <v>3</v>
      </c>
      <c r="E2305" s="2">
        <v>1200</v>
      </c>
      <c r="F2305" s="2" t="s">
        <v>3</v>
      </c>
      <c r="G2305" s="2" t="s">
        <v>3</v>
      </c>
      <c r="H2305" s="2">
        <v>3579</v>
      </c>
      <c r="I2305" s="2">
        <v>-251</v>
      </c>
    </row>
    <row r="2306" spans="1:9" hidden="1" x14ac:dyDescent="0.3">
      <c r="A2306" t="s">
        <v>35</v>
      </c>
      <c r="B2306" s="1">
        <v>43983</v>
      </c>
      <c r="C2306" s="2">
        <v>5070</v>
      </c>
      <c r="D2306" s="2" t="s">
        <v>3</v>
      </c>
      <c r="E2306" s="2">
        <v>1240</v>
      </c>
      <c r="F2306" s="2" t="s">
        <v>3</v>
      </c>
      <c r="G2306" s="2" t="s">
        <v>3</v>
      </c>
      <c r="H2306" s="2">
        <v>3830</v>
      </c>
      <c r="I2306" s="2">
        <v>-109</v>
      </c>
    </row>
    <row r="2307" spans="1:9" hidden="1" x14ac:dyDescent="0.3">
      <c r="A2307" t="s">
        <v>35</v>
      </c>
      <c r="B2307" s="1">
        <v>43952</v>
      </c>
      <c r="C2307" s="2">
        <v>5236</v>
      </c>
      <c r="D2307" s="2" t="s">
        <v>3</v>
      </c>
      <c r="E2307" s="2">
        <v>1297</v>
      </c>
      <c r="F2307" s="2" t="s">
        <v>3</v>
      </c>
      <c r="G2307" s="2" t="s">
        <v>3</v>
      </c>
      <c r="H2307" s="2">
        <v>3939</v>
      </c>
      <c r="I2307" s="2">
        <v>-121</v>
      </c>
    </row>
    <row r="2308" spans="1:9" hidden="1" x14ac:dyDescent="0.3">
      <c r="A2308" t="s">
        <v>35</v>
      </c>
      <c r="B2308" s="1">
        <v>43922</v>
      </c>
      <c r="C2308" s="2">
        <v>5360</v>
      </c>
      <c r="D2308" s="2" t="s">
        <v>3</v>
      </c>
      <c r="E2308" s="2">
        <v>1300</v>
      </c>
      <c r="F2308" s="2" t="s">
        <v>3</v>
      </c>
      <c r="G2308" s="2" t="s">
        <v>3</v>
      </c>
      <c r="H2308" s="2">
        <v>4060</v>
      </c>
      <c r="I2308" s="2">
        <v>-554</v>
      </c>
    </row>
    <row r="2309" spans="1:9" hidden="1" x14ac:dyDescent="0.3">
      <c r="A2309" t="s">
        <v>35</v>
      </c>
      <c r="B2309" s="1">
        <v>43891</v>
      </c>
      <c r="C2309" s="2">
        <v>5956</v>
      </c>
      <c r="D2309" s="2" t="s">
        <v>3</v>
      </c>
      <c r="E2309" s="2">
        <v>1342</v>
      </c>
      <c r="F2309" s="2" t="s">
        <v>3</v>
      </c>
      <c r="G2309" s="2" t="s">
        <v>3</v>
      </c>
      <c r="H2309" s="2">
        <v>4614</v>
      </c>
      <c r="I2309" s="2">
        <v>-395</v>
      </c>
    </row>
    <row r="2310" spans="1:9" hidden="1" x14ac:dyDescent="0.3">
      <c r="A2310" t="s">
        <v>35</v>
      </c>
      <c r="B2310" s="1">
        <v>43862</v>
      </c>
      <c r="C2310" s="2">
        <v>6446</v>
      </c>
      <c r="D2310" s="2" t="s">
        <v>3</v>
      </c>
      <c r="E2310" s="2">
        <v>1437</v>
      </c>
      <c r="F2310" s="2" t="s">
        <v>3</v>
      </c>
      <c r="G2310" s="2" t="s">
        <v>3</v>
      </c>
      <c r="H2310" s="2">
        <v>5009</v>
      </c>
      <c r="I2310" s="2">
        <v>-261</v>
      </c>
    </row>
    <row r="2311" spans="1:9" hidden="1" x14ac:dyDescent="0.3">
      <c r="A2311" t="s">
        <v>35</v>
      </c>
      <c r="B2311" s="1">
        <v>43831</v>
      </c>
      <c r="C2311" s="2">
        <v>6680</v>
      </c>
      <c r="D2311" s="2" t="s">
        <v>3</v>
      </c>
      <c r="E2311" s="2">
        <v>1410</v>
      </c>
      <c r="F2311" s="2" t="s">
        <v>3</v>
      </c>
      <c r="G2311" s="2" t="s">
        <v>3</v>
      </c>
      <c r="H2311" s="2">
        <v>5270</v>
      </c>
      <c r="I2311" s="2">
        <v>-5</v>
      </c>
    </row>
    <row r="2312" spans="1:9" x14ac:dyDescent="0.3">
      <c r="A2312" t="s">
        <v>36</v>
      </c>
      <c r="B2312" s="1">
        <v>45931</v>
      </c>
      <c r="C2312" s="2">
        <v>167720</v>
      </c>
      <c r="D2312" s="2">
        <v>-5299</v>
      </c>
      <c r="E2312" s="2">
        <v>166325</v>
      </c>
      <c r="F2312" s="2">
        <v>-5512</v>
      </c>
      <c r="G2312" s="2">
        <v>466</v>
      </c>
      <c r="H2312" s="2">
        <v>1395</v>
      </c>
      <c r="I2312" s="2">
        <v>213</v>
      </c>
    </row>
    <row r="2313" spans="1:9" x14ac:dyDescent="0.3">
      <c r="A2313" t="s">
        <v>36</v>
      </c>
      <c r="B2313" s="1">
        <v>45901</v>
      </c>
      <c r="C2313" s="2">
        <v>172669</v>
      </c>
      <c r="D2313" s="2">
        <v>-12045</v>
      </c>
      <c r="E2313" s="2">
        <v>171487</v>
      </c>
      <c r="F2313" s="2">
        <v>-11820</v>
      </c>
      <c r="G2313" s="2">
        <v>251</v>
      </c>
      <c r="H2313" s="2">
        <v>1182</v>
      </c>
      <c r="I2313" s="2">
        <v>-225</v>
      </c>
    </row>
    <row r="2314" spans="1:9" x14ac:dyDescent="0.3">
      <c r="A2314" t="s">
        <v>36</v>
      </c>
      <c r="B2314" s="1">
        <v>45870</v>
      </c>
      <c r="C2314" s="2">
        <v>184519</v>
      </c>
      <c r="D2314" s="2">
        <v>-18481</v>
      </c>
      <c r="E2314" s="2">
        <v>183112</v>
      </c>
      <c r="F2314" s="2">
        <v>-16826</v>
      </c>
      <c r="G2314" s="2">
        <v>1200</v>
      </c>
      <c r="H2314" s="2">
        <v>1407</v>
      </c>
      <c r="I2314" s="2">
        <v>-1655</v>
      </c>
    </row>
    <row r="2315" spans="1:9" x14ac:dyDescent="0.3">
      <c r="A2315" t="s">
        <v>36</v>
      </c>
      <c r="B2315" s="1">
        <v>45839</v>
      </c>
      <c r="C2315" s="2">
        <v>201685</v>
      </c>
      <c r="D2315" s="2">
        <v>-12715</v>
      </c>
      <c r="E2315" s="2">
        <v>198623</v>
      </c>
      <c r="F2315" s="2">
        <v>-11894</v>
      </c>
      <c r="G2315" s="2">
        <v>-791</v>
      </c>
      <c r="H2315" s="2">
        <v>3062</v>
      </c>
      <c r="I2315" s="2">
        <v>-821</v>
      </c>
    </row>
    <row r="2316" spans="1:9" x14ac:dyDescent="0.3">
      <c r="A2316" t="s">
        <v>36</v>
      </c>
      <c r="B2316" s="1">
        <v>45809</v>
      </c>
      <c r="C2316" s="2">
        <v>215329</v>
      </c>
      <c r="D2316" s="2">
        <v>1806</v>
      </c>
      <c r="E2316" s="2">
        <v>211446</v>
      </c>
      <c r="F2316" s="2">
        <v>1645</v>
      </c>
      <c r="G2316" s="2">
        <v>1292</v>
      </c>
      <c r="H2316" s="2">
        <v>3883</v>
      </c>
      <c r="I2316" s="2">
        <v>161</v>
      </c>
    </row>
    <row r="2317" spans="1:9" x14ac:dyDescent="0.3">
      <c r="A2317" t="s">
        <v>36</v>
      </c>
      <c r="B2317" s="1">
        <v>45778</v>
      </c>
      <c r="C2317" s="2">
        <v>212049</v>
      </c>
      <c r="D2317" s="2">
        <v>1423</v>
      </c>
      <c r="E2317" s="2">
        <v>208327</v>
      </c>
      <c r="F2317" s="2">
        <v>3229</v>
      </c>
      <c r="G2317" s="2">
        <v>-1348</v>
      </c>
      <c r="H2317" s="2">
        <v>3722</v>
      </c>
      <c r="I2317" s="2">
        <v>-1806</v>
      </c>
    </row>
    <row r="2318" spans="1:9" x14ac:dyDescent="0.3">
      <c r="A2318" t="s">
        <v>36</v>
      </c>
      <c r="B2318" s="1">
        <v>45748</v>
      </c>
      <c r="C2318" s="2">
        <v>212037</v>
      </c>
      <c r="D2318" s="2">
        <v>2320</v>
      </c>
      <c r="E2318" s="2">
        <v>206509</v>
      </c>
      <c r="F2318" s="2">
        <v>2215</v>
      </c>
      <c r="G2318" s="2">
        <v>1371</v>
      </c>
      <c r="H2318" s="2">
        <v>5528</v>
      </c>
      <c r="I2318" s="2">
        <v>105</v>
      </c>
    </row>
    <row r="2319" spans="1:9" x14ac:dyDescent="0.3">
      <c r="A2319" t="s">
        <v>36</v>
      </c>
      <c r="B2319" s="1">
        <v>45717</v>
      </c>
      <c r="C2319" s="2">
        <v>208399</v>
      </c>
      <c r="D2319" s="2">
        <v>872</v>
      </c>
      <c r="E2319" s="2">
        <v>202976</v>
      </c>
      <c r="F2319" s="2">
        <v>418</v>
      </c>
      <c r="G2319" s="2">
        <v>424</v>
      </c>
      <c r="H2319" s="2">
        <v>5423</v>
      </c>
      <c r="I2319" s="2">
        <v>454</v>
      </c>
    </row>
    <row r="2320" spans="1:9" x14ac:dyDescent="0.3">
      <c r="A2320" t="s">
        <v>36</v>
      </c>
      <c r="B2320" s="1">
        <v>45689</v>
      </c>
      <c r="C2320" s="2">
        <v>207252</v>
      </c>
      <c r="D2320" s="2">
        <v>5557</v>
      </c>
      <c r="E2320" s="2">
        <v>202283</v>
      </c>
      <c r="F2320" s="2">
        <v>1848</v>
      </c>
      <c r="G2320" s="2">
        <v>2264</v>
      </c>
      <c r="H2320" s="2">
        <v>4969</v>
      </c>
      <c r="I2320" s="2">
        <v>3709</v>
      </c>
    </row>
    <row r="2321" spans="1:9" x14ac:dyDescent="0.3">
      <c r="A2321" t="s">
        <v>36</v>
      </c>
      <c r="B2321" s="1">
        <v>45658</v>
      </c>
      <c r="C2321" s="2">
        <v>199441</v>
      </c>
      <c r="D2321" s="2">
        <v>-2871</v>
      </c>
      <c r="E2321" s="2">
        <v>198181</v>
      </c>
      <c r="F2321" s="2">
        <v>-3214</v>
      </c>
      <c r="G2321" s="2">
        <v>662</v>
      </c>
      <c r="H2321" s="2">
        <v>1260</v>
      </c>
      <c r="I2321" s="2">
        <v>343</v>
      </c>
    </row>
    <row r="2322" spans="1:9" x14ac:dyDescent="0.3">
      <c r="A2322" t="s">
        <v>36</v>
      </c>
      <c r="B2322" s="1">
        <v>45627</v>
      </c>
      <c r="C2322" s="2">
        <v>201637</v>
      </c>
      <c r="D2322" s="2">
        <v>-26626</v>
      </c>
      <c r="E2322" s="2">
        <v>200720</v>
      </c>
      <c r="F2322" s="2">
        <v>-26232</v>
      </c>
      <c r="G2322" s="2">
        <v>-551</v>
      </c>
      <c r="H2322" s="2">
        <v>917</v>
      </c>
      <c r="I2322" s="2">
        <v>-394</v>
      </c>
    </row>
    <row r="2323" spans="1:9" x14ac:dyDescent="0.3">
      <c r="A2323" t="s">
        <v>36</v>
      </c>
      <c r="B2323" s="1">
        <v>45597</v>
      </c>
      <c r="C2323" s="2">
        <v>228980</v>
      </c>
      <c r="D2323" s="2">
        <v>-963</v>
      </c>
      <c r="E2323" s="2">
        <v>227669</v>
      </c>
      <c r="F2323" s="2">
        <v>-1243</v>
      </c>
      <c r="G2323" s="2">
        <v>873</v>
      </c>
      <c r="H2323" s="2">
        <v>1311</v>
      </c>
      <c r="I2323" s="2">
        <v>280</v>
      </c>
    </row>
    <row r="2324" spans="1:9" x14ac:dyDescent="0.3">
      <c r="A2324" t="s">
        <v>36</v>
      </c>
      <c r="B2324" s="1">
        <v>45566</v>
      </c>
      <c r="C2324" s="2">
        <v>228845</v>
      </c>
      <c r="D2324" s="2">
        <v>-1990</v>
      </c>
      <c r="E2324" s="2">
        <v>227814</v>
      </c>
      <c r="F2324" s="2">
        <v>-405</v>
      </c>
      <c r="G2324" s="2">
        <v>-3489</v>
      </c>
      <c r="H2324" s="2">
        <v>1031</v>
      </c>
      <c r="I2324" s="2">
        <v>-1585</v>
      </c>
    </row>
    <row r="2325" spans="1:9" x14ac:dyDescent="0.3">
      <c r="A2325" t="s">
        <v>36</v>
      </c>
      <c r="B2325" s="1">
        <v>45536</v>
      </c>
      <c r="C2325" s="2">
        <v>234555</v>
      </c>
      <c r="D2325" s="2">
        <v>-239</v>
      </c>
      <c r="E2325" s="2">
        <v>231939</v>
      </c>
      <c r="F2325" s="2">
        <v>-231</v>
      </c>
      <c r="G2325" s="2">
        <v>1560</v>
      </c>
      <c r="H2325" s="2">
        <v>2616</v>
      </c>
      <c r="I2325" s="2">
        <v>-8</v>
      </c>
    </row>
    <row r="2326" spans="1:9" x14ac:dyDescent="0.3">
      <c r="A2326" t="s">
        <v>36</v>
      </c>
      <c r="B2326" s="1">
        <v>45505</v>
      </c>
      <c r="C2326" s="2">
        <v>233308</v>
      </c>
      <c r="D2326" s="2">
        <v>2483</v>
      </c>
      <c r="E2326" s="2">
        <v>230684</v>
      </c>
      <c r="F2326" s="2">
        <v>2947</v>
      </c>
      <c r="G2326" s="2">
        <v>1726</v>
      </c>
      <c r="H2326" s="2">
        <v>2624</v>
      </c>
      <c r="I2326" s="2">
        <v>-464</v>
      </c>
    </row>
    <row r="2327" spans="1:9" x14ac:dyDescent="0.3">
      <c r="A2327" t="s">
        <v>36</v>
      </c>
      <c r="B2327" s="1">
        <v>45474</v>
      </c>
      <c r="C2327" s="2">
        <v>229137</v>
      </c>
      <c r="D2327" s="2">
        <v>-863</v>
      </c>
      <c r="E2327" s="2">
        <v>226049</v>
      </c>
      <c r="F2327" s="2">
        <v>-803</v>
      </c>
      <c r="G2327" s="2">
        <v>3004</v>
      </c>
      <c r="H2327" s="2">
        <v>3088</v>
      </c>
      <c r="I2327" s="2">
        <v>-60</v>
      </c>
    </row>
    <row r="2328" spans="1:9" x14ac:dyDescent="0.3">
      <c r="A2328" t="s">
        <v>36</v>
      </c>
      <c r="B2328" s="1">
        <v>45444</v>
      </c>
      <c r="C2328" s="2">
        <v>226999</v>
      </c>
      <c r="D2328" s="2">
        <v>2577</v>
      </c>
      <c r="E2328" s="2">
        <v>223851</v>
      </c>
      <c r="F2328" s="2">
        <v>3728</v>
      </c>
      <c r="G2328" s="2">
        <v>1195</v>
      </c>
      <c r="H2328" s="2">
        <v>3148</v>
      </c>
      <c r="I2328" s="2">
        <v>-1151</v>
      </c>
    </row>
    <row r="2329" spans="1:9" x14ac:dyDescent="0.3">
      <c r="A2329" t="s">
        <v>36</v>
      </c>
      <c r="B2329" s="1">
        <v>45413</v>
      </c>
      <c r="C2329" s="2">
        <v>223211</v>
      </c>
      <c r="D2329" s="2">
        <v>-2297</v>
      </c>
      <c r="E2329" s="2">
        <v>218912</v>
      </c>
      <c r="F2329" s="2">
        <v>1375</v>
      </c>
      <c r="G2329" s="2">
        <v>1684</v>
      </c>
      <c r="H2329" s="2">
        <v>4299</v>
      </c>
      <c r="I2329" s="2">
        <v>-3672</v>
      </c>
    </row>
    <row r="2330" spans="1:9" x14ac:dyDescent="0.3">
      <c r="A2330" t="s">
        <v>36</v>
      </c>
      <c r="B2330" s="1">
        <v>45383</v>
      </c>
      <c r="C2330" s="2">
        <v>223639</v>
      </c>
      <c r="D2330" s="2">
        <v>-477</v>
      </c>
      <c r="E2330" s="2">
        <v>215668</v>
      </c>
      <c r="F2330" s="2">
        <v>-1189</v>
      </c>
      <c r="G2330" s="2">
        <v>-2769</v>
      </c>
      <c r="H2330" s="2">
        <v>7971</v>
      </c>
      <c r="I2330" s="2">
        <v>712</v>
      </c>
    </row>
    <row r="2331" spans="1:9" x14ac:dyDescent="0.3">
      <c r="A2331" t="s">
        <v>36</v>
      </c>
      <c r="B2331" s="1">
        <v>45352</v>
      </c>
      <c r="C2331" s="2">
        <v>227121</v>
      </c>
      <c r="D2331" s="2">
        <v>809</v>
      </c>
      <c r="E2331" s="2">
        <v>219862</v>
      </c>
      <c r="F2331" s="2">
        <v>1589</v>
      </c>
      <c r="G2331" s="2">
        <v>493</v>
      </c>
      <c r="H2331" s="2">
        <v>7259</v>
      </c>
      <c r="I2331" s="2">
        <v>-780</v>
      </c>
    </row>
    <row r="2332" spans="1:9" x14ac:dyDescent="0.3">
      <c r="A2332" t="s">
        <v>36</v>
      </c>
      <c r="B2332" s="1">
        <v>45323</v>
      </c>
      <c r="C2332" s="2">
        <v>225588</v>
      </c>
      <c r="D2332" s="2">
        <v>1163</v>
      </c>
      <c r="E2332" s="2">
        <v>217549</v>
      </c>
      <c r="F2332" s="2">
        <v>1668</v>
      </c>
      <c r="G2332" s="2">
        <v>-2099</v>
      </c>
      <c r="H2332" s="2">
        <v>8039</v>
      </c>
      <c r="I2332" s="2">
        <v>-505</v>
      </c>
    </row>
    <row r="2333" spans="1:9" x14ac:dyDescent="0.3">
      <c r="A2333" t="s">
        <v>36</v>
      </c>
      <c r="B2333" s="1">
        <v>45292</v>
      </c>
      <c r="C2333" s="2">
        <v>226803</v>
      </c>
      <c r="D2333" s="2">
        <v>-2997</v>
      </c>
      <c r="E2333" s="2">
        <v>218259</v>
      </c>
      <c r="F2333" s="2">
        <v>-2838</v>
      </c>
      <c r="G2333" s="2">
        <v>469</v>
      </c>
      <c r="H2333" s="2">
        <v>8544</v>
      </c>
      <c r="I2333" s="2">
        <v>-159</v>
      </c>
    </row>
    <row r="2334" spans="1:9" x14ac:dyDescent="0.3">
      <c r="A2334" t="s">
        <v>36</v>
      </c>
      <c r="B2334" s="1">
        <v>45261</v>
      </c>
      <c r="C2334" s="2">
        <v>230291</v>
      </c>
      <c r="D2334" s="2">
        <v>2226</v>
      </c>
      <c r="E2334" s="2">
        <v>221588</v>
      </c>
      <c r="F2334" s="2">
        <v>2582</v>
      </c>
      <c r="G2334" s="2">
        <v>3436</v>
      </c>
      <c r="H2334" s="2">
        <v>8703</v>
      </c>
      <c r="I2334" s="2">
        <v>-356</v>
      </c>
    </row>
    <row r="2335" spans="1:9" x14ac:dyDescent="0.3">
      <c r="A2335" t="s">
        <v>36</v>
      </c>
      <c r="B2335" s="1">
        <v>45231</v>
      </c>
      <c r="C2335" s="2">
        <v>224866</v>
      </c>
      <c r="D2335" s="2">
        <v>1456</v>
      </c>
      <c r="E2335" s="2">
        <v>215807</v>
      </c>
      <c r="F2335" s="2">
        <v>-1497</v>
      </c>
      <c r="G2335" s="2">
        <v>3554</v>
      </c>
      <c r="H2335" s="2">
        <v>9059</v>
      </c>
      <c r="I2335" s="2">
        <v>2953</v>
      </c>
    </row>
    <row r="2336" spans="1:9" x14ac:dyDescent="0.3">
      <c r="A2336" t="s">
        <v>36</v>
      </c>
      <c r="B2336" s="1">
        <v>45200</v>
      </c>
      <c r="C2336" s="2">
        <v>219435</v>
      </c>
      <c r="D2336" s="2">
        <v>-2787</v>
      </c>
      <c r="E2336" s="2">
        <v>213329</v>
      </c>
      <c r="F2336" s="2">
        <v>-3753</v>
      </c>
      <c r="G2336" s="2">
        <v>-823</v>
      </c>
      <c r="H2336" s="2">
        <v>6106</v>
      </c>
      <c r="I2336" s="2">
        <v>966</v>
      </c>
    </row>
    <row r="2337" spans="1:9" x14ac:dyDescent="0.3">
      <c r="A2337" t="s">
        <v>36</v>
      </c>
      <c r="B2337" s="1">
        <v>45170</v>
      </c>
      <c r="C2337" s="2">
        <v>222998</v>
      </c>
      <c r="D2337" s="2">
        <v>2680</v>
      </c>
      <c r="E2337" s="2">
        <v>217858</v>
      </c>
      <c r="F2337" s="2">
        <v>1961</v>
      </c>
      <c r="G2337" s="2">
        <v>-1925</v>
      </c>
      <c r="H2337" s="2">
        <v>5140</v>
      </c>
      <c r="I2337" s="2">
        <v>719</v>
      </c>
    </row>
    <row r="2338" spans="1:9" x14ac:dyDescent="0.3">
      <c r="A2338" t="s">
        <v>36</v>
      </c>
      <c r="B2338" s="1">
        <v>45139</v>
      </c>
      <c r="C2338" s="2">
        <v>223177</v>
      </c>
      <c r="D2338" s="2">
        <v>-1081</v>
      </c>
      <c r="E2338" s="2">
        <v>218756</v>
      </c>
      <c r="F2338" s="2">
        <v>-466</v>
      </c>
      <c r="G2338" s="2">
        <v>-286</v>
      </c>
      <c r="H2338" s="2">
        <v>4421</v>
      </c>
      <c r="I2338" s="2">
        <v>-615</v>
      </c>
    </row>
    <row r="2339" spans="1:9" x14ac:dyDescent="0.3">
      <c r="A2339" t="s">
        <v>36</v>
      </c>
      <c r="B2339" s="1">
        <v>45108</v>
      </c>
      <c r="C2339" s="2">
        <v>224730</v>
      </c>
      <c r="D2339" s="2">
        <v>-2869</v>
      </c>
      <c r="E2339" s="2">
        <v>219694</v>
      </c>
      <c r="F2339" s="2">
        <v>-3164</v>
      </c>
      <c r="G2339" s="2">
        <v>81</v>
      </c>
      <c r="H2339" s="2">
        <v>5036</v>
      </c>
      <c r="I2339" s="2">
        <v>295</v>
      </c>
    </row>
    <row r="2340" spans="1:9" x14ac:dyDescent="0.3">
      <c r="A2340" t="s">
        <v>36</v>
      </c>
      <c r="B2340" s="1">
        <v>45078</v>
      </c>
      <c r="C2340" s="2">
        <v>227470</v>
      </c>
      <c r="D2340" s="2">
        <v>-798</v>
      </c>
      <c r="E2340" s="2">
        <v>222729</v>
      </c>
      <c r="F2340" s="2">
        <v>-1412</v>
      </c>
      <c r="G2340" s="2">
        <v>-1944</v>
      </c>
      <c r="H2340" s="2">
        <v>4741</v>
      </c>
      <c r="I2340" s="2">
        <v>614</v>
      </c>
    </row>
    <row r="2341" spans="1:9" x14ac:dyDescent="0.3">
      <c r="A2341" t="s">
        <v>36</v>
      </c>
      <c r="B2341" s="1">
        <v>45047</v>
      </c>
      <c r="C2341" s="2">
        <v>230017</v>
      </c>
      <c r="D2341" s="2">
        <v>2208</v>
      </c>
      <c r="E2341" s="2">
        <v>225890</v>
      </c>
      <c r="F2341" s="2">
        <v>2510</v>
      </c>
      <c r="G2341" s="2">
        <v>-1976</v>
      </c>
      <c r="H2341" s="2">
        <v>4127</v>
      </c>
      <c r="I2341" s="2">
        <v>-302</v>
      </c>
    </row>
    <row r="2342" spans="1:9" x14ac:dyDescent="0.3">
      <c r="A2342" t="s">
        <v>36</v>
      </c>
      <c r="B2342" s="1">
        <v>45017</v>
      </c>
      <c r="C2342" s="2">
        <v>229771</v>
      </c>
      <c r="D2342" s="2">
        <v>5055</v>
      </c>
      <c r="E2342" s="2">
        <v>225342</v>
      </c>
      <c r="F2342" s="2">
        <v>4629</v>
      </c>
      <c r="G2342" s="2">
        <v>399</v>
      </c>
      <c r="H2342" s="2">
        <v>4429</v>
      </c>
      <c r="I2342" s="2">
        <v>426</v>
      </c>
    </row>
    <row r="2343" spans="1:9" x14ac:dyDescent="0.3">
      <c r="A2343" t="s">
        <v>36</v>
      </c>
      <c r="B2343" s="1">
        <v>44986</v>
      </c>
      <c r="C2343" s="2">
        <v>224437</v>
      </c>
      <c r="D2343" s="2">
        <v>4675</v>
      </c>
      <c r="E2343" s="2">
        <v>220434</v>
      </c>
      <c r="F2343" s="2">
        <v>3617</v>
      </c>
      <c r="G2343" s="2">
        <v>4442</v>
      </c>
      <c r="H2343" s="2">
        <v>4003</v>
      </c>
      <c r="I2343" s="2">
        <v>1058</v>
      </c>
    </row>
    <row r="2344" spans="1:9" x14ac:dyDescent="0.3">
      <c r="A2344" t="s">
        <v>36</v>
      </c>
      <c r="B2344" s="1">
        <v>44958</v>
      </c>
      <c r="C2344" s="2">
        <v>215178</v>
      </c>
      <c r="D2344" s="2">
        <v>4505</v>
      </c>
      <c r="E2344" s="2">
        <v>212233</v>
      </c>
      <c r="F2344" s="2">
        <v>3398</v>
      </c>
      <c r="G2344" s="2">
        <v>-2974</v>
      </c>
      <c r="H2344" s="2">
        <v>2945</v>
      </c>
      <c r="I2344" s="2">
        <v>1107</v>
      </c>
    </row>
    <row r="2345" spans="1:9" hidden="1" x14ac:dyDescent="0.3">
      <c r="A2345" t="s">
        <v>36</v>
      </c>
      <c r="B2345" s="1">
        <v>44927</v>
      </c>
      <c r="C2345" s="2">
        <v>213976</v>
      </c>
      <c r="D2345" s="2" t="s">
        <v>3</v>
      </c>
      <c r="E2345" s="2">
        <v>212138</v>
      </c>
      <c r="F2345" s="2" t="s">
        <v>3</v>
      </c>
      <c r="G2345" s="2" t="s">
        <v>3</v>
      </c>
      <c r="H2345" s="2">
        <v>1838</v>
      </c>
      <c r="I2345" s="2">
        <v>636</v>
      </c>
    </row>
    <row r="2346" spans="1:9" hidden="1" x14ac:dyDescent="0.3">
      <c r="A2346" t="s">
        <v>36</v>
      </c>
      <c r="B2346" s="1">
        <v>44896</v>
      </c>
      <c r="C2346" s="2">
        <v>217414</v>
      </c>
      <c r="D2346" s="2" t="s">
        <v>3</v>
      </c>
      <c r="E2346" s="2">
        <v>216212</v>
      </c>
      <c r="F2346" s="2" t="s">
        <v>3</v>
      </c>
      <c r="G2346" s="2" t="s">
        <v>3</v>
      </c>
      <c r="H2346" s="2">
        <v>1202</v>
      </c>
      <c r="I2346" s="2">
        <v>234</v>
      </c>
    </row>
    <row r="2347" spans="1:9" hidden="1" x14ac:dyDescent="0.3">
      <c r="A2347" t="s">
        <v>36</v>
      </c>
      <c r="B2347" s="1">
        <v>44866</v>
      </c>
      <c r="C2347" s="2">
        <v>225859</v>
      </c>
      <c r="D2347" s="2" t="s">
        <v>3</v>
      </c>
      <c r="E2347" s="2">
        <v>224891</v>
      </c>
      <c r="F2347" s="2" t="s">
        <v>3</v>
      </c>
      <c r="G2347" s="2" t="s">
        <v>3</v>
      </c>
      <c r="H2347" s="2">
        <v>968</v>
      </c>
      <c r="I2347" s="2">
        <v>119</v>
      </c>
    </row>
    <row r="2348" spans="1:9" hidden="1" x14ac:dyDescent="0.3">
      <c r="A2348" t="s">
        <v>36</v>
      </c>
      <c r="B2348" s="1">
        <v>44835</v>
      </c>
      <c r="C2348" s="2">
        <v>220087</v>
      </c>
      <c r="D2348" s="2" t="s">
        <v>3</v>
      </c>
      <c r="E2348" s="2">
        <v>219238</v>
      </c>
      <c r="F2348" s="2" t="s">
        <v>3</v>
      </c>
      <c r="G2348" s="2" t="s">
        <v>3</v>
      </c>
      <c r="H2348" s="2">
        <v>849</v>
      </c>
      <c r="I2348" s="2">
        <v>249</v>
      </c>
    </row>
    <row r="2349" spans="1:9" hidden="1" x14ac:dyDescent="0.3">
      <c r="A2349" t="s">
        <v>36</v>
      </c>
      <c r="B2349" s="1">
        <v>44805</v>
      </c>
      <c r="C2349" s="2">
        <v>221766</v>
      </c>
      <c r="D2349" s="2" t="s">
        <v>3</v>
      </c>
      <c r="E2349" s="2">
        <v>221166</v>
      </c>
      <c r="F2349" s="2" t="s">
        <v>3</v>
      </c>
      <c r="G2349" s="2" t="s">
        <v>3</v>
      </c>
      <c r="H2349" s="2">
        <v>600</v>
      </c>
      <c r="I2349" s="2">
        <v>61</v>
      </c>
    </row>
    <row r="2350" spans="1:9" hidden="1" x14ac:dyDescent="0.3">
      <c r="A2350" t="s">
        <v>36</v>
      </c>
      <c r="B2350" s="1">
        <v>44774</v>
      </c>
      <c r="C2350" s="2">
        <v>227324</v>
      </c>
      <c r="D2350" s="2" t="s">
        <v>3</v>
      </c>
      <c r="E2350" s="2">
        <v>226785</v>
      </c>
      <c r="F2350" s="2" t="s">
        <v>3</v>
      </c>
      <c r="G2350" s="2" t="s">
        <v>3</v>
      </c>
      <c r="H2350" s="2">
        <v>539</v>
      </c>
      <c r="I2350" s="2">
        <v>-246</v>
      </c>
    </row>
    <row r="2351" spans="1:9" hidden="1" x14ac:dyDescent="0.3">
      <c r="A2351" t="s">
        <v>36</v>
      </c>
      <c r="B2351" s="1">
        <v>44743</v>
      </c>
      <c r="C2351" s="2">
        <v>232853</v>
      </c>
      <c r="D2351" s="2" t="s">
        <v>3</v>
      </c>
      <c r="E2351" s="2">
        <v>232068</v>
      </c>
      <c r="F2351" s="2" t="s">
        <v>3</v>
      </c>
      <c r="G2351" s="2" t="s">
        <v>3</v>
      </c>
      <c r="H2351" s="2">
        <v>785</v>
      </c>
      <c r="I2351" s="2">
        <v>14</v>
      </c>
    </row>
    <row r="2352" spans="1:9" hidden="1" x14ac:dyDescent="0.3">
      <c r="A2352" t="s">
        <v>36</v>
      </c>
      <c r="B2352" s="1">
        <v>44713</v>
      </c>
      <c r="C2352" s="2">
        <v>226114</v>
      </c>
      <c r="D2352" s="2" t="s">
        <v>3</v>
      </c>
      <c r="E2352" s="2">
        <v>225343</v>
      </c>
      <c r="F2352" s="2" t="s">
        <v>3</v>
      </c>
      <c r="G2352" s="2" t="s">
        <v>3</v>
      </c>
      <c r="H2352" s="2">
        <v>771</v>
      </c>
      <c r="I2352" s="2">
        <v>-3</v>
      </c>
    </row>
    <row r="2353" spans="1:9" hidden="1" x14ac:dyDescent="0.3">
      <c r="A2353" t="s">
        <v>36</v>
      </c>
      <c r="B2353" s="1">
        <v>44682</v>
      </c>
      <c r="C2353" s="2">
        <v>228373</v>
      </c>
      <c r="D2353" s="2" t="s">
        <v>3</v>
      </c>
      <c r="E2353" s="2">
        <v>227599</v>
      </c>
      <c r="F2353" s="2" t="s">
        <v>3</v>
      </c>
      <c r="G2353" s="2" t="s">
        <v>3</v>
      </c>
      <c r="H2353" s="2">
        <v>774</v>
      </c>
      <c r="I2353" s="2">
        <v>-121</v>
      </c>
    </row>
    <row r="2354" spans="1:9" hidden="1" x14ac:dyDescent="0.3">
      <c r="A2354" t="s">
        <v>36</v>
      </c>
      <c r="B2354" s="1">
        <v>44652</v>
      </c>
      <c r="C2354" s="2">
        <v>229202</v>
      </c>
      <c r="D2354" s="2" t="s">
        <v>3</v>
      </c>
      <c r="E2354" s="2">
        <v>228307</v>
      </c>
      <c r="F2354" s="2" t="s">
        <v>3</v>
      </c>
      <c r="G2354" s="2" t="s">
        <v>3</v>
      </c>
      <c r="H2354" s="2">
        <v>895</v>
      </c>
      <c r="I2354" s="2">
        <v>-10</v>
      </c>
    </row>
    <row r="2355" spans="1:9" hidden="1" x14ac:dyDescent="0.3">
      <c r="A2355" t="s">
        <v>36</v>
      </c>
      <c r="B2355" s="1">
        <v>44621</v>
      </c>
      <c r="C2355" s="2">
        <v>233279</v>
      </c>
      <c r="D2355" s="2" t="s">
        <v>3</v>
      </c>
      <c r="E2355" s="2">
        <v>232374</v>
      </c>
      <c r="F2355" s="2" t="s">
        <v>3</v>
      </c>
      <c r="G2355" s="2" t="s">
        <v>3</v>
      </c>
      <c r="H2355" s="2">
        <v>905</v>
      </c>
      <c r="I2355" s="2">
        <v>-475</v>
      </c>
    </row>
    <row r="2356" spans="1:9" hidden="1" x14ac:dyDescent="0.3">
      <c r="A2356" t="s">
        <v>36</v>
      </c>
      <c r="B2356" s="1">
        <v>44593</v>
      </c>
      <c r="C2356" s="2">
        <v>237397</v>
      </c>
      <c r="D2356" s="2" t="s">
        <v>3</v>
      </c>
      <c r="E2356" s="2">
        <v>236017</v>
      </c>
      <c r="F2356" s="2" t="s">
        <v>3</v>
      </c>
      <c r="G2356" s="2" t="s">
        <v>3</v>
      </c>
      <c r="H2356" s="2">
        <v>1380</v>
      </c>
      <c r="I2356" s="2">
        <v>551</v>
      </c>
    </row>
    <row r="2357" spans="1:9" hidden="1" x14ac:dyDescent="0.3">
      <c r="A2357" t="s">
        <v>36</v>
      </c>
      <c r="B2357" s="1">
        <v>44562</v>
      </c>
      <c r="C2357" s="2">
        <v>236059</v>
      </c>
      <c r="D2357" s="2" t="s">
        <v>3</v>
      </c>
      <c r="E2357" s="2">
        <v>235230</v>
      </c>
      <c r="F2357" s="2" t="s">
        <v>3</v>
      </c>
      <c r="G2357" s="2" t="s">
        <v>3</v>
      </c>
      <c r="H2357" s="2">
        <v>829</v>
      </c>
      <c r="I2357" s="2">
        <v>267</v>
      </c>
    </row>
    <row r="2358" spans="1:9" hidden="1" x14ac:dyDescent="0.3">
      <c r="A2358" t="s">
        <v>36</v>
      </c>
      <c r="B2358" s="1">
        <v>44531</v>
      </c>
      <c r="C2358" s="2">
        <v>240551</v>
      </c>
      <c r="D2358" s="2" t="s">
        <v>3</v>
      </c>
      <c r="E2358" s="2">
        <v>239989</v>
      </c>
      <c r="F2358" s="2" t="s">
        <v>3</v>
      </c>
      <c r="G2358" s="2" t="s">
        <v>3</v>
      </c>
      <c r="H2358" s="2">
        <v>562</v>
      </c>
      <c r="I2358" s="2">
        <v>-11</v>
      </c>
    </row>
    <row r="2359" spans="1:9" hidden="1" x14ac:dyDescent="0.3">
      <c r="A2359" t="s">
        <v>36</v>
      </c>
      <c r="B2359" s="1">
        <v>44501</v>
      </c>
      <c r="C2359" s="2">
        <v>244862</v>
      </c>
      <c r="D2359" s="2" t="s">
        <v>3</v>
      </c>
      <c r="E2359" s="2">
        <v>244289</v>
      </c>
      <c r="F2359" s="2" t="s">
        <v>3</v>
      </c>
      <c r="G2359" s="2" t="s">
        <v>3</v>
      </c>
      <c r="H2359" s="2">
        <v>573</v>
      </c>
      <c r="I2359" s="2">
        <v>-51</v>
      </c>
    </row>
    <row r="2360" spans="1:9" hidden="1" x14ac:dyDescent="0.3">
      <c r="A2360" t="s">
        <v>36</v>
      </c>
      <c r="B2360" s="1">
        <v>44470</v>
      </c>
      <c r="C2360" s="2">
        <v>247665</v>
      </c>
      <c r="D2360" s="2" t="s">
        <v>3</v>
      </c>
      <c r="E2360" s="2">
        <v>247041</v>
      </c>
      <c r="F2360" s="2" t="s">
        <v>3</v>
      </c>
      <c r="G2360" s="2" t="s">
        <v>3</v>
      </c>
      <c r="H2360" s="2">
        <v>624</v>
      </c>
      <c r="I2360" s="2">
        <v>-22</v>
      </c>
    </row>
    <row r="2361" spans="1:9" hidden="1" x14ac:dyDescent="0.3">
      <c r="A2361" t="s">
        <v>36</v>
      </c>
      <c r="B2361" s="1">
        <v>44440</v>
      </c>
      <c r="C2361" s="2">
        <v>248959</v>
      </c>
      <c r="D2361" s="2" t="s">
        <v>3</v>
      </c>
      <c r="E2361" s="2">
        <v>248313</v>
      </c>
      <c r="F2361" s="2" t="s">
        <v>3</v>
      </c>
      <c r="G2361" s="2" t="s">
        <v>3</v>
      </c>
      <c r="H2361" s="2">
        <v>646</v>
      </c>
      <c r="I2361" s="2">
        <v>5</v>
      </c>
    </row>
    <row r="2362" spans="1:9" hidden="1" x14ac:dyDescent="0.3">
      <c r="A2362" t="s">
        <v>36</v>
      </c>
      <c r="B2362" s="1">
        <v>44409</v>
      </c>
      <c r="C2362" s="2">
        <v>248929</v>
      </c>
      <c r="D2362" s="2" t="s">
        <v>3</v>
      </c>
      <c r="E2362" s="2">
        <v>248288</v>
      </c>
      <c r="F2362" s="2" t="s">
        <v>3</v>
      </c>
      <c r="G2362" s="2" t="s">
        <v>3</v>
      </c>
      <c r="H2362" s="2">
        <v>641</v>
      </c>
      <c r="I2362" s="2">
        <v>2</v>
      </c>
    </row>
    <row r="2363" spans="1:9" hidden="1" x14ac:dyDescent="0.3">
      <c r="A2363" t="s">
        <v>36</v>
      </c>
      <c r="B2363" s="1">
        <v>44378</v>
      </c>
      <c r="C2363" s="2">
        <v>248541</v>
      </c>
      <c r="D2363" s="2" t="s">
        <v>3</v>
      </c>
      <c r="E2363" s="2">
        <v>247902</v>
      </c>
      <c r="F2363" s="2" t="s">
        <v>3</v>
      </c>
      <c r="G2363" s="2" t="s">
        <v>3</v>
      </c>
      <c r="H2363" s="2">
        <v>639</v>
      </c>
      <c r="I2363" s="2">
        <v>33</v>
      </c>
    </row>
    <row r="2364" spans="1:9" hidden="1" x14ac:dyDescent="0.3">
      <c r="A2364" t="s">
        <v>36</v>
      </c>
      <c r="B2364" s="1">
        <v>44348</v>
      </c>
      <c r="C2364" s="2">
        <v>249051</v>
      </c>
      <c r="D2364" s="2" t="s">
        <v>3</v>
      </c>
      <c r="E2364" s="2">
        <v>248445</v>
      </c>
      <c r="F2364" s="2" t="s">
        <v>3</v>
      </c>
      <c r="G2364" s="2" t="s">
        <v>3</v>
      </c>
      <c r="H2364" s="2">
        <v>606</v>
      </c>
      <c r="I2364" s="2">
        <v>-772</v>
      </c>
    </row>
    <row r="2365" spans="1:9" hidden="1" x14ac:dyDescent="0.3">
      <c r="A2365" t="s">
        <v>36</v>
      </c>
      <c r="B2365" s="1">
        <v>44317</v>
      </c>
      <c r="C2365" s="2">
        <v>251819</v>
      </c>
      <c r="D2365" s="2" t="s">
        <v>3</v>
      </c>
      <c r="E2365" s="2">
        <v>250441</v>
      </c>
      <c r="F2365" s="2" t="s">
        <v>3</v>
      </c>
      <c r="G2365" s="2" t="s">
        <v>3</v>
      </c>
      <c r="H2365" s="2">
        <v>1378</v>
      </c>
      <c r="I2365" s="2">
        <v>-884</v>
      </c>
    </row>
    <row r="2366" spans="1:9" hidden="1" x14ac:dyDescent="0.3">
      <c r="A2366" t="s">
        <v>36</v>
      </c>
      <c r="B2366" s="1">
        <v>44287</v>
      </c>
      <c r="C2366" s="2">
        <v>255276</v>
      </c>
      <c r="D2366" s="2" t="s">
        <v>3</v>
      </c>
      <c r="E2366" s="2">
        <v>253014</v>
      </c>
      <c r="F2366" s="2" t="s">
        <v>3</v>
      </c>
      <c r="G2366" s="2" t="s">
        <v>3</v>
      </c>
      <c r="H2366" s="2">
        <v>2262</v>
      </c>
      <c r="I2366" s="2">
        <v>732</v>
      </c>
    </row>
    <row r="2367" spans="1:9" hidden="1" x14ac:dyDescent="0.3">
      <c r="A2367" t="s">
        <v>36</v>
      </c>
      <c r="B2367" s="1">
        <v>44256</v>
      </c>
      <c r="C2367" s="2">
        <v>255462</v>
      </c>
      <c r="D2367" s="2" t="s">
        <v>3</v>
      </c>
      <c r="E2367" s="2">
        <v>253932</v>
      </c>
      <c r="F2367" s="2" t="s">
        <v>3</v>
      </c>
      <c r="G2367" s="2" t="s">
        <v>3</v>
      </c>
      <c r="H2367" s="2">
        <v>1530</v>
      </c>
      <c r="I2367" s="2">
        <v>-1772</v>
      </c>
    </row>
    <row r="2368" spans="1:9" hidden="1" x14ac:dyDescent="0.3">
      <c r="A2368" t="s">
        <v>36</v>
      </c>
      <c r="B2368" s="1">
        <v>44228</v>
      </c>
      <c r="C2368" s="2">
        <v>259037</v>
      </c>
      <c r="D2368" s="2" t="s">
        <v>3</v>
      </c>
      <c r="E2368" s="2">
        <v>255735</v>
      </c>
      <c r="F2368" s="2" t="s">
        <v>3</v>
      </c>
      <c r="G2368" s="2" t="s">
        <v>3</v>
      </c>
      <c r="H2368" s="2">
        <v>3302</v>
      </c>
      <c r="I2368" s="2">
        <v>1065</v>
      </c>
    </row>
    <row r="2369" spans="1:9" hidden="1" x14ac:dyDescent="0.3">
      <c r="A2369" t="s">
        <v>36</v>
      </c>
      <c r="B2369" s="1">
        <v>44197</v>
      </c>
      <c r="C2369" s="2">
        <v>260430</v>
      </c>
      <c r="D2369" s="2" t="s">
        <v>3</v>
      </c>
      <c r="E2369" s="2">
        <v>258193</v>
      </c>
      <c r="F2369" s="2" t="s">
        <v>3</v>
      </c>
      <c r="G2369" s="2" t="s">
        <v>3</v>
      </c>
      <c r="H2369" s="2">
        <v>2237</v>
      </c>
      <c r="I2369" s="2">
        <v>-952</v>
      </c>
    </row>
    <row r="2370" spans="1:9" hidden="1" x14ac:dyDescent="0.3">
      <c r="A2370" t="s">
        <v>36</v>
      </c>
      <c r="B2370" s="1">
        <v>44166</v>
      </c>
      <c r="C2370" s="2">
        <v>258347</v>
      </c>
      <c r="D2370" s="2" t="s">
        <v>3</v>
      </c>
      <c r="E2370" s="2">
        <v>255158</v>
      </c>
      <c r="F2370" s="2" t="s">
        <v>3</v>
      </c>
      <c r="G2370" s="2" t="s">
        <v>3</v>
      </c>
      <c r="H2370" s="2">
        <v>3189</v>
      </c>
      <c r="I2370" s="2">
        <v>-3917</v>
      </c>
    </row>
    <row r="2371" spans="1:9" hidden="1" x14ac:dyDescent="0.3">
      <c r="A2371" t="s">
        <v>36</v>
      </c>
      <c r="B2371" s="1">
        <v>44136</v>
      </c>
      <c r="C2371" s="2">
        <v>262208</v>
      </c>
      <c r="D2371" s="2" t="s">
        <v>3</v>
      </c>
      <c r="E2371" s="2">
        <v>255102</v>
      </c>
      <c r="F2371" s="2" t="s">
        <v>3</v>
      </c>
      <c r="G2371" s="2" t="s">
        <v>3</v>
      </c>
      <c r="H2371" s="2">
        <v>7106</v>
      </c>
      <c r="I2371" s="2">
        <v>-5340</v>
      </c>
    </row>
    <row r="2372" spans="1:9" hidden="1" x14ac:dyDescent="0.3">
      <c r="A2372" t="s">
        <v>36</v>
      </c>
      <c r="B2372" s="1">
        <v>44105</v>
      </c>
      <c r="C2372" s="2">
        <v>262877</v>
      </c>
      <c r="D2372" s="2" t="s">
        <v>3</v>
      </c>
      <c r="E2372" s="2">
        <v>250431</v>
      </c>
      <c r="F2372" s="2" t="s">
        <v>3</v>
      </c>
      <c r="G2372" s="2" t="s">
        <v>3</v>
      </c>
      <c r="H2372" s="2">
        <v>12446</v>
      </c>
      <c r="I2372" s="2">
        <v>-909</v>
      </c>
    </row>
    <row r="2373" spans="1:9" hidden="1" x14ac:dyDescent="0.3">
      <c r="A2373" t="s">
        <v>36</v>
      </c>
      <c r="B2373" s="1">
        <v>44075</v>
      </c>
      <c r="C2373" s="2">
        <v>265114</v>
      </c>
      <c r="D2373" s="2" t="s">
        <v>3</v>
      </c>
      <c r="E2373" s="2">
        <v>251759</v>
      </c>
      <c r="F2373" s="2" t="s">
        <v>3</v>
      </c>
      <c r="G2373" s="2" t="s">
        <v>3</v>
      </c>
      <c r="H2373" s="2">
        <v>13355</v>
      </c>
      <c r="I2373" s="2">
        <v>-1141</v>
      </c>
    </row>
    <row r="2374" spans="1:9" hidden="1" x14ac:dyDescent="0.3">
      <c r="A2374" t="s">
        <v>36</v>
      </c>
      <c r="B2374" s="1">
        <v>44044</v>
      </c>
      <c r="C2374" s="2">
        <v>265020</v>
      </c>
      <c r="D2374" s="2" t="s">
        <v>3</v>
      </c>
      <c r="E2374" s="2">
        <v>250524</v>
      </c>
      <c r="F2374" s="2" t="s">
        <v>3</v>
      </c>
      <c r="G2374" s="2" t="s">
        <v>3</v>
      </c>
      <c r="H2374" s="2">
        <v>14496</v>
      </c>
      <c r="I2374" s="2">
        <v>50</v>
      </c>
    </row>
    <row r="2375" spans="1:9" hidden="1" x14ac:dyDescent="0.3">
      <c r="A2375" t="s">
        <v>36</v>
      </c>
      <c r="B2375" s="1">
        <v>44013</v>
      </c>
      <c r="C2375" s="2">
        <v>265675</v>
      </c>
      <c r="D2375" s="2" t="s">
        <v>3</v>
      </c>
      <c r="E2375" s="2">
        <v>251229</v>
      </c>
      <c r="F2375" s="2" t="s">
        <v>3</v>
      </c>
      <c r="G2375" s="2" t="s">
        <v>3</v>
      </c>
      <c r="H2375" s="2">
        <v>14446</v>
      </c>
      <c r="I2375" s="2">
        <v>-1277</v>
      </c>
    </row>
    <row r="2376" spans="1:9" hidden="1" x14ac:dyDescent="0.3">
      <c r="A2376" t="s">
        <v>36</v>
      </c>
      <c r="B2376" s="1">
        <v>43983</v>
      </c>
      <c r="C2376" s="2">
        <v>264064</v>
      </c>
      <c r="D2376" s="2" t="s">
        <v>3</v>
      </c>
      <c r="E2376" s="2">
        <v>248341</v>
      </c>
      <c r="F2376" s="2" t="s">
        <v>3</v>
      </c>
      <c r="G2376" s="2" t="s">
        <v>3</v>
      </c>
      <c r="H2376" s="2">
        <v>15723</v>
      </c>
      <c r="I2376" s="2">
        <v>6516</v>
      </c>
    </row>
    <row r="2377" spans="1:9" hidden="1" x14ac:dyDescent="0.3">
      <c r="A2377" t="s">
        <v>36</v>
      </c>
      <c r="B2377" s="1">
        <v>43952</v>
      </c>
      <c r="C2377" s="2">
        <v>264350</v>
      </c>
      <c r="D2377" s="2" t="s">
        <v>3</v>
      </c>
      <c r="E2377" s="2">
        <v>255143</v>
      </c>
      <c r="F2377" s="2" t="s">
        <v>3</v>
      </c>
      <c r="G2377" s="2" t="s">
        <v>3</v>
      </c>
      <c r="H2377" s="2">
        <v>9207</v>
      </c>
      <c r="I2377" s="2">
        <v>4762</v>
      </c>
    </row>
    <row r="2378" spans="1:9" hidden="1" x14ac:dyDescent="0.3">
      <c r="A2378" t="s">
        <v>36</v>
      </c>
      <c r="B2378" s="1">
        <v>43922</v>
      </c>
      <c r="C2378" s="2">
        <v>259525</v>
      </c>
      <c r="D2378" s="2" t="s">
        <v>3</v>
      </c>
      <c r="E2378" s="2">
        <v>255080</v>
      </c>
      <c r="F2378" s="2" t="s">
        <v>3</v>
      </c>
      <c r="G2378" s="2" t="s">
        <v>3</v>
      </c>
      <c r="H2378" s="2">
        <v>4445</v>
      </c>
      <c r="I2378" s="2">
        <v>2724</v>
      </c>
    </row>
    <row r="2379" spans="1:9" hidden="1" x14ac:dyDescent="0.3">
      <c r="A2379" t="s">
        <v>36</v>
      </c>
      <c r="B2379" s="1">
        <v>43891</v>
      </c>
      <c r="C2379" s="2">
        <v>264384</v>
      </c>
      <c r="D2379" s="2" t="s">
        <v>3</v>
      </c>
      <c r="E2379" s="2">
        <v>262663</v>
      </c>
      <c r="F2379" s="2" t="s">
        <v>3</v>
      </c>
      <c r="G2379" s="2" t="s">
        <v>3</v>
      </c>
      <c r="H2379" s="2">
        <v>1721</v>
      </c>
      <c r="I2379" s="2">
        <v>-3244</v>
      </c>
    </row>
    <row r="2380" spans="1:9" hidden="1" x14ac:dyDescent="0.3">
      <c r="A2380" t="s">
        <v>36</v>
      </c>
      <c r="B2380" s="1">
        <v>43862</v>
      </c>
      <c r="C2380" s="2">
        <v>285909</v>
      </c>
      <c r="D2380" s="2" t="s">
        <v>3</v>
      </c>
      <c r="E2380" s="2">
        <v>280944</v>
      </c>
      <c r="F2380" s="2" t="s">
        <v>3</v>
      </c>
      <c r="G2380" s="2" t="s">
        <v>3</v>
      </c>
      <c r="H2380" s="2">
        <v>4965</v>
      </c>
      <c r="I2380" s="2">
        <v>833</v>
      </c>
    </row>
    <row r="2381" spans="1:9" hidden="1" x14ac:dyDescent="0.3">
      <c r="A2381" t="s">
        <v>36</v>
      </c>
      <c r="B2381" s="1">
        <v>43831</v>
      </c>
      <c r="C2381" s="2">
        <v>283299</v>
      </c>
      <c r="D2381" s="2" t="s">
        <v>3</v>
      </c>
      <c r="E2381" s="2">
        <v>279167</v>
      </c>
      <c r="F2381" s="2" t="s">
        <v>3</v>
      </c>
      <c r="G2381" s="2" t="s">
        <v>3</v>
      </c>
      <c r="H2381" s="2">
        <v>4132</v>
      </c>
      <c r="I2381" s="2">
        <v>-106</v>
      </c>
    </row>
    <row r="2382" spans="1:9" x14ac:dyDescent="0.3">
      <c r="A2382" t="s">
        <v>37</v>
      </c>
      <c r="B2382" s="1">
        <v>45931</v>
      </c>
      <c r="C2382" s="2">
        <v>39587</v>
      </c>
      <c r="D2382" s="2">
        <v>552</v>
      </c>
      <c r="E2382" s="2">
        <v>37694</v>
      </c>
      <c r="F2382" s="2">
        <v>392</v>
      </c>
      <c r="G2382" s="2">
        <v>78</v>
      </c>
      <c r="H2382" s="2">
        <v>1893</v>
      </c>
      <c r="I2382" s="2">
        <v>160</v>
      </c>
    </row>
    <row r="2383" spans="1:9" x14ac:dyDescent="0.3">
      <c r="A2383" t="s">
        <v>37</v>
      </c>
      <c r="B2383" s="1">
        <v>45901</v>
      </c>
      <c r="C2383" s="2">
        <v>38924</v>
      </c>
      <c r="D2383" s="2">
        <v>-231</v>
      </c>
      <c r="E2383" s="2">
        <v>37191</v>
      </c>
      <c r="F2383" s="2">
        <v>251</v>
      </c>
      <c r="G2383" s="2">
        <v>130</v>
      </c>
      <c r="H2383" s="2">
        <v>1733</v>
      </c>
      <c r="I2383" s="2">
        <v>-482</v>
      </c>
    </row>
    <row r="2384" spans="1:9" x14ac:dyDescent="0.3">
      <c r="A2384" t="s">
        <v>37</v>
      </c>
      <c r="B2384" s="1">
        <v>45870</v>
      </c>
      <c r="C2384" s="2">
        <v>39112</v>
      </c>
      <c r="D2384" s="2">
        <v>-126</v>
      </c>
      <c r="E2384" s="2">
        <v>36897</v>
      </c>
      <c r="F2384" s="2">
        <v>26</v>
      </c>
      <c r="G2384" s="2">
        <v>254</v>
      </c>
      <c r="H2384" s="2">
        <v>2215</v>
      </c>
      <c r="I2384" s="2">
        <v>-152</v>
      </c>
    </row>
    <row r="2385" spans="1:9" x14ac:dyDescent="0.3">
      <c r="A2385" t="s">
        <v>37</v>
      </c>
      <c r="B2385" s="1">
        <v>45839</v>
      </c>
      <c r="C2385" s="2">
        <v>38986</v>
      </c>
      <c r="D2385" s="2">
        <v>-143</v>
      </c>
      <c r="E2385" s="2">
        <v>36619</v>
      </c>
      <c r="F2385" s="2">
        <v>130</v>
      </c>
      <c r="G2385" s="2">
        <v>-34</v>
      </c>
      <c r="H2385" s="2">
        <v>2367</v>
      </c>
      <c r="I2385" s="2">
        <v>-273</v>
      </c>
    </row>
    <row r="2386" spans="1:9" x14ac:dyDescent="0.3">
      <c r="A2386" t="s">
        <v>37</v>
      </c>
      <c r="B2386" s="1">
        <v>45809</v>
      </c>
      <c r="C2386" s="2">
        <v>39246</v>
      </c>
      <c r="D2386" s="2">
        <v>1034</v>
      </c>
      <c r="E2386" s="2">
        <v>36606</v>
      </c>
      <c r="F2386" s="2">
        <v>839</v>
      </c>
      <c r="G2386" s="2">
        <v>208</v>
      </c>
      <c r="H2386" s="2">
        <v>2640</v>
      </c>
      <c r="I2386" s="2">
        <v>195</v>
      </c>
    </row>
    <row r="2387" spans="1:9" x14ac:dyDescent="0.3">
      <c r="A2387" t="s">
        <v>37</v>
      </c>
      <c r="B2387" s="1">
        <v>45778</v>
      </c>
      <c r="C2387" s="2">
        <v>38088</v>
      </c>
      <c r="D2387" s="2">
        <v>101</v>
      </c>
      <c r="E2387" s="2">
        <v>35643</v>
      </c>
      <c r="F2387" s="2">
        <v>460</v>
      </c>
      <c r="G2387" s="2">
        <v>-301</v>
      </c>
      <c r="H2387" s="2">
        <v>2445</v>
      </c>
      <c r="I2387" s="2">
        <v>-359</v>
      </c>
    </row>
    <row r="2388" spans="1:9" x14ac:dyDescent="0.3">
      <c r="A2388" t="s">
        <v>37</v>
      </c>
      <c r="B2388" s="1">
        <v>45748</v>
      </c>
      <c r="C2388" s="2">
        <v>38240</v>
      </c>
      <c r="D2388" s="2">
        <v>1117</v>
      </c>
      <c r="E2388" s="2">
        <v>35436</v>
      </c>
      <c r="F2388" s="2">
        <v>1204</v>
      </c>
      <c r="G2388" s="2">
        <v>124</v>
      </c>
      <c r="H2388" s="2">
        <v>2804</v>
      </c>
      <c r="I2388" s="2">
        <v>-87</v>
      </c>
    </row>
    <row r="2389" spans="1:9" x14ac:dyDescent="0.3">
      <c r="A2389" t="s">
        <v>37</v>
      </c>
      <c r="B2389" s="1">
        <v>45717</v>
      </c>
      <c r="C2389" s="2">
        <v>37103</v>
      </c>
      <c r="D2389" s="2">
        <v>1086</v>
      </c>
      <c r="E2389" s="2">
        <v>34212</v>
      </c>
      <c r="F2389" s="2">
        <v>824</v>
      </c>
      <c r="G2389" s="2">
        <v>45</v>
      </c>
      <c r="H2389" s="2">
        <v>2891</v>
      </c>
      <c r="I2389" s="2">
        <v>262</v>
      </c>
    </row>
    <row r="2390" spans="1:9" x14ac:dyDescent="0.3">
      <c r="A2390" t="s">
        <v>37</v>
      </c>
      <c r="B2390" s="1">
        <v>45689</v>
      </c>
      <c r="C2390" s="2">
        <v>35956</v>
      </c>
      <c r="D2390" s="2">
        <v>455</v>
      </c>
      <c r="E2390" s="2">
        <v>33327</v>
      </c>
      <c r="F2390" s="2">
        <v>244</v>
      </c>
      <c r="G2390" s="2">
        <v>396</v>
      </c>
      <c r="H2390" s="2">
        <v>2629</v>
      </c>
      <c r="I2390" s="2">
        <v>211</v>
      </c>
    </row>
    <row r="2391" spans="1:9" x14ac:dyDescent="0.3">
      <c r="A2391" t="s">
        <v>37</v>
      </c>
      <c r="B2391" s="1">
        <v>45658</v>
      </c>
      <c r="C2391" s="2">
        <v>35086</v>
      </c>
      <c r="D2391" s="2">
        <v>785</v>
      </c>
      <c r="E2391" s="2">
        <v>32668</v>
      </c>
      <c r="F2391" s="2">
        <v>934</v>
      </c>
      <c r="G2391" s="2">
        <v>90</v>
      </c>
      <c r="H2391" s="2">
        <v>2418</v>
      </c>
      <c r="I2391" s="2">
        <v>-149</v>
      </c>
    </row>
    <row r="2392" spans="1:9" x14ac:dyDescent="0.3">
      <c r="A2392" t="s">
        <v>37</v>
      </c>
      <c r="B2392" s="1">
        <v>45627</v>
      </c>
      <c r="C2392" s="2">
        <v>34252</v>
      </c>
      <c r="D2392" s="2">
        <v>-67</v>
      </c>
      <c r="E2392" s="2">
        <v>31685</v>
      </c>
      <c r="F2392" s="2">
        <v>757</v>
      </c>
      <c r="G2392" s="2">
        <v>-330</v>
      </c>
      <c r="H2392" s="2">
        <v>2567</v>
      </c>
      <c r="I2392" s="2">
        <v>-824</v>
      </c>
    </row>
    <row r="2393" spans="1:9" x14ac:dyDescent="0.3">
      <c r="A2393" t="s">
        <v>37</v>
      </c>
      <c r="B2393" s="1">
        <v>45597</v>
      </c>
      <c r="C2393" s="2">
        <v>34659</v>
      </c>
      <c r="D2393" s="2">
        <v>-259</v>
      </c>
      <c r="E2393" s="2">
        <v>31268</v>
      </c>
      <c r="F2393" s="2">
        <v>4</v>
      </c>
      <c r="G2393" s="2">
        <v>106</v>
      </c>
      <c r="H2393" s="2">
        <v>3391</v>
      </c>
      <c r="I2393" s="2">
        <v>-263</v>
      </c>
    </row>
    <row r="2394" spans="1:9" x14ac:dyDescent="0.3">
      <c r="A2394" t="s">
        <v>37</v>
      </c>
      <c r="B2394" s="1">
        <v>45566</v>
      </c>
      <c r="C2394" s="2">
        <v>34940</v>
      </c>
      <c r="D2394" s="2">
        <v>-426</v>
      </c>
      <c r="E2394" s="2">
        <v>31286</v>
      </c>
      <c r="F2394" s="2">
        <v>882</v>
      </c>
      <c r="G2394" s="2">
        <v>-557</v>
      </c>
      <c r="H2394" s="2">
        <v>3654</v>
      </c>
      <c r="I2394" s="2">
        <v>-1308</v>
      </c>
    </row>
    <row r="2395" spans="1:9" x14ac:dyDescent="0.3">
      <c r="A2395" t="s">
        <v>37</v>
      </c>
      <c r="B2395" s="1">
        <v>45536</v>
      </c>
      <c r="C2395" s="2">
        <v>35969</v>
      </c>
      <c r="D2395" s="2">
        <v>445</v>
      </c>
      <c r="E2395" s="2">
        <v>31007</v>
      </c>
      <c r="F2395" s="2">
        <v>1897</v>
      </c>
      <c r="G2395" s="2">
        <v>211</v>
      </c>
      <c r="H2395" s="2">
        <v>4962</v>
      </c>
      <c r="I2395" s="2">
        <v>-1452</v>
      </c>
    </row>
    <row r="2396" spans="1:9" x14ac:dyDescent="0.3">
      <c r="A2396" t="s">
        <v>37</v>
      </c>
      <c r="B2396" s="1">
        <v>45505</v>
      </c>
      <c r="C2396" s="2">
        <v>35265</v>
      </c>
      <c r="D2396" s="2">
        <v>-1159</v>
      </c>
      <c r="E2396" s="2">
        <v>28851</v>
      </c>
      <c r="F2396" s="2">
        <v>-421</v>
      </c>
      <c r="G2396" s="2">
        <v>419</v>
      </c>
      <c r="H2396" s="2">
        <v>6414</v>
      </c>
      <c r="I2396" s="2">
        <v>-738</v>
      </c>
    </row>
    <row r="2397" spans="1:9" x14ac:dyDescent="0.3">
      <c r="A2397" t="s">
        <v>37</v>
      </c>
      <c r="B2397" s="1">
        <v>45474</v>
      </c>
      <c r="C2397" s="2">
        <v>36014</v>
      </c>
      <c r="D2397" s="2">
        <v>-240</v>
      </c>
      <c r="E2397" s="2">
        <v>28862</v>
      </c>
      <c r="F2397" s="2">
        <v>-199</v>
      </c>
      <c r="G2397" s="2">
        <v>317</v>
      </c>
      <c r="H2397" s="2">
        <v>7152</v>
      </c>
      <c r="I2397" s="2">
        <v>-41</v>
      </c>
    </row>
    <row r="2398" spans="1:9" x14ac:dyDescent="0.3">
      <c r="A2398" t="s">
        <v>37</v>
      </c>
      <c r="B2398" s="1">
        <v>45444</v>
      </c>
      <c r="C2398" s="2">
        <v>36061</v>
      </c>
      <c r="D2398" s="2">
        <v>-1710</v>
      </c>
      <c r="E2398" s="2">
        <v>28868</v>
      </c>
      <c r="F2398" s="2">
        <v>-5423</v>
      </c>
      <c r="G2398" s="2">
        <v>121</v>
      </c>
      <c r="H2398" s="2">
        <v>7193</v>
      </c>
      <c r="I2398" s="2">
        <v>3713</v>
      </c>
    </row>
    <row r="2399" spans="1:9" x14ac:dyDescent="0.3">
      <c r="A2399" t="s">
        <v>37</v>
      </c>
      <c r="B2399" s="1">
        <v>45413</v>
      </c>
      <c r="C2399" s="2">
        <v>37667</v>
      </c>
      <c r="D2399" s="2">
        <v>-662</v>
      </c>
      <c r="E2399" s="2">
        <v>34187</v>
      </c>
      <c r="F2399" s="2">
        <v>-901</v>
      </c>
      <c r="G2399" s="2">
        <v>347</v>
      </c>
      <c r="H2399" s="2">
        <v>3480</v>
      </c>
      <c r="I2399" s="2">
        <v>239</v>
      </c>
    </row>
    <row r="2400" spans="1:9" x14ac:dyDescent="0.3">
      <c r="A2400" t="s">
        <v>37</v>
      </c>
      <c r="B2400" s="1">
        <v>45383</v>
      </c>
      <c r="C2400" s="2">
        <v>37944</v>
      </c>
      <c r="D2400" s="2">
        <v>-1290</v>
      </c>
      <c r="E2400" s="2">
        <v>34703</v>
      </c>
      <c r="F2400" s="2">
        <v>-1137</v>
      </c>
      <c r="G2400" s="2">
        <v>-512</v>
      </c>
      <c r="H2400" s="2">
        <v>3241</v>
      </c>
      <c r="I2400" s="2">
        <v>-153</v>
      </c>
    </row>
    <row r="2401" spans="1:9" x14ac:dyDescent="0.3">
      <c r="A2401" t="s">
        <v>37</v>
      </c>
      <c r="B2401" s="1">
        <v>45352</v>
      </c>
      <c r="C2401" s="2">
        <v>39763</v>
      </c>
      <c r="D2401" s="2">
        <v>207</v>
      </c>
      <c r="E2401" s="2">
        <v>36369</v>
      </c>
      <c r="F2401" s="2">
        <v>-300</v>
      </c>
      <c r="G2401" s="2">
        <v>254</v>
      </c>
      <c r="H2401" s="2">
        <v>3394</v>
      </c>
      <c r="I2401" s="2">
        <v>507</v>
      </c>
    </row>
    <row r="2402" spans="1:9" x14ac:dyDescent="0.3">
      <c r="A2402" t="s">
        <v>37</v>
      </c>
      <c r="B2402" s="1">
        <v>45323</v>
      </c>
      <c r="C2402" s="2">
        <v>39373</v>
      </c>
      <c r="D2402" s="2">
        <v>-877</v>
      </c>
      <c r="E2402" s="2">
        <v>36486</v>
      </c>
      <c r="F2402" s="2">
        <v>-413</v>
      </c>
      <c r="G2402" s="2">
        <v>-424</v>
      </c>
      <c r="H2402" s="2">
        <v>2887</v>
      </c>
      <c r="I2402" s="2">
        <v>-464</v>
      </c>
    </row>
    <row r="2403" spans="1:9" x14ac:dyDescent="0.3">
      <c r="A2403" t="s">
        <v>37</v>
      </c>
      <c r="B2403" s="1">
        <v>45292</v>
      </c>
      <c r="C2403" s="2">
        <v>40657</v>
      </c>
      <c r="D2403" s="2">
        <v>427</v>
      </c>
      <c r="E2403" s="2">
        <v>37306</v>
      </c>
      <c r="F2403" s="2">
        <v>161</v>
      </c>
      <c r="G2403" s="2">
        <v>-99</v>
      </c>
      <c r="H2403" s="2">
        <v>3351</v>
      </c>
      <c r="I2403" s="2">
        <v>266</v>
      </c>
    </row>
    <row r="2404" spans="1:9" x14ac:dyDescent="0.3">
      <c r="A2404" t="s">
        <v>37</v>
      </c>
      <c r="B2404" s="1">
        <v>45261</v>
      </c>
      <c r="C2404" s="2">
        <v>40326</v>
      </c>
      <c r="D2404" s="2">
        <v>-1939</v>
      </c>
      <c r="E2404" s="2">
        <v>37241</v>
      </c>
      <c r="F2404" s="2">
        <v>-2049</v>
      </c>
      <c r="G2404" s="2">
        <v>1639</v>
      </c>
      <c r="H2404" s="2">
        <v>3085</v>
      </c>
      <c r="I2404" s="2">
        <v>110</v>
      </c>
    </row>
    <row r="2405" spans="1:9" x14ac:dyDescent="0.3">
      <c r="A2405" t="s">
        <v>37</v>
      </c>
      <c r="B2405" s="1">
        <v>45231</v>
      </c>
      <c r="C2405" s="2">
        <v>40406</v>
      </c>
      <c r="D2405" s="2">
        <v>86</v>
      </c>
      <c r="E2405" s="2">
        <v>37431</v>
      </c>
      <c r="F2405" s="2">
        <v>280</v>
      </c>
      <c r="G2405" s="2">
        <v>1153</v>
      </c>
      <c r="H2405" s="2">
        <v>2975</v>
      </c>
      <c r="I2405" s="2">
        <v>-194</v>
      </c>
    </row>
    <row r="2406" spans="1:9" x14ac:dyDescent="0.3">
      <c r="A2406" t="s">
        <v>37</v>
      </c>
      <c r="B2406" s="1">
        <v>45200</v>
      </c>
      <c r="C2406" s="2">
        <v>39288</v>
      </c>
      <c r="D2406" s="2">
        <v>-411</v>
      </c>
      <c r="E2406" s="2">
        <v>36119</v>
      </c>
      <c r="F2406" s="2">
        <v>-578</v>
      </c>
      <c r="G2406" s="2">
        <v>-563</v>
      </c>
      <c r="H2406" s="2">
        <v>3169</v>
      </c>
      <c r="I2406" s="2">
        <v>167</v>
      </c>
    </row>
    <row r="2407" spans="1:9" x14ac:dyDescent="0.3">
      <c r="A2407" t="s">
        <v>37</v>
      </c>
      <c r="B2407" s="1">
        <v>45170</v>
      </c>
      <c r="C2407" s="2">
        <v>40022</v>
      </c>
      <c r="D2407" s="2">
        <v>-1057</v>
      </c>
      <c r="E2407" s="2">
        <v>37020</v>
      </c>
      <c r="F2407" s="2">
        <v>-247</v>
      </c>
      <c r="G2407" s="2">
        <v>-802</v>
      </c>
      <c r="H2407" s="2">
        <v>3002</v>
      </c>
      <c r="I2407" s="2">
        <v>-810</v>
      </c>
    </row>
    <row r="2408" spans="1:9" x14ac:dyDescent="0.3">
      <c r="A2408" t="s">
        <v>37</v>
      </c>
      <c r="B2408" s="1">
        <v>45139</v>
      </c>
      <c r="C2408" s="2">
        <v>41913</v>
      </c>
      <c r="D2408" s="2">
        <v>-820</v>
      </c>
      <c r="E2408" s="2">
        <v>38101</v>
      </c>
      <c r="F2408" s="2">
        <v>1054</v>
      </c>
      <c r="G2408" s="2">
        <v>-451</v>
      </c>
      <c r="H2408" s="2">
        <v>3812</v>
      </c>
      <c r="I2408" s="2">
        <v>-1874</v>
      </c>
    </row>
    <row r="2409" spans="1:9" x14ac:dyDescent="0.3">
      <c r="A2409" t="s">
        <v>37</v>
      </c>
      <c r="B2409" s="1">
        <v>45108</v>
      </c>
      <c r="C2409" s="2">
        <v>43264</v>
      </c>
      <c r="D2409" s="2">
        <v>3637</v>
      </c>
      <c r="E2409" s="2">
        <v>37578</v>
      </c>
      <c r="F2409" s="2">
        <v>1934</v>
      </c>
      <c r="G2409" s="2">
        <v>-63</v>
      </c>
      <c r="H2409" s="2">
        <v>5686</v>
      </c>
      <c r="I2409" s="2">
        <v>1703</v>
      </c>
    </row>
    <row r="2410" spans="1:9" x14ac:dyDescent="0.3">
      <c r="A2410" t="s">
        <v>37</v>
      </c>
      <c r="B2410" s="1">
        <v>45078</v>
      </c>
      <c r="C2410" s="2">
        <v>39861</v>
      </c>
      <c r="D2410" s="2">
        <v>1293</v>
      </c>
      <c r="E2410" s="2">
        <v>35878</v>
      </c>
      <c r="F2410" s="2">
        <v>918</v>
      </c>
      <c r="G2410" s="2">
        <v>-295</v>
      </c>
      <c r="H2410" s="2">
        <v>3983</v>
      </c>
      <c r="I2410" s="2">
        <v>375</v>
      </c>
    </row>
    <row r="2411" spans="1:9" x14ac:dyDescent="0.3">
      <c r="A2411" t="s">
        <v>37</v>
      </c>
      <c r="B2411" s="1">
        <v>45047</v>
      </c>
      <c r="C2411" s="2">
        <v>38915</v>
      </c>
      <c r="D2411" s="2">
        <v>2202</v>
      </c>
      <c r="E2411" s="2">
        <v>35307</v>
      </c>
      <c r="F2411" s="2">
        <v>1638</v>
      </c>
      <c r="G2411" s="2">
        <v>-367</v>
      </c>
      <c r="H2411" s="2">
        <v>3608</v>
      </c>
      <c r="I2411" s="2">
        <v>564</v>
      </c>
    </row>
    <row r="2412" spans="1:9" x14ac:dyDescent="0.3">
      <c r="A2412" t="s">
        <v>37</v>
      </c>
      <c r="B2412" s="1">
        <v>45017</v>
      </c>
      <c r="C2412" s="2">
        <v>37375</v>
      </c>
      <c r="D2412" s="2">
        <v>1689</v>
      </c>
      <c r="E2412" s="2">
        <v>34331</v>
      </c>
      <c r="F2412" s="2">
        <v>1520</v>
      </c>
      <c r="G2412" s="2">
        <v>92</v>
      </c>
      <c r="H2412" s="2">
        <v>3044</v>
      </c>
      <c r="I2412" s="2">
        <v>169</v>
      </c>
    </row>
    <row r="2413" spans="1:9" x14ac:dyDescent="0.3">
      <c r="A2413" t="s">
        <v>37</v>
      </c>
      <c r="B2413" s="1">
        <v>44986</v>
      </c>
      <c r="C2413" s="2">
        <v>35690</v>
      </c>
      <c r="D2413" s="2">
        <v>45</v>
      </c>
      <c r="E2413" s="2">
        <v>32815</v>
      </c>
      <c r="F2413" s="2">
        <v>-182</v>
      </c>
      <c r="G2413" s="2">
        <v>1020</v>
      </c>
      <c r="H2413" s="2">
        <v>2875</v>
      </c>
      <c r="I2413" s="2">
        <v>227</v>
      </c>
    </row>
    <row r="2414" spans="1:9" x14ac:dyDescent="0.3">
      <c r="A2414" t="s">
        <v>37</v>
      </c>
      <c r="B2414" s="1">
        <v>44958</v>
      </c>
      <c r="C2414" s="2">
        <v>34702</v>
      </c>
      <c r="D2414" s="2">
        <v>964</v>
      </c>
      <c r="E2414" s="2">
        <v>32054</v>
      </c>
      <c r="F2414" s="2">
        <v>868</v>
      </c>
      <c r="G2414" s="2">
        <v>-253</v>
      </c>
      <c r="H2414" s="2">
        <v>2648</v>
      </c>
      <c r="I2414" s="2">
        <v>96</v>
      </c>
    </row>
    <row r="2415" spans="1:9" hidden="1" x14ac:dyDescent="0.3">
      <c r="A2415" t="s">
        <v>37</v>
      </c>
      <c r="B2415" s="1">
        <v>44927</v>
      </c>
      <c r="C2415" s="2">
        <v>34177</v>
      </c>
      <c r="D2415" s="2" t="s">
        <v>3</v>
      </c>
      <c r="E2415" s="2">
        <v>31625</v>
      </c>
      <c r="F2415" s="2" t="s">
        <v>3</v>
      </c>
      <c r="G2415" s="2" t="s">
        <v>3</v>
      </c>
      <c r="H2415" s="2">
        <v>2552</v>
      </c>
      <c r="I2415" s="2">
        <v>-391</v>
      </c>
    </row>
    <row r="2416" spans="1:9" hidden="1" x14ac:dyDescent="0.3">
      <c r="A2416" t="s">
        <v>37</v>
      </c>
      <c r="B2416" s="1">
        <v>44896</v>
      </c>
      <c r="C2416" s="2">
        <v>34042</v>
      </c>
      <c r="D2416" s="2" t="s">
        <v>3</v>
      </c>
      <c r="E2416" s="2">
        <v>31099</v>
      </c>
      <c r="F2416" s="2" t="s">
        <v>3</v>
      </c>
      <c r="G2416" s="2" t="s">
        <v>3</v>
      </c>
      <c r="H2416" s="2">
        <v>2943</v>
      </c>
      <c r="I2416" s="2">
        <v>-343</v>
      </c>
    </row>
    <row r="2417" spans="1:9" hidden="1" x14ac:dyDescent="0.3">
      <c r="A2417" t="s">
        <v>37</v>
      </c>
      <c r="B2417" s="1">
        <v>44866</v>
      </c>
      <c r="C2417" s="2">
        <v>34202</v>
      </c>
      <c r="D2417" s="2" t="s">
        <v>3</v>
      </c>
      <c r="E2417" s="2">
        <v>30916</v>
      </c>
      <c r="F2417" s="2" t="s">
        <v>3</v>
      </c>
      <c r="G2417" s="2" t="s">
        <v>3</v>
      </c>
      <c r="H2417" s="2">
        <v>3286</v>
      </c>
      <c r="I2417" s="2">
        <v>-897</v>
      </c>
    </row>
    <row r="2418" spans="1:9" hidden="1" x14ac:dyDescent="0.3">
      <c r="A2418" t="s">
        <v>37</v>
      </c>
      <c r="B2418" s="1">
        <v>44835</v>
      </c>
      <c r="C2418" s="2">
        <v>33784</v>
      </c>
      <c r="D2418" s="2" t="s">
        <v>3</v>
      </c>
      <c r="E2418" s="2">
        <v>29601</v>
      </c>
      <c r="F2418" s="2" t="s">
        <v>3</v>
      </c>
      <c r="G2418" s="2" t="s">
        <v>3</v>
      </c>
      <c r="H2418" s="2">
        <v>4183</v>
      </c>
      <c r="I2418" s="2">
        <v>124</v>
      </c>
    </row>
    <row r="2419" spans="1:9" hidden="1" x14ac:dyDescent="0.3">
      <c r="A2419" t="s">
        <v>37</v>
      </c>
      <c r="B2419" s="1">
        <v>44805</v>
      </c>
      <c r="C2419" s="2">
        <v>33989</v>
      </c>
      <c r="D2419" s="2" t="s">
        <v>3</v>
      </c>
      <c r="E2419" s="2">
        <v>29930</v>
      </c>
      <c r="F2419" s="2" t="s">
        <v>3</v>
      </c>
      <c r="G2419" s="2" t="s">
        <v>3</v>
      </c>
      <c r="H2419" s="2">
        <v>4059</v>
      </c>
      <c r="I2419" s="2">
        <v>-139</v>
      </c>
    </row>
    <row r="2420" spans="1:9" hidden="1" x14ac:dyDescent="0.3">
      <c r="A2420" t="s">
        <v>37</v>
      </c>
      <c r="B2420" s="1">
        <v>44774</v>
      </c>
      <c r="C2420" s="2">
        <v>36026</v>
      </c>
      <c r="D2420" s="2" t="s">
        <v>3</v>
      </c>
      <c r="E2420" s="2">
        <v>31828</v>
      </c>
      <c r="F2420" s="2" t="s">
        <v>3</v>
      </c>
      <c r="G2420" s="2" t="s">
        <v>3</v>
      </c>
      <c r="H2420" s="2">
        <v>4198</v>
      </c>
      <c r="I2420" s="2">
        <v>415</v>
      </c>
    </row>
    <row r="2421" spans="1:9" hidden="1" x14ac:dyDescent="0.3">
      <c r="A2421" t="s">
        <v>37</v>
      </c>
      <c r="B2421" s="1">
        <v>44743</v>
      </c>
      <c r="C2421" s="2">
        <v>38094</v>
      </c>
      <c r="D2421" s="2" t="s">
        <v>3</v>
      </c>
      <c r="E2421" s="2">
        <v>34311</v>
      </c>
      <c r="F2421" s="2" t="s">
        <v>3</v>
      </c>
      <c r="G2421" s="2" t="s">
        <v>3</v>
      </c>
      <c r="H2421" s="2">
        <v>3783</v>
      </c>
      <c r="I2421" s="2">
        <v>-2537</v>
      </c>
    </row>
    <row r="2422" spans="1:9" hidden="1" x14ac:dyDescent="0.3">
      <c r="A2422" t="s">
        <v>37</v>
      </c>
      <c r="B2422" s="1">
        <v>44713</v>
      </c>
      <c r="C2422" s="2">
        <v>40473</v>
      </c>
      <c r="D2422" s="2" t="s">
        <v>3</v>
      </c>
      <c r="E2422" s="2">
        <v>34153</v>
      </c>
      <c r="F2422" s="2" t="s">
        <v>3</v>
      </c>
      <c r="G2422" s="2" t="s">
        <v>3</v>
      </c>
      <c r="H2422" s="2">
        <v>6320</v>
      </c>
      <c r="I2422" s="2">
        <v>572</v>
      </c>
    </row>
    <row r="2423" spans="1:9" hidden="1" x14ac:dyDescent="0.3">
      <c r="A2423" t="s">
        <v>37</v>
      </c>
      <c r="B2423" s="1">
        <v>44682</v>
      </c>
      <c r="C2423" s="2">
        <v>39448</v>
      </c>
      <c r="D2423" s="2" t="s">
        <v>3</v>
      </c>
      <c r="E2423" s="2">
        <v>33700</v>
      </c>
      <c r="F2423" s="2" t="s">
        <v>3</v>
      </c>
      <c r="G2423" s="2" t="s">
        <v>3</v>
      </c>
      <c r="H2423" s="2">
        <v>5748</v>
      </c>
      <c r="I2423" s="2">
        <v>2410</v>
      </c>
    </row>
    <row r="2424" spans="1:9" hidden="1" x14ac:dyDescent="0.3">
      <c r="A2424" t="s">
        <v>37</v>
      </c>
      <c r="B2424" s="1">
        <v>44652</v>
      </c>
      <c r="C2424" s="2">
        <v>36490</v>
      </c>
      <c r="D2424" s="2" t="s">
        <v>3</v>
      </c>
      <c r="E2424" s="2">
        <v>33152</v>
      </c>
      <c r="F2424" s="2" t="s">
        <v>3</v>
      </c>
      <c r="G2424" s="2" t="s">
        <v>3</v>
      </c>
      <c r="H2424" s="2">
        <v>3338</v>
      </c>
      <c r="I2424" s="2">
        <v>-222</v>
      </c>
    </row>
    <row r="2425" spans="1:9" hidden="1" x14ac:dyDescent="0.3">
      <c r="A2425" t="s">
        <v>37</v>
      </c>
      <c r="B2425" s="1">
        <v>44621</v>
      </c>
      <c r="C2425" s="2">
        <v>37421</v>
      </c>
      <c r="D2425" s="2" t="s">
        <v>3</v>
      </c>
      <c r="E2425" s="2">
        <v>33861</v>
      </c>
      <c r="F2425" s="2" t="s">
        <v>3</v>
      </c>
      <c r="G2425" s="2" t="s">
        <v>3</v>
      </c>
      <c r="H2425" s="2">
        <v>3560</v>
      </c>
      <c r="I2425" s="2">
        <v>1214</v>
      </c>
    </row>
    <row r="2426" spans="1:9" hidden="1" x14ac:dyDescent="0.3">
      <c r="A2426" t="s">
        <v>37</v>
      </c>
      <c r="B2426" s="1">
        <v>44593</v>
      </c>
      <c r="C2426" s="2">
        <v>37165</v>
      </c>
      <c r="D2426" s="2" t="s">
        <v>3</v>
      </c>
      <c r="E2426" s="2">
        <v>34819</v>
      </c>
      <c r="F2426" s="2" t="s">
        <v>3</v>
      </c>
      <c r="G2426" s="2" t="s">
        <v>3</v>
      </c>
      <c r="H2426" s="2">
        <v>2346</v>
      </c>
      <c r="I2426" s="2">
        <v>163</v>
      </c>
    </row>
    <row r="2427" spans="1:9" hidden="1" x14ac:dyDescent="0.3">
      <c r="A2427" t="s">
        <v>37</v>
      </c>
      <c r="B2427" s="1">
        <v>44562</v>
      </c>
      <c r="C2427" s="2">
        <v>35275</v>
      </c>
      <c r="D2427" s="2" t="s">
        <v>3</v>
      </c>
      <c r="E2427" s="2">
        <v>33092</v>
      </c>
      <c r="F2427" s="2" t="s">
        <v>3</v>
      </c>
      <c r="G2427" s="2" t="s">
        <v>3</v>
      </c>
      <c r="H2427" s="2">
        <v>2183</v>
      </c>
      <c r="I2427" s="2">
        <v>-134</v>
      </c>
    </row>
    <row r="2428" spans="1:9" hidden="1" x14ac:dyDescent="0.3">
      <c r="A2428" t="s">
        <v>37</v>
      </c>
      <c r="B2428" s="1">
        <v>44531</v>
      </c>
      <c r="C2428" s="2">
        <v>35840</v>
      </c>
      <c r="D2428" s="2" t="s">
        <v>3</v>
      </c>
      <c r="E2428" s="2">
        <v>33523</v>
      </c>
      <c r="F2428" s="2" t="s">
        <v>3</v>
      </c>
      <c r="G2428" s="2" t="s">
        <v>3</v>
      </c>
      <c r="H2428" s="2">
        <v>2317</v>
      </c>
      <c r="I2428" s="2">
        <v>-660</v>
      </c>
    </row>
    <row r="2429" spans="1:9" hidden="1" x14ac:dyDescent="0.3">
      <c r="A2429" t="s">
        <v>37</v>
      </c>
      <c r="B2429" s="1">
        <v>44501</v>
      </c>
      <c r="C2429" s="2">
        <v>36368</v>
      </c>
      <c r="D2429" s="2" t="s">
        <v>3</v>
      </c>
      <c r="E2429" s="2">
        <v>33391</v>
      </c>
      <c r="F2429" s="2" t="s">
        <v>3</v>
      </c>
      <c r="G2429" s="2" t="s">
        <v>3</v>
      </c>
      <c r="H2429" s="2">
        <v>2977</v>
      </c>
      <c r="I2429" s="2">
        <v>-684</v>
      </c>
    </row>
    <row r="2430" spans="1:9" hidden="1" x14ac:dyDescent="0.3">
      <c r="A2430" t="s">
        <v>37</v>
      </c>
      <c r="B2430" s="1">
        <v>44470</v>
      </c>
      <c r="C2430" s="2">
        <v>37843</v>
      </c>
      <c r="D2430" s="2" t="s">
        <v>3</v>
      </c>
      <c r="E2430" s="2">
        <v>34182</v>
      </c>
      <c r="F2430" s="2" t="s">
        <v>3</v>
      </c>
      <c r="G2430" s="2" t="s">
        <v>3</v>
      </c>
      <c r="H2430" s="2">
        <v>3661</v>
      </c>
      <c r="I2430" s="2">
        <v>-664</v>
      </c>
    </row>
    <row r="2431" spans="1:9" hidden="1" x14ac:dyDescent="0.3">
      <c r="A2431" t="s">
        <v>37</v>
      </c>
      <c r="B2431" s="1">
        <v>44440</v>
      </c>
      <c r="C2431" s="2">
        <v>38760</v>
      </c>
      <c r="D2431" s="2" t="s">
        <v>3</v>
      </c>
      <c r="E2431" s="2">
        <v>34435</v>
      </c>
      <c r="F2431" s="2" t="s">
        <v>3</v>
      </c>
      <c r="G2431" s="2" t="s">
        <v>3</v>
      </c>
      <c r="H2431" s="2">
        <v>4325</v>
      </c>
      <c r="I2431" s="2">
        <v>260</v>
      </c>
    </row>
    <row r="2432" spans="1:9" hidden="1" x14ac:dyDescent="0.3">
      <c r="A2432" t="s">
        <v>37</v>
      </c>
      <c r="B2432" s="1">
        <v>44409</v>
      </c>
      <c r="C2432" s="2">
        <v>38290</v>
      </c>
      <c r="D2432" s="2" t="s">
        <v>3</v>
      </c>
      <c r="E2432" s="2">
        <v>34225</v>
      </c>
      <c r="F2432" s="2" t="s">
        <v>3</v>
      </c>
      <c r="G2432" s="2" t="s">
        <v>3</v>
      </c>
      <c r="H2432" s="2">
        <v>4065</v>
      </c>
      <c r="I2432" s="2">
        <v>-2893</v>
      </c>
    </row>
    <row r="2433" spans="1:9" hidden="1" x14ac:dyDescent="0.3">
      <c r="A2433" t="s">
        <v>37</v>
      </c>
      <c r="B2433" s="1">
        <v>44378</v>
      </c>
      <c r="C2433" s="2">
        <v>40883</v>
      </c>
      <c r="D2433" s="2" t="s">
        <v>3</v>
      </c>
      <c r="E2433" s="2">
        <v>33925</v>
      </c>
      <c r="F2433" s="2" t="s">
        <v>3</v>
      </c>
      <c r="G2433" s="2" t="s">
        <v>3</v>
      </c>
      <c r="H2433" s="2">
        <v>6958</v>
      </c>
      <c r="I2433" s="2">
        <v>2050</v>
      </c>
    </row>
    <row r="2434" spans="1:9" hidden="1" x14ac:dyDescent="0.3">
      <c r="A2434" t="s">
        <v>37</v>
      </c>
      <c r="B2434" s="1">
        <v>44348</v>
      </c>
      <c r="C2434" s="2">
        <v>37991</v>
      </c>
      <c r="D2434" s="2" t="s">
        <v>3</v>
      </c>
      <c r="E2434" s="2">
        <v>33083</v>
      </c>
      <c r="F2434" s="2" t="s">
        <v>3</v>
      </c>
      <c r="G2434" s="2" t="s">
        <v>3</v>
      </c>
      <c r="H2434" s="2">
        <v>4908</v>
      </c>
      <c r="I2434" s="2">
        <v>-275</v>
      </c>
    </row>
    <row r="2435" spans="1:9" hidden="1" x14ac:dyDescent="0.3">
      <c r="A2435" t="s">
        <v>37</v>
      </c>
      <c r="B2435" s="1">
        <v>44317</v>
      </c>
      <c r="C2435" s="2">
        <v>39391</v>
      </c>
      <c r="D2435" s="2" t="s">
        <v>3</v>
      </c>
      <c r="E2435" s="2">
        <v>34208</v>
      </c>
      <c r="F2435" s="2" t="s">
        <v>3</v>
      </c>
      <c r="G2435" s="2" t="s">
        <v>3</v>
      </c>
      <c r="H2435" s="2">
        <v>5183</v>
      </c>
      <c r="I2435" s="2">
        <v>608</v>
      </c>
    </row>
    <row r="2436" spans="1:9" hidden="1" x14ac:dyDescent="0.3">
      <c r="A2436" t="s">
        <v>37</v>
      </c>
      <c r="B2436" s="1">
        <v>44287</v>
      </c>
      <c r="C2436" s="2">
        <v>38003</v>
      </c>
      <c r="D2436" s="2" t="s">
        <v>3</v>
      </c>
      <c r="E2436" s="2">
        <v>33428</v>
      </c>
      <c r="F2436" s="2" t="s">
        <v>3</v>
      </c>
      <c r="G2436" s="2" t="s">
        <v>3</v>
      </c>
      <c r="H2436" s="2">
        <v>4575</v>
      </c>
      <c r="I2436" s="2">
        <v>-491</v>
      </c>
    </row>
    <row r="2437" spans="1:9" hidden="1" x14ac:dyDescent="0.3">
      <c r="A2437" t="s">
        <v>37</v>
      </c>
      <c r="B2437" s="1">
        <v>44256</v>
      </c>
      <c r="C2437" s="2">
        <v>38328</v>
      </c>
      <c r="D2437" s="2" t="s">
        <v>3</v>
      </c>
      <c r="E2437" s="2">
        <v>33262</v>
      </c>
      <c r="F2437" s="2" t="s">
        <v>3</v>
      </c>
      <c r="G2437" s="2" t="s">
        <v>3</v>
      </c>
      <c r="H2437" s="2">
        <v>5066</v>
      </c>
      <c r="I2437" s="2">
        <v>-717</v>
      </c>
    </row>
    <row r="2438" spans="1:9" hidden="1" x14ac:dyDescent="0.3">
      <c r="A2438" t="s">
        <v>37</v>
      </c>
      <c r="B2438" s="1">
        <v>44228</v>
      </c>
      <c r="C2438" s="2">
        <v>38172</v>
      </c>
      <c r="D2438" s="2" t="s">
        <v>3</v>
      </c>
      <c r="E2438" s="2">
        <v>32389</v>
      </c>
      <c r="F2438" s="2" t="s">
        <v>3</v>
      </c>
      <c r="G2438" s="2" t="s">
        <v>3</v>
      </c>
      <c r="H2438" s="2">
        <v>5783</v>
      </c>
      <c r="I2438" s="2">
        <v>-1218</v>
      </c>
    </row>
    <row r="2439" spans="1:9" hidden="1" x14ac:dyDescent="0.3">
      <c r="A2439" t="s">
        <v>37</v>
      </c>
      <c r="B2439" s="1">
        <v>44197</v>
      </c>
      <c r="C2439" s="2">
        <v>30133</v>
      </c>
      <c r="D2439" s="2" t="s">
        <v>3</v>
      </c>
      <c r="E2439" s="2">
        <v>23132</v>
      </c>
      <c r="F2439" s="2" t="s">
        <v>3</v>
      </c>
      <c r="G2439" s="2" t="s">
        <v>3</v>
      </c>
      <c r="H2439" s="2">
        <v>7001</v>
      </c>
      <c r="I2439" s="2">
        <v>2423</v>
      </c>
    </row>
    <row r="2440" spans="1:9" hidden="1" x14ac:dyDescent="0.3">
      <c r="A2440" t="s">
        <v>37</v>
      </c>
      <c r="B2440" s="1">
        <v>44166</v>
      </c>
      <c r="C2440" s="2">
        <v>27348</v>
      </c>
      <c r="D2440" s="2" t="s">
        <v>3</v>
      </c>
      <c r="E2440" s="2">
        <v>22770</v>
      </c>
      <c r="F2440" s="2" t="s">
        <v>3</v>
      </c>
      <c r="G2440" s="2" t="s">
        <v>3</v>
      </c>
      <c r="H2440" s="2">
        <v>4578</v>
      </c>
      <c r="I2440" s="2">
        <v>-451</v>
      </c>
    </row>
    <row r="2441" spans="1:9" hidden="1" x14ac:dyDescent="0.3">
      <c r="A2441" t="s">
        <v>37</v>
      </c>
      <c r="B2441" s="1">
        <v>44136</v>
      </c>
      <c r="C2441" s="2">
        <v>27718</v>
      </c>
      <c r="D2441" s="2" t="s">
        <v>3</v>
      </c>
      <c r="E2441" s="2">
        <v>22689</v>
      </c>
      <c r="F2441" s="2" t="s">
        <v>3</v>
      </c>
      <c r="G2441" s="2" t="s">
        <v>3</v>
      </c>
      <c r="H2441" s="2">
        <v>5029</v>
      </c>
      <c r="I2441" s="2">
        <v>-1320</v>
      </c>
    </row>
    <row r="2442" spans="1:9" hidden="1" x14ac:dyDescent="0.3">
      <c r="A2442" t="s">
        <v>37</v>
      </c>
      <c r="B2442" s="1">
        <v>44105</v>
      </c>
      <c r="C2442" s="2">
        <v>29129</v>
      </c>
      <c r="D2442" s="2" t="s">
        <v>3</v>
      </c>
      <c r="E2442" s="2">
        <v>22780</v>
      </c>
      <c r="F2442" s="2" t="s">
        <v>3</v>
      </c>
      <c r="G2442" s="2" t="s">
        <v>3</v>
      </c>
      <c r="H2442" s="2">
        <v>6349</v>
      </c>
      <c r="I2442" s="2">
        <v>2759</v>
      </c>
    </row>
    <row r="2443" spans="1:9" hidden="1" x14ac:dyDescent="0.3">
      <c r="A2443" t="s">
        <v>37</v>
      </c>
      <c r="B2443" s="1">
        <v>44075</v>
      </c>
      <c r="C2443" s="2">
        <v>29355</v>
      </c>
      <c r="D2443" s="2" t="s">
        <v>3</v>
      </c>
      <c r="E2443" s="2">
        <v>25765</v>
      </c>
      <c r="F2443" s="2" t="s">
        <v>3</v>
      </c>
      <c r="G2443" s="2" t="s">
        <v>3</v>
      </c>
      <c r="H2443" s="2">
        <v>3590</v>
      </c>
      <c r="I2443" s="2">
        <v>-1509</v>
      </c>
    </row>
    <row r="2444" spans="1:9" hidden="1" x14ac:dyDescent="0.3">
      <c r="A2444" t="s">
        <v>37</v>
      </c>
      <c r="B2444" s="1">
        <v>44044</v>
      </c>
      <c r="C2444" s="2">
        <v>29420</v>
      </c>
      <c r="D2444" s="2" t="s">
        <v>3</v>
      </c>
      <c r="E2444" s="2">
        <v>24321</v>
      </c>
      <c r="F2444" s="2" t="s">
        <v>3</v>
      </c>
      <c r="G2444" s="2" t="s">
        <v>3</v>
      </c>
      <c r="H2444" s="2">
        <v>5099</v>
      </c>
      <c r="I2444" s="2">
        <v>-558</v>
      </c>
    </row>
    <row r="2445" spans="1:9" hidden="1" x14ac:dyDescent="0.3">
      <c r="A2445" t="s">
        <v>37</v>
      </c>
      <c r="B2445" s="1">
        <v>44013</v>
      </c>
      <c r="C2445" s="2">
        <v>30116</v>
      </c>
      <c r="D2445" s="2" t="s">
        <v>3</v>
      </c>
      <c r="E2445" s="2">
        <v>24459</v>
      </c>
      <c r="F2445" s="2" t="s">
        <v>3</v>
      </c>
      <c r="G2445" s="2" t="s">
        <v>3</v>
      </c>
      <c r="H2445" s="2">
        <v>5657</v>
      </c>
      <c r="I2445" s="2">
        <v>-62</v>
      </c>
    </row>
    <row r="2446" spans="1:9" hidden="1" x14ac:dyDescent="0.3">
      <c r="A2446" t="s">
        <v>37</v>
      </c>
      <c r="B2446" s="1">
        <v>43983</v>
      </c>
      <c r="C2446" s="2">
        <v>29760</v>
      </c>
      <c r="D2446" s="2" t="s">
        <v>3</v>
      </c>
      <c r="E2446" s="2">
        <v>24041</v>
      </c>
      <c r="F2446" s="2" t="s">
        <v>3</v>
      </c>
      <c r="G2446" s="2" t="s">
        <v>3</v>
      </c>
      <c r="H2446" s="2">
        <v>5719</v>
      </c>
      <c r="I2446" s="2">
        <v>-514</v>
      </c>
    </row>
    <row r="2447" spans="1:9" hidden="1" x14ac:dyDescent="0.3">
      <c r="A2447" t="s">
        <v>37</v>
      </c>
      <c r="B2447" s="1">
        <v>43952</v>
      </c>
      <c r="C2447" s="2">
        <v>30087</v>
      </c>
      <c r="D2447" s="2" t="s">
        <v>3</v>
      </c>
      <c r="E2447" s="2">
        <v>23854</v>
      </c>
      <c r="F2447" s="2" t="s">
        <v>3</v>
      </c>
      <c r="G2447" s="2" t="s">
        <v>3</v>
      </c>
      <c r="H2447" s="2">
        <v>6233</v>
      </c>
      <c r="I2447" s="2">
        <v>-57</v>
      </c>
    </row>
    <row r="2448" spans="1:9" hidden="1" x14ac:dyDescent="0.3">
      <c r="A2448" t="s">
        <v>37</v>
      </c>
      <c r="B2448" s="1">
        <v>43922</v>
      </c>
      <c r="C2448" s="2">
        <v>29804</v>
      </c>
      <c r="D2448" s="2" t="s">
        <v>3</v>
      </c>
      <c r="E2448" s="2">
        <v>23514</v>
      </c>
      <c r="F2448" s="2" t="s">
        <v>3</v>
      </c>
      <c r="G2448" s="2" t="s">
        <v>3</v>
      </c>
      <c r="H2448" s="2">
        <v>6290</v>
      </c>
      <c r="I2448" s="2">
        <v>1325</v>
      </c>
    </row>
    <row r="2449" spans="1:9" hidden="1" x14ac:dyDescent="0.3">
      <c r="A2449" t="s">
        <v>37</v>
      </c>
      <c r="B2449" s="1">
        <v>43891</v>
      </c>
      <c r="C2449" s="2">
        <v>30140</v>
      </c>
      <c r="D2449" s="2" t="s">
        <v>3</v>
      </c>
      <c r="E2449" s="2">
        <v>25175</v>
      </c>
      <c r="F2449" s="2" t="s">
        <v>3</v>
      </c>
      <c r="G2449" s="2" t="s">
        <v>3</v>
      </c>
      <c r="H2449" s="2">
        <v>4965</v>
      </c>
      <c r="I2449" s="2">
        <v>-1974</v>
      </c>
    </row>
    <row r="2450" spans="1:9" hidden="1" x14ac:dyDescent="0.3">
      <c r="A2450" t="s">
        <v>37</v>
      </c>
      <c r="B2450" s="1">
        <v>43862</v>
      </c>
      <c r="C2450" s="2">
        <v>32039</v>
      </c>
      <c r="D2450" s="2" t="s">
        <v>3</v>
      </c>
      <c r="E2450" s="2">
        <v>25100</v>
      </c>
      <c r="F2450" s="2" t="s">
        <v>3</v>
      </c>
      <c r="G2450" s="2" t="s">
        <v>3</v>
      </c>
      <c r="H2450" s="2">
        <v>6939</v>
      </c>
      <c r="I2450" s="2">
        <v>-334</v>
      </c>
    </row>
    <row r="2451" spans="1:9" hidden="1" x14ac:dyDescent="0.3">
      <c r="A2451" t="s">
        <v>37</v>
      </c>
      <c r="B2451" s="1">
        <v>43831</v>
      </c>
      <c r="C2451" s="2">
        <v>32548</v>
      </c>
      <c r="D2451" s="2" t="s">
        <v>3</v>
      </c>
      <c r="E2451" s="2">
        <v>25275</v>
      </c>
      <c r="F2451" s="2" t="s">
        <v>3</v>
      </c>
      <c r="G2451" s="2" t="s">
        <v>3</v>
      </c>
      <c r="H2451" s="2">
        <v>7273</v>
      </c>
      <c r="I2451" s="2">
        <v>2820</v>
      </c>
    </row>
    <row r="2452" spans="1:9" x14ac:dyDescent="0.3">
      <c r="A2452" t="s">
        <v>38</v>
      </c>
      <c r="B2452" s="1">
        <v>45931</v>
      </c>
      <c r="C2452" s="2">
        <v>41686</v>
      </c>
      <c r="D2452" s="2">
        <v>-1854</v>
      </c>
      <c r="E2452" s="2">
        <v>39145</v>
      </c>
      <c r="F2452" s="2">
        <v>-2128</v>
      </c>
      <c r="G2452" s="2">
        <v>92</v>
      </c>
      <c r="H2452" s="2">
        <v>2541</v>
      </c>
      <c r="I2452" s="2">
        <v>274</v>
      </c>
    </row>
    <row r="2453" spans="1:9" x14ac:dyDescent="0.3">
      <c r="A2453" t="s">
        <v>38</v>
      </c>
      <c r="B2453" s="1">
        <v>45901</v>
      </c>
      <c r="C2453" s="2">
        <v>43342</v>
      </c>
      <c r="D2453" s="2">
        <v>-1454</v>
      </c>
      <c r="E2453" s="2">
        <v>41075</v>
      </c>
      <c r="F2453" s="2">
        <v>-172</v>
      </c>
      <c r="G2453" s="2">
        <v>139</v>
      </c>
      <c r="H2453" s="2">
        <v>2267</v>
      </c>
      <c r="I2453" s="2">
        <v>-1282</v>
      </c>
    </row>
    <row r="2454" spans="1:9" x14ac:dyDescent="0.3">
      <c r="A2454" t="s">
        <v>38</v>
      </c>
      <c r="B2454" s="1">
        <v>45870</v>
      </c>
      <c r="C2454" s="2">
        <v>44716</v>
      </c>
      <c r="D2454" s="2">
        <v>1560</v>
      </c>
      <c r="E2454" s="2">
        <v>41167</v>
      </c>
      <c r="F2454" s="2">
        <v>1508</v>
      </c>
      <c r="G2454" s="2">
        <v>184</v>
      </c>
      <c r="H2454" s="2">
        <v>3549</v>
      </c>
      <c r="I2454" s="2">
        <v>52</v>
      </c>
    </row>
    <row r="2455" spans="1:9" x14ac:dyDescent="0.3">
      <c r="A2455" t="s">
        <v>38</v>
      </c>
      <c r="B2455" s="1">
        <v>45839</v>
      </c>
      <c r="C2455" s="2">
        <v>43302</v>
      </c>
      <c r="D2455" s="2">
        <v>227</v>
      </c>
      <c r="E2455" s="2">
        <v>39805</v>
      </c>
      <c r="F2455" s="2">
        <v>343</v>
      </c>
      <c r="G2455" s="2">
        <v>-112</v>
      </c>
      <c r="H2455" s="2">
        <v>3497</v>
      </c>
      <c r="I2455" s="2">
        <v>-116</v>
      </c>
    </row>
    <row r="2456" spans="1:9" x14ac:dyDescent="0.3">
      <c r="A2456" t="s">
        <v>38</v>
      </c>
      <c r="B2456" s="1">
        <v>45809</v>
      </c>
      <c r="C2456" s="2">
        <v>43146</v>
      </c>
      <c r="D2456" s="2">
        <v>-3029</v>
      </c>
      <c r="E2456" s="2">
        <v>39533</v>
      </c>
      <c r="F2456" s="2">
        <v>-2312</v>
      </c>
      <c r="G2456" s="2">
        <v>188</v>
      </c>
      <c r="H2456" s="2">
        <v>3613</v>
      </c>
      <c r="I2456" s="2">
        <v>-717</v>
      </c>
    </row>
    <row r="2457" spans="1:9" x14ac:dyDescent="0.3">
      <c r="A2457" t="s">
        <v>38</v>
      </c>
      <c r="B2457" s="1">
        <v>45778</v>
      </c>
      <c r="C2457" s="2">
        <v>45622</v>
      </c>
      <c r="D2457" s="2">
        <v>-2316</v>
      </c>
      <c r="E2457" s="2">
        <v>41292</v>
      </c>
      <c r="F2457" s="2">
        <v>-2814</v>
      </c>
      <c r="G2457" s="2">
        <v>-90</v>
      </c>
      <c r="H2457" s="2">
        <v>4330</v>
      </c>
      <c r="I2457" s="2">
        <v>498</v>
      </c>
    </row>
    <row r="2458" spans="1:9" x14ac:dyDescent="0.3">
      <c r="A2458" t="s">
        <v>38</v>
      </c>
      <c r="B2458" s="1">
        <v>45748</v>
      </c>
      <c r="C2458" s="2">
        <v>48158</v>
      </c>
      <c r="D2458" s="2">
        <v>378</v>
      </c>
      <c r="E2458" s="2">
        <v>44326</v>
      </c>
      <c r="F2458" s="2">
        <v>479</v>
      </c>
      <c r="G2458" s="2">
        <v>100</v>
      </c>
      <c r="H2458" s="2">
        <v>3832</v>
      </c>
      <c r="I2458" s="2">
        <v>-101</v>
      </c>
    </row>
    <row r="2459" spans="1:9" x14ac:dyDescent="0.3">
      <c r="A2459" t="s">
        <v>38</v>
      </c>
      <c r="B2459" s="1">
        <v>45717</v>
      </c>
      <c r="C2459" s="2">
        <v>47267</v>
      </c>
      <c r="D2459" s="2">
        <v>431</v>
      </c>
      <c r="E2459" s="2">
        <v>43334</v>
      </c>
      <c r="F2459" s="2">
        <v>-526</v>
      </c>
      <c r="G2459" s="2">
        <v>80</v>
      </c>
      <c r="H2459" s="2">
        <v>3933</v>
      </c>
      <c r="I2459" s="2">
        <v>957</v>
      </c>
    </row>
    <row r="2460" spans="1:9" x14ac:dyDescent="0.3">
      <c r="A2460" t="s">
        <v>38</v>
      </c>
      <c r="B2460" s="1">
        <v>45689</v>
      </c>
      <c r="C2460" s="2">
        <v>46227</v>
      </c>
      <c r="D2460" s="2">
        <v>-83</v>
      </c>
      <c r="E2460" s="2">
        <v>43251</v>
      </c>
      <c r="F2460" s="2">
        <v>604</v>
      </c>
      <c r="G2460" s="2">
        <v>405</v>
      </c>
      <c r="H2460" s="2">
        <v>2976</v>
      </c>
      <c r="I2460" s="2">
        <v>-687</v>
      </c>
    </row>
    <row r="2461" spans="1:9" x14ac:dyDescent="0.3">
      <c r="A2461" t="s">
        <v>38</v>
      </c>
      <c r="B2461" s="1">
        <v>45658</v>
      </c>
      <c r="C2461" s="2">
        <v>45510</v>
      </c>
      <c r="D2461" s="2">
        <v>-700</v>
      </c>
      <c r="E2461" s="2">
        <v>41847</v>
      </c>
      <c r="F2461" s="2">
        <v>-1062</v>
      </c>
      <c r="G2461" s="2">
        <v>84</v>
      </c>
      <c r="H2461" s="2">
        <v>3663</v>
      </c>
      <c r="I2461" s="2">
        <v>362</v>
      </c>
    </row>
    <row r="2462" spans="1:9" x14ac:dyDescent="0.3">
      <c r="A2462" t="s">
        <v>38</v>
      </c>
      <c r="B2462" s="1">
        <v>45627</v>
      </c>
      <c r="C2462" s="2">
        <v>45928</v>
      </c>
      <c r="D2462" s="2">
        <v>-820</v>
      </c>
      <c r="E2462" s="2">
        <v>42627</v>
      </c>
      <c r="F2462" s="2">
        <v>-334</v>
      </c>
      <c r="G2462" s="2">
        <v>-335</v>
      </c>
      <c r="H2462" s="2">
        <v>3301</v>
      </c>
      <c r="I2462" s="2">
        <v>-486</v>
      </c>
    </row>
    <row r="2463" spans="1:9" x14ac:dyDescent="0.3">
      <c r="A2463" t="s">
        <v>38</v>
      </c>
      <c r="B2463" s="1">
        <v>45597</v>
      </c>
      <c r="C2463" s="2">
        <v>46976</v>
      </c>
      <c r="D2463" s="2">
        <v>197</v>
      </c>
      <c r="E2463" s="2">
        <v>43189</v>
      </c>
      <c r="F2463" s="2">
        <v>520</v>
      </c>
      <c r="G2463" s="2">
        <v>101</v>
      </c>
      <c r="H2463" s="2">
        <v>3787</v>
      </c>
      <c r="I2463" s="2">
        <v>-323</v>
      </c>
    </row>
    <row r="2464" spans="1:9" x14ac:dyDescent="0.3">
      <c r="A2464" t="s">
        <v>38</v>
      </c>
      <c r="B2464" s="1">
        <v>45566</v>
      </c>
      <c r="C2464" s="2">
        <v>46915</v>
      </c>
      <c r="D2464" s="2">
        <v>-782</v>
      </c>
      <c r="E2464" s="2">
        <v>42805</v>
      </c>
      <c r="F2464" s="2">
        <v>310</v>
      </c>
      <c r="G2464" s="2">
        <v>-459</v>
      </c>
      <c r="H2464" s="2">
        <v>4110</v>
      </c>
      <c r="I2464" s="2">
        <v>-1092</v>
      </c>
    </row>
    <row r="2465" spans="1:9" x14ac:dyDescent="0.3">
      <c r="A2465" t="s">
        <v>38</v>
      </c>
      <c r="B2465" s="1">
        <v>45536</v>
      </c>
      <c r="C2465" s="2">
        <v>48159</v>
      </c>
      <c r="D2465" s="2">
        <v>-246</v>
      </c>
      <c r="E2465" s="2">
        <v>42957</v>
      </c>
      <c r="F2465" s="2">
        <v>-408</v>
      </c>
      <c r="G2465" s="2">
        <v>234</v>
      </c>
      <c r="H2465" s="2">
        <v>5202</v>
      </c>
      <c r="I2465" s="2">
        <v>162</v>
      </c>
    </row>
    <row r="2466" spans="1:9" x14ac:dyDescent="0.3">
      <c r="A2466" t="s">
        <v>38</v>
      </c>
      <c r="B2466" s="1">
        <v>45505</v>
      </c>
      <c r="C2466" s="2">
        <v>47913</v>
      </c>
      <c r="D2466" s="2">
        <v>1123</v>
      </c>
      <c r="E2466" s="2">
        <v>42873</v>
      </c>
      <c r="F2466" s="2">
        <v>892</v>
      </c>
      <c r="G2466" s="2">
        <v>296</v>
      </c>
      <c r="H2466" s="2">
        <v>5040</v>
      </c>
      <c r="I2466" s="2">
        <v>231</v>
      </c>
    </row>
    <row r="2467" spans="1:9" x14ac:dyDescent="0.3">
      <c r="A2467" t="s">
        <v>38</v>
      </c>
      <c r="B2467" s="1">
        <v>45474</v>
      </c>
      <c r="C2467" s="2">
        <v>46916</v>
      </c>
      <c r="D2467" s="2">
        <v>645</v>
      </c>
      <c r="E2467" s="2">
        <v>42107</v>
      </c>
      <c r="F2467" s="2">
        <v>169</v>
      </c>
      <c r="G2467" s="2">
        <v>435</v>
      </c>
      <c r="H2467" s="2">
        <v>4809</v>
      </c>
      <c r="I2467" s="2">
        <v>476</v>
      </c>
    </row>
    <row r="2468" spans="1:9" x14ac:dyDescent="0.3">
      <c r="A2468" t="s">
        <v>38</v>
      </c>
      <c r="B2468" s="1">
        <v>45444</v>
      </c>
      <c r="C2468" s="2">
        <v>45846</v>
      </c>
      <c r="D2468" s="2">
        <v>1741</v>
      </c>
      <c r="E2468" s="2">
        <v>41513</v>
      </c>
      <c r="F2468" s="2">
        <v>2276</v>
      </c>
      <c r="G2468" s="2">
        <v>85</v>
      </c>
      <c r="H2468" s="2">
        <v>4333</v>
      </c>
      <c r="I2468" s="2">
        <v>-535</v>
      </c>
    </row>
    <row r="2469" spans="1:9" x14ac:dyDescent="0.3">
      <c r="A2469" t="s">
        <v>38</v>
      </c>
      <c r="B2469" s="1">
        <v>45413</v>
      </c>
      <c r="C2469" s="2">
        <v>44213</v>
      </c>
      <c r="D2469" s="2">
        <v>3497</v>
      </c>
      <c r="E2469" s="2">
        <v>39345</v>
      </c>
      <c r="F2469" s="2">
        <v>3617</v>
      </c>
      <c r="G2469" s="2">
        <v>156</v>
      </c>
      <c r="H2469" s="2">
        <v>4868</v>
      </c>
      <c r="I2469" s="2">
        <v>-120</v>
      </c>
    </row>
    <row r="2470" spans="1:9" x14ac:dyDescent="0.3">
      <c r="A2470" t="s">
        <v>38</v>
      </c>
      <c r="B2470" s="1">
        <v>45383</v>
      </c>
      <c r="C2470" s="2">
        <v>40685</v>
      </c>
      <c r="D2470" s="2">
        <v>-3158</v>
      </c>
      <c r="E2470" s="2">
        <v>35697</v>
      </c>
      <c r="F2470" s="2">
        <v>-3153</v>
      </c>
      <c r="G2470" s="2">
        <v>-307</v>
      </c>
      <c r="H2470" s="2">
        <v>4988</v>
      </c>
      <c r="I2470" s="2">
        <v>-5</v>
      </c>
    </row>
    <row r="2471" spans="1:9" x14ac:dyDescent="0.3">
      <c r="A2471" t="s">
        <v>38</v>
      </c>
      <c r="B2471" s="1">
        <v>45352</v>
      </c>
      <c r="C2471" s="2">
        <v>44854</v>
      </c>
      <c r="D2471" s="2">
        <v>1442</v>
      </c>
      <c r="E2471" s="2">
        <v>39861</v>
      </c>
      <c r="F2471" s="2">
        <v>1274</v>
      </c>
      <c r="G2471" s="2">
        <v>75</v>
      </c>
      <c r="H2471" s="2">
        <v>4993</v>
      </c>
      <c r="I2471" s="2">
        <v>168</v>
      </c>
    </row>
    <row r="2472" spans="1:9" x14ac:dyDescent="0.3">
      <c r="A2472" t="s">
        <v>38</v>
      </c>
      <c r="B2472" s="1">
        <v>45323</v>
      </c>
      <c r="C2472" s="2">
        <v>43357</v>
      </c>
      <c r="D2472" s="2">
        <v>911</v>
      </c>
      <c r="E2472" s="2">
        <v>38532</v>
      </c>
      <c r="F2472" s="2">
        <v>706</v>
      </c>
      <c r="G2472" s="2">
        <v>-183</v>
      </c>
      <c r="H2472" s="2">
        <v>4825</v>
      </c>
      <c r="I2472" s="2">
        <v>205</v>
      </c>
    </row>
    <row r="2473" spans="1:9" x14ac:dyDescent="0.3">
      <c r="A2473" t="s">
        <v>38</v>
      </c>
      <c r="B2473" s="1">
        <v>45292</v>
      </c>
      <c r="C2473" s="2">
        <v>42781</v>
      </c>
      <c r="D2473" s="2">
        <v>285</v>
      </c>
      <c r="E2473" s="2">
        <v>38161</v>
      </c>
      <c r="F2473" s="2">
        <v>-346</v>
      </c>
      <c r="G2473" s="2">
        <v>8</v>
      </c>
      <c r="H2473" s="2">
        <v>4620</v>
      </c>
      <c r="I2473" s="2">
        <v>631</v>
      </c>
    </row>
    <row r="2474" spans="1:9" x14ac:dyDescent="0.3">
      <c r="A2474" t="s">
        <v>38</v>
      </c>
      <c r="B2474" s="1">
        <v>45261</v>
      </c>
      <c r="C2474" s="2">
        <v>43011</v>
      </c>
      <c r="D2474" s="2">
        <v>1841</v>
      </c>
      <c r="E2474" s="2">
        <v>39022</v>
      </c>
      <c r="F2474" s="2">
        <v>1047</v>
      </c>
      <c r="G2474" s="2">
        <v>445</v>
      </c>
      <c r="H2474" s="2">
        <v>3989</v>
      </c>
      <c r="I2474" s="2">
        <v>794</v>
      </c>
    </row>
    <row r="2475" spans="1:9" x14ac:dyDescent="0.3">
      <c r="A2475" t="s">
        <v>38</v>
      </c>
      <c r="B2475" s="1">
        <v>45231</v>
      </c>
      <c r="C2475" s="2">
        <v>39385</v>
      </c>
      <c r="D2475" s="2">
        <v>1364</v>
      </c>
      <c r="E2475" s="2">
        <v>36190</v>
      </c>
      <c r="F2475" s="2">
        <v>1313</v>
      </c>
      <c r="G2475" s="2">
        <v>464</v>
      </c>
      <c r="H2475" s="2">
        <v>3195</v>
      </c>
      <c r="I2475" s="2">
        <v>51</v>
      </c>
    </row>
    <row r="2476" spans="1:9" x14ac:dyDescent="0.3">
      <c r="A2476" t="s">
        <v>38</v>
      </c>
      <c r="B2476" s="1">
        <v>45200</v>
      </c>
      <c r="C2476" s="2">
        <v>38046</v>
      </c>
      <c r="D2476" s="2">
        <v>-58</v>
      </c>
      <c r="E2476" s="2">
        <v>34902</v>
      </c>
      <c r="F2476" s="2">
        <v>-566</v>
      </c>
      <c r="G2476" s="2">
        <v>-122</v>
      </c>
      <c r="H2476" s="2">
        <v>3144</v>
      </c>
      <c r="I2476" s="2">
        <v>508</v>
      </c>
    </row>
    <row r="2477" spans="1:9" x14ac:dyDescent="0.3">
      <c r="A2477" t="s">
        <v>38</v>
      </c>
      <c r="B2477" s="1">
        <v>45170</v>
      </c>
      <c r="C2477" s="2">
        <v>38636</v>
      </c>
      <c r="D2477" s="2">
        <v>516</v>
      </c>
      <c r="E2477" s="2">
        <v>36000</v>
      </c>
      <c r="F2477" s="2">
        <v>237</v>
      </c>
      <c r="G2477" s="2">
        <v>-240</v>
      </c>
      <c r="H2477" s="2">
        <v>2636</v>
      </c>
      <c r="I2477" s="2">
        <v>279</v>
      </c>
    </row>
    <row r="2478" spans="1:9" x14ac:dyDescent="0.3">
      <c r="A2478" t="s">
        <v>38</v>
      </c>
      <c r="B2478" s="1">
        <v>45139</v>
      </c>
      <c r="C2478" s="2">
        <v>38778</v>
      </c>
      <c r="D2478" s="2">
        <v>559</v>
      </c>
      <c r="E2478" s="2">
        <v>36421</v>
      </c>
      <c r="F2478" s="2">
        <v>598</v>
      </c>
      <c r="G2478" s="2">
        <v>-49</v>
      </c>
      <c r="H2478" s="2">
        <v>2357</v>
      </c>
      <c r="I2478" s="2">
        <v>-39</v>
      </c>
    </row>
    <row r="2479" spans="1:9" x14ac:dyDescent="0.3">
      <c r="A2479" t="s">
        <v>38</v>
      </c>
      <c r="B2479" s="1">
        <v>45108</v>
      </c>
      <c r="C2479" s="2">
        <v>38411</v>
      </c>
      <c r="D2479" s="2">
        <v>210</v>
      </c>
      <c r="E2479" s="2">
        <v>36015</v>
      </c>
      <c r="F2479" s="2">
        <v>104</v>
      </c>
      <c r="G2479" s="2">
        <v>-27</v>
      </c>
      <c r="H2479" s="2">
        <v>2396</v>
      </c>
      <c r="I2479" s="2">
        <v>106</v>
      </c>
    </row>
    <row r="2480" spans="1:9" x14ac:dyDescent="0.3">
      <c r="A2480" t="s">
        <v>38</v>
      </c>
      <c r="B2480" s="1">
        <v>45078</v>
      </c>
      <c r="C2480" s="2">
        <v>38353</v>
      </c>
      <c r="D2480" s="2">
        <v>2519</v>
      </c>
      <c r="E2480" s="2">
        <v>36063</v>
      </c>
      <c r="F2480" s="2">
        <v>2046</v>
      </c>
      <c r="G2480" s="2">
        <v>-218</v>
      </c>
      <c r="H2480" s="2">
        <v>2290</v>
      </c>
      <c r="I2480" s="2">
        <v>473</v>
      </c>
    </row>
    <row r="2481" spans="1:9" x14ac:dyDescent="0.3">
      <c r="A2481" t="s">
        <v>38</v>
      </c>
      <c r="B2481" s="1">
        <v>45047</v>
      </c>
      <c r="C2481" s="2">
        <v>36210</v>
      </c>
      <c r="D2481" s="2">
        <v>-3112</v>
      </c>
      <c r="E2481" s="2">
        <v>34393</v>
      </c>
      <c r="F2481" s="2">
        <v>-2990</v>
      </c>
      <c r="G2481" s="2">
        <v>-158</v>
      </c>
      <c r="H2481" s="2">
        <v>1817</v>
      </c>
      <c r="I2481" s="2">
        <v>-122</v>
      </c>
    </row>
    <row r="2482" spans="1:9" x14ac:dyDescent="0.3">
      <c r="A2482" t="s">
        <v>38</v>
      </c>
      <c r="B2482" s="1">
        <v>45017</v>
      </c>
      <c r="C2482" s="2">
        <v>39708</v>
      </c>
      <c r="D2482" s="2">
        <v>823</v>
      </c>
      <c r="E2482" s="2">
        <v>37769</v>
      </c>
      <c r="F2482" s="2">
        <v>654</v>
      </c>
      <c r="G2482" s="2">
        <v>22</v>
      </c>
      <c r="H2482" s="2">
        <v>1939</v>
      </c>
      <c r="I2482" s="2">
        <v>169</v>
      </c>
    </row>
    <row r="2483" spans="1:9" x14ac:dyDescent="0.3">
      <c r="A2483" t="s">
        <v>38</v>
      </c>
      <c r="B2483" s="1">
        <v>44986</v>
      </c>
      <c r="C2483" s="2">
        <v>39275</v>
      </c>
      <c r="D2483" s="2">
        <v>545</v>
      </c>
      <c r="E2483" s="2">
        <v>37505</v>
      </c>
      <c r="F2483" s="2">
        <v>215</v>
      </c>
      <c r="G2483" s="2">
        <v>248</v>
      </c>
      <c r="H2483" s="2">
        <v>1770</v>
      </c>
      <c r="I2483" s="2">
        <v>330</v>
      </c>
    </row>
    <row r="2484" spans="1:9" x14ac:dyDescent="0.3">
      <c r="A2484" t="s">
        <v>38</v>
      </c>
      <c r="B2484" s="1">
        <v>44958</v>
      </c>
      <c r="C2484" s="2">
        <v>38721</v>
      </c>
      <c r="D2484" s="2">
        <v>-618</v>
      </c>
      <c r="E2484" s="2">
        <v>37281</v>
      </c>
      <c r="F2484" s="2">
        <v>-160</v>
      </c>
      <c r="G2484" s="2">
        <v>-151</v>
      </c>
      <c r="H2484" s="2">
        <v>1440</v>
      </c>
      <c r="I2484" s="2">
        <v>-458</v>
      </c>
    </row>
    <row r="2485" spans="1:9" hidden="1" x14ac:dyDescent="0.3">
      <c r="A2485" t="s">
        <v>38</v>
      </c>
      <c r="B2485" s="1">
        <v>44927</v>
      </c>
      <c r="C2485" s="2">
        <v>39635</v>
      </c>
      <c r="D2485" s="2" t="s">
        <v>3</v>
      </c>
      <c r="E2485" s="2">
        <v>37737</v>
      </c>
      <c r="F2485" s="2" t="s">
        <v>3</v>
      </c>
      <c r="G2485" s="2" t="s">
        <v>3</v>
      </c>
      <c r="H2485" s="2">
        <v>1898</v>
      </c>
      <c r="I2485" s="2">
        <v>538</v>
      </c>
    </row>
    <row r="2486" spans="1:9" hidden="1" x14ac:dyDescent="0.3">
      <c r="A2486" t="s">
        <v>38</v>
      </c>
      <c r="B2486" s="1">
        <v>44896</v>
      </c>
      <c r="C2486" s="2">
        <v>39854</v>
      </c>
      <c r="D2486" s="2" t="s">
        <v>3</v>
      </c>
      <c r="E2486" s="2">
        <v>38494</v>
      </c>
      <c r="F2486" s="2" t="s">
        <v>3</v>
      </c>
      <c r="G2486" s="2" t="s">
        <v>3</v>
      </c>
      <c r="H2486" s="2">
        <v>1360</v>
      </c>
      <c r="I2486" s="2">
        <v>294</v>
      </c>
    </row>
    <row r="2487" spans="1:9" hidden="1" x14ac:dyDescent="0.3">
      <c r="A2487" t="s">
        <v>38</v>
      </c>
      <c r="B2487" s="1">
        <v>44866</v>
      </c>
      <c r="C2487" s="2">
        <v>35738</v>
      </c>
      <c r="D2487" s="2" t="s">
        <v>3</v>
      </c>
      <c r="E2487" s="2">
        <v>34672</v>
      </c>
      <c r="F2487" s="2" t="s">
        <v>3</v>
      </c>
      <c r="G2487" s="2" t="s">
        <v>3</v>
      </c>
      <c r="H2487" s="2">
        <v>1066</v>
      </c>
      <c r="I2487" s="2">
        <v>-228</v>
      </c>
    </row>
    <row r="2488" spans="1:9" hidden="1" x14ac:dyDescent="0.3">
      <c r="A2488" t="s">
        <v>38</v>
      </c>
      <c r="B2488" s="1">
        <v>44835</v>
      </c>
      <c r="C2488" s="2">
        <v>33819</v>
      </c>
      <c r="D2488" s="2" t="s">
        <v>3</v>
      </c>
      <c r="E2488" s="2">
        <v>32525</v>
      </c>
      <c r="F2488" s="2" t="s">
        <v>3</v>
      </c>
      <c r="G2488" s="2" t="s">
        <v>3</v>
      </c>
      <c r="H2488" s="2">
        <v>1294</v>
      </c>
      <c r="I2488" s="2">
        <v>-37</v>
      </c>
    </row>
    <row r="2489" spans="1:9" hidden="1" x14ac:dyDescent="0.3">
      <c r="A2489" t="s">
        <v>38</v>
      </c>
      <c r="B2489" s="1">
        <v>44805</v>
      </c>
      <c r="C2489" s="2">
        <v>34410</v>
      </c>
      <c r="D2489" s="2" t="s">
        <v>3</v>
      </c>
      <c r="E2489" s="2">
        <v>33079</v>
      </c>
      <c r="F2489" s="2" t="s">
        <v>3</v>
      </c>
      <c r="G2489" s="2" t="s">
        <v>3</v>
      </c>
      <c r="H2489" s="2">
        <v>1331</v>
      </c>
      <c r="I2489" s="2">
        <v>-278</v>
      </c>
    </row>
    <row r="2490" spans="1:9" hidden="1" x14ac:dyDescent="0.3">
      <c r="A2490" t="s">
        <v>38</v>
      </c>
      <c r="B2490" s="1">
        <v>44774</v>
      </c>
      <c r="C2490" s="2">
        <v>33992</v>
      </c>
      <c r="D2490" s="2" t="s">
        <v>3</v>
      </c>
      <c r="E2490" s="2">
        <v>32383</v>
      </c>
      <c r="F2490" s="2" t="s">
        <v>3</v>
      </c>
      <c r="G2490" s="2" t="s">
        <v>3</v>
      </c>
      <c r="H2490" s="2">
        <v>1609</v>
      </c>
      <c r="I2490" s="2">
        <v>659</v>
      </c>
    </row>
    <row r="2491" spans="1:9" hidden="1" x14ac:dyDescent="0.3">
      <c r="A2491" t="s">
        <v>38</v>
      </c>
      <c r="B2491" s="1">
        <v>44743</v>
      </c>
      <c r="C2491" s="2">
        <v>35125</v>
      </c>
      <c r="D2491" s="2" t="s">
        <v>3</v>
      </c>
      <c r="E2491" s="2">
        <v>34175</v>
      </c>
      <c r="F2491" s="2" t="s">
        <v>3</v>
      </c>
      <c r="G2491" s="2" t="s">
        <v>3</v>
      </c>
      <c r="H2491" s="2">
        <v>950</v>
      </c>
      <c r="I2491" s="2">
        <v>137</v>
      </c>
    </row>
    <row r="2492" spans="1:9" hidden="1" x14ac:dyDescent="0.3">
      <c r="A2492" t="s">
        <v>38</v>
      </c>
      <c r="B2492" s="1">
        <v>44713</v>
      </c>
      <c r="C2492" s="2">
        <v>34949</v>
      </c>
      <c r="D2492" s="2" t="s">
        <v>3</v>
      </c>
      <c r="E2492" s="2">
        <v>34136</v>
      </c>
      <c r="F2492" s="2" t="s">
        <v>3</v>
      </c>
      <c r="G2492" s="2" t="s">
        <v>3</v>
      </c>
      <c r="H2492" s="2">
        <v>813</v>
      </c>
      <c r="I2492" s="2">
        <v>338</v>
      </c>
    </row>
    <row r="2493" spans="1:9" hidden="1" x14ac:dyDescent="0.3">
      <c r="A2493" t="s">
        <v>38</v>
      </c>
      <c r="B2493" s="1">
        <v>44682</v>
      </c>
      <c r="C2493" s="2">
        <v>34910</v>
      </c>
      <c r="D2493" s="2" t="s">
        <v>3</v>
      </c>
      <c r="E2493" s="2">
        <v>34435</v>
      </c>
      <c r="F2493" s="2" t="s">
        <v>3</v>
      </c>
      <c r="G2493" s="2" t="s">
        <v>3</v>
      </c>
      <c r="H2493" s="2">
        <v>475</v>
      </c>
      <c r="I2493" s="2">
        <v>-372</v>
      </c>
    </row>
    <row r="2494" spans="1:9" hidden="1" x14ac:dyDescent="0.3">
      <c r="A2494" t="s">
        <v>38</v>
      </c>
      <c r="B2494" s="1">
        <v>44652</v>
      </c>
      <c r="C2494" s="2">
        <v>35417</v>
      </c>
      <c r="D2494" s="2" t="s">
        <v>3</v>
      </c>
      <c r="E2494" s="2">
        <v>34570</v>
      </c>
      <c r="F2494" s="2" t="s">
        <v>3</v>
      </c>
      <c r="G2494" s="2" t="s">
        <v>3</v>
      </c>
      <c r="H2494" s="2">
        <v>847</v>
      </c>
      <c r="I2494" s="2">
        <v>-17</v>
      </c>
    </row>
    <row r="2495" spans="1:9" hidden="1" x14ac:dyDescent="0.3">
      <c r="A2495" t="s">
        <v>38</v>
      </c>
      <c r="B2495" s="1">
        <v>44621</v>
      </c>
      <c r="C2495" s="2">
        <v>34548</v>
      </c>
      <c r="D2495" s="2" t="s">
        <v>3</v>
      </c>
      <c r="E2495" s="2">
        <v>33684</v>
      </c>
      <c r="F2495" s="2" t="s">
        <v>3</v>
      </c>
      <c r="G2495" s="2" t="s">
        <v>3</v>
      </c>
      <c r="H2495" s="2">
        <v>864</v>
      </c>
      <c r="I2495" s="2">
        <v>149</v>
      </c>
    </row>
    <row r="2496" spans="1:9" hidden="1" x14ac:dyDescent="0.3">
      <c r="A2496" t="s">
        <v>38</v>
      </c>
      <c r="B2496" s="1">
        <v>44593</v>
      </c>
      <c r="C2496" s="2">
        <v>33974</v>
      </c>
      <c r="D2496" s="2" t="s">
        <v>3</v>
      </c>
      <c r="E2496" s="2">
        <v>33259</v>
      </c>
      <c r="F2496" s="2" t="s">
        <v>3</v>
      </c>
      <c r="G2496" s="2" t="s">
        <v>3</v>
      </c>
      <c r="H2496" s="2">
        <v>715</v>
      </c>
      <c r="I2496" s="2">
        <v>-107</v>
      </c>
    </row>
    <row r="2497" spans="1:9" hidden="1" x14ac:dyDescent="0.3">
      <c r="A2497" t="s">
        <v>38</v>
      </c>
      <c r="B2497" s="1">
        <v>44562</v>
      </c>
      <c r="C2497" s="2">
        <v>33314</v>
      </c>
      <c r="D2497" s="2" t="s">
        <v>3</v>
      </c>
      <c r="E2497" s="2">
        <v>32492</v>
      </c>
      <c r="F2497" s="2" t="s">
        <v>3</v>
      </c>
      <c r="G2497" s="2" t="s">
        <v>3</v>
      </c>
      <c r="H2497" s="2">
        <v>822</v>
      </c>
      <c r="I2497" s="2">
        <v>259</v>
      </c>
    </row>
    <row r="2498" spans="1:9" hidden="1" x14ac:dyDescent="0.3">
      <c r="A2498" t="s">
        <v>38</v>
      </c>
      <c r="B2498" s="1">
        <v>44531</v>
      </c>
      <c r="C2498" s="2">
        <v>33139</v>
      </c>
      <c r="D2498" s="2" t="s">
        <v>3</v>
      </c>
      <c r="E2498" s="2">
        <v>32576</v>
      </c>
      <c r="F2498" s="2" t="s">
        <v>3</v>
      </c>
      <c r="G2498" s="2" t="s">
        <v>3</v>
      </c>
      <c r="H2498" s="2">
        <v>563</v>
      </c>
      <c r="I2498" s="2">
        <v>19</v>
      </c>
    </row>
    <row r="2499" spans="1:9" hidden="1" x14ac:dyDescent="0.3">
      <c r="A2499" t="s">
        <v>38</v>
      </c>
      <c r="B2499" s="1">
        <v>44501</v>
      </c>
      <c r="C2499" s="2">
        <v>33652</v>
      </c>
      <c r="D2499" s="2" t="s">
        <v>3</v>
      </c>
      <c r="E2499" s="2">
        <v>33108</v>
      </c>
      <c r="F2499" s="2" t="s">
        <v>3</v>
      </c>
      <c r="G2499" s="2" t="s">
        <v>3</v>
      </c>
      <c r="H2499" s="2">
        <v>544</v>
      </c>
      <c r="I2499" s="2">
        <v>105</v>
      </c>
    </row>
    <row r="2500" spans="1:9" hidden="1" x14ac:dyDescent="0.3">
      <c r="A2500" t="s">
        <v>38</v>
      </c>
      <c r="B2500" s="1">
        <v>44470</v>
      </c>
      <c r="C2500" s="2">
        <v>34155</v>
      </c>
      <c r="D2500" s="2" t="s">
        <v>3</v>
      </c>
      <c r="E2500" s="2">
        <v>33716</v>
      </c>
      <c r="F2500" s="2" t="s">
        <v>3</v>
      </c>
      <c r="G2500" s="2" t="s">
        <v>3</v>
      </c>
      <c r="H2500" s="2">
        <v>439</v>
      </c>
      <c r="I2500" s="2">
        <v>116</v>
      </c>
    </row>
    <row r="2501" spans="1:9" hidden="1" x14ac:dyDescent="0.3">
      <c r="A2501" t="s">
        <v>38</v>
      </c>
      <c r="B2501" s="1">
        <v>44440</v>
      </c>
      <c r="C2501" s="2">
        <v>33349</v>
      </c>
      <c r="D2501" s="2" t="s">
        <v>3</v>
      </c>
      <c r="E2501" s="2">
        <v>33026</v>
      </c>
      <c r="F2501" s="2" t="s">
        <v>3</v>
      </c>
      <c r="G2501" s="2" t="s">
        <v>3</v>
      </c>
      <c r="H2501" s="2">
        <v>323</v>
      </c>
      <c r="I2501" s="2">
        <v>-252</v>
      </c>
    </row>
    <row r="2502" spans="1:9" hidden="1" x14ac:dyDescent="0.3">
      <c r="A2502" t="s">
        <v>38</v>
      </c>
      <c r="B2502" s="1">
        <v>44409</v>
      </c>
      <c r="C2502" s="2">
        <v>33066</v>
      </c>
      <c r="D2502" s="2" t="s">
        <v>3</v>
      </c>
      <c r="E2502" s="2">
        <v>32491</v>
      </c>
      <c r="F2502" s="2" t="s">
        <v>3</v>
      </c>
      <c r="G2502" s="2" t="s">
        <v>3</v>
      </c>
      <c r="H2502" s="2">
        <v>575</v>
      </c>
      <c r="I2502" s="2">
        <v>221</v>
      </c>
    </row>
    <row r="2503" spans="1:9" hidden="1" x14ac:dyDescent="0.3">
      <c r="A2503" t="s">
        <v>38</v>
      </c>
      <c r="B2503" s="1">
        <v>44378</v>
      </c>
      <c r="C2503" s="2">
        <v>36168</v>
      </c>
      <c r="D2503" s="2" t="s">
        <v>3</v>
      </c>
      <c r="E2503" s="2">
        <v>35814</v>
      </c>
      <c r="F2503" s="2" t="s">
        <v>3</v>
      </c>
      <c r="G2503" s="2" t="s">
        <v>3</v>
      </c>
      <c r="H2503" s="2">
        <v>354</v>
      </c>
      <c r="I2503" s="2">
        <v>-5</v>
      </c>
    </row>
    <row r="2504" spans="1:9" hidden="1" x14ac:dyDescent="0.3">
      <c r="A2504" t="s">
        <v>38</v>
      </c>
      <c r="B2504" s="1">
        <v>44348</v>
      </c>
      <c r="C2504" s="2">
        <v>35292</v>
      </c>
      <c r="D2504" s="2" t="s">
        <v>3</v>
      </c>
      <c r="E2504" s="2">
        <v>34933</v>
      </c>
      <c r="F2504" s="2" t="s">
        <v>3</v>
      </c>
      <c r="G2504" s="2" t="s">
        <v>3</v>
      </c>
      <c r="H2504" s="2">
        <v>359</v>
      </c>
      <c r="I2504" s="2">
        <v>97</v>
      </c>
    </row>
    <row r="2505" spans="1:9" hidden="1" x14ac:dyDescent="0.3">
      <c r="A2505" t="s">
        <v>38</v>
      </c>
      <c r="B2505" s="1">
        <v>44317</v>
      </c>
      <c r="C2505" s="2">
        <v>35822</v>
      </c>
      <c r="D2505" s="2" t="s">
        <v>3</v>
      </c>
      <c r="E2505" s="2">
        <v>35560</v>
      </c>
      <c r="F2505" s="2" t="s">
        <v>3</v>
      </c>
      <c r="G2505" s="2" t="s">
        <v>3</v>
      </c>
      <c r="H2505" s="2">
        <v>262</v>
      </c>
      <c r="I2505" s="2">
        <v>-175</v>
      </c>
    </row>
    <row r="2506" spans="1:9" hidden="1" x14ac:dyDescent="0.3">
      <c r="A2506" t="s">
        <v>38</v>
      </c>
      <c r="B2506" s="1">
        <v>44287</v>
      </c>
      <c r="C2506" s="2">
        <v>35058</v>
      </c>
      <c r="D2506" s="2" t="s">
        <v>3</v>
      </c>
      <c r="E2506" s="2">
        <v>34621</v>
      </c>
      <c r="F2506" s="2" t="s">
        <v>3</v>
      </c>
      <c r="G2506" s="2" t="s">
        <v>3</v>
      </c>
      <c r="H2506" s="2">
        <v>437</v>
      </c>
      <c r="I2506" s="2">
        <v>-113</v>
      </c>
    </row>
    <row r="2507" spans="1:9" hidden="1" x14ac:dyDescent="0.3">
      <c r="A2507" t="s">
        <v>38</v>
      </c>
      <c r="B2507" s="1">
        <v>44256</v>
      </c>
      <c r="C2507" s="2">
        <v>35162</v>
      </c>
      <c r="D2507" s="2" t="s">
        <v>3</v>
      </c>
      <c r="E2507" s="2">
        <v>34612</v>
      </c>
      <c r="F2507" s="2" t="s">
        <v>3</v>
      </c>
      <c r="G2507" s="2" t="s">
        <v>3</v>
      </c>
      <c r="H2507" s="2">
        <v>550</v>
      </c>
      <c r="I2507" s="2">
        <v>-234</v>
      </c>
    </row>
    <row r="2508" spans="1:9" hidden="1" x14ac:dyDescent="0.3">
      <c r="A2508" t="s">
        <v>38</v>
      </c>
      <c r="B2508" s="1">
        <v>44228</v>
      </c>
      <c r="C2508" s="2">
        <v>30637</v>
      </c>
      <c r="D2508" s="2" t="s">
        <v>3</v>
      </c>
      <c r="E2508" s="2">
        <v>29853</v>
      </c>
      <c r="F2508" s="2" t="s">
        <v>3</v>
      </c>
      <c r="G2508" s="2" t="s">
        <v>3</v>
      </c>
      <c r="H2508" s="2">
        <v>784</v>
      </c>
      <c r="I2508" s="2">
        <v>-406</v>
      </c>
    </row>
    <row r="2509" spans="1:9" hidden="1" x14ac:dyDescent="0.3">
      <c r="A2509" t="s">
        <v>38</v>
      </c>
      <c r="B2509" s="1">
        <v>44197</v>
      </c>
      <c r="C2509" s="2">
        <v>32412</v>
      </c>
      <c r="D2509" s="2" t="s">
        <v>3</v>
      </c>
      <c r="E2509" s="2">
        <v>31222</v>
      </c>
      <c r="F2509" s="2" t="s">
        <v>3</v>
      </c>
      <c r="G2509" s="2" t="s">
        <v>3</v>
      </c>
      <c r="H2509" s="2">
        <v>1190</v>
      </c>
      <c r="I2509" s="2">
        <v>434</v>
      </c>
    </row>
    <row r="2510" spans="1:9" hidden="1" x14ac:dyDescent="0.3">
      <c r="A2510" t="s">
        <v>38</v>
      </c>
      <c r="B2510" s="1">
        <v>44166</v>
      </c>
      <c r="C2510" s="2">
        <v>30972</v>
      </c>
      <c r="D2510" s="2" t="s">
        <v>3</v>
      </c>
      <c r="E2510" s="2">
        <v>30216</v>
      </c>
      <c r="F2510" s="2" t="s">
        <v>3</v>
      </c>
      <c r="G2510" s="2" t="s">
        <v>3</v>
      </c>
      <c r="H2510" s="2">
        <v>756</v>
      </c>
      <c r="I2510" s="2">
        <v>-167</v>
      </c>
    </row>
    <row r="2511" spans="1:9" hidden="1" x14ac:dyDescent="0.3">
      <c r="A2511" t="s">
        <v>38</v>
      </c>
      <c r="B2511" s="1">
        <v>44136</v>
      </c>
      <c r="C2511" s="2">
        <v>30812</v>
      </c>
      <c r="D2511" s="2" t="s">
        <v>3</v>
      </c>
      <c r="E2511" s="2">
        <v>29889</v>
      </c>
      <c r="F2511" s="2" t="s">
        <v>3</v>
      </c>
      <c r="G2511" s="2" t="s">
        <v>3</v>
      </c>
      <c r="H2511" s="2">
        <v>923</v>
      </c>
      <c r="I2511" s="2">
        <v>92</v>
      </c>
    </row>
    <row r="2512" spans="1:9" hidden="1" x14ac:dyDescent="0.3">
      <c r="A2512" t="s">
        <v>38</v>
      </c>
      <c r="B2512" s="1">
        <v>44105</v>
      </c>
      <c r="C2512" s="2">
        <v>31900</v>
      </c>
      <c r="D2512" s="2" t="s">
        <v>3</v>
      </c>
      <c r="E2512" s="2">
        <v>31069</v>
      </c>
      <c r="F2512" s="2" t="s">
        <v>3</v>
      </c>
      <c r="G2512" s="2" t="s">
        <v>3</v>
      </c>
      <c r="H2512" s="2">
        <v>831</v>
      </c>
      <c r="I2512" s="2">
        <v>-449</v>
      </c>
    </row>
    <row r="2513" spans="1:9" hidden="1" x14ac:dyDescent="0.3">
      <c r="A2513" t="s">
        <v>38</v>
      </c>
      <c r="B2513" s="1">
        <v>44075</v>
      </c>
      <c r="C2513" s="2">
        <v>29751</v>
      </c>
      <c r="D2513" s="2" t="s">
        <v>3</v>
      </c>
      <c r="E2513" s="2">
        <v>28471</v>
      </c>
      <c r="F2513" s="2" t="s">
        <v>3</v>
      </c>
      <c r="G2513" s="2" t="s">
        <v>3</v>
      </c>
      <c r="H2513" s="2">
        <v>1280</v>
      </c>
      <c r="I2513" s="2">
        <v>469</v>
      </c>
    </row>
    <row r="2514" spans="1:9" hidden="1" x14ac:dyDescent="0.3">
      <c r="A2514" t="s">
        <v>38</v>
      </c>
      <c r="B2514" s="1">
        <v>44044</v>
      </c>
      <c r="C2514" s="2">
        <v>30550</v>
      </c>
      <c r="D2514" s="2" t="s">
        <v>3</v>
      </c>
      <c r="E2514" s="2">
        <v>29739</v>
      </c>
      <c r="F2514" s="2" t="s">
        <v>3</v>
      </c>
      <c r="G2514" s="2" t="s">
        <v>3</v>
      </c>
      <c r="H2514" s="2">
        <v>811</v>
      </c>
      <c r="I2514" s="2">
        <v>-26</v>
      </c>
    </row>
    <row r="2515" spans="1:9" hidden="1" x14ac:dyDescent="0.3">
      <c r="A2515" t="s">
        <v>38</v>
      </c>
      <c r="B2515" s="1">
        <v>44013</v>
      </c>
      <c r="C2515" s="2">
        <v>29785</v>
      </c>
      <c r="D2515" s="2" t="s">
        <v>3</v>
      </c>
      <c r="E2515" s="2">
        <v>28948</v>
      </c>
      <c r="F2515" s="2" t="s">
        <v>3</v>
      </c>
      <c r="G2515" s="2" t="s">
        <v>3</v>
      </c>
      <c r="H2515" s="2">
        <v>837</v>
      </c>
      <c r="I2515" s="2">
        <v>-546</v>
      </c>
    </row>
    <row r="2516" spans="1:9" hidden="1" x14ac:dyDescent="0.3">
      <c r="A2516" t="s">
        <v>38</v>
      </c>
      <c r="B2516" s="1">
        <v>43983</v>
      </c>
      <c r="C2516" s="2">
        <v>29398</v>
      </c>
      <c r="D2516" s="2" t="s">
        <v>3</v>
      </c>
      <c r="E2516" s="2">
        <v>28015</v>
      </c>
      <c r="F2516" s="2" t="s">
        <v>3</v>
      </c>
      <c r="G2516" s="2" t="s">
        <v>3</v>
      </c>
      <c r="H2516" s="2">
        <v>1383</v>
      </c>
      <c r="I2516" s="2">
        <v>557</v>
      </c>
    </row>
    <row r="2517" spans="1:9" hidden="1" x14ac:dyDescent="0.3">
      <c r="A2517" t="s">
        <v>38</v>
      </c>
      <c r="B2517" s="1">
        <v>43952</v>
      </c>
      <c r="C2517" s="2">
        <v>28227</v>
      </c>
      <c r="D2517" s="2" t="s">
        <v>3</v>
      </c>
      <c r="E2517" s="2">
        <v>27401</v>
      </c>
      <c r="F2517" s="2" t="s">
        <v>3</v>
      </c>
      <c r="G2517" s="2" t="s">
        <v>3</v>
      </c>
      <c r="H2517" s="2">
        <v>826</v>
      </c>
      <c r="I2517" s="2">
        <v>-127</v>
      </c>
    </row>
    <row r="2518" spans="1:9" hidden="1" x14ac:dyDescent="0.3">
      <c r="A2518" t="s">
        <v>38</v>
      </c>
      <c r="B2518" s="1">
        <v>43922</v>
      </c>
      <c r="C2518" s="2">
        <v>26465</v>
      </c>
      <c r="D2518" s="2" t="s">
        <v>3</v>
      </c>
      <c r="E2518" s="2">
        <v>25512</v>
      </c>
      <c r="F2518" s="2" t="s">
        <v>3</v>
      </c>
      <c r="G2518" s="2" t="s">
        <v>3</v>
      </c>
      <c r="H2518" s="2">
        <v>953</v>
      </c>
      <c r="I2518" s="2">
        <v>479</v>
      </c>
    </row>
    <row r="2519" spans="1:9" hidden="1" x14ac:dyDescent="0.3">
      <c r="A2519" t="s">
        <v>38</v>
      </c>
      <c r="B2519" s="1">
        <v>43891</v>
      </c>
      <c r="C2519" s="2">
        <v>29342</v>
      </c>
      <c r="D2519" s="2" t="s">
        <v>3</v>
      </c>
      <c r="E2519" s="2">
        <v>28868</v>
      </c>
      <c r="F2519" s="2" t="s">
        <v>3</v>
      </c>
      <c r="G2519" s="2" t="s">
        <v>3</v>
      </c>
      <c r="H2519" s="2">
        <v>474</v>
      </c>
      <c r="I2519" s="2">
        <v>34</v>
      </c>
    </row>
    <row r="2520" spans="1:9" hidden="1" x14ac:dyDescent="0.3">
      <c r="A2520" t="s">
        <v>38</v>
      </c>
      <c r="B2520" s="1">
        <v>43862</v>
      </c>
      <c r="C2520" s="2">
        <v>30842</v>
      </c>
      <c r="D2520" s="2" t="s">
        <v>3</v>
      </c>
      <c r="E2520" s="2">
        <v>30402</v>
      </c>
      <c r="F2520" s="2" t="s">
        <v>3</v>
      </c>
      <c r="G2520" s="2" t="s">
        <v>3</v>
      </c>
      <c r="H2520" s="2">
        <v>440</v>
      </c>
      <c r="I2520" s="2">
        <v>68</v>
      </c>
    </row>
    <row r="2521" spans="1:9" hidden="1" x14ac:dyDescent="0.3">
      <c r="A2521" t="s">
        <v>38</v>
      </c>
      <c r="B2521" s="1">
        <v>43831</v>
      </c>
      <c r="C2521" s="2">
        <v>29673</v>
      </c>
      <c r="D2521" s="2" t="s">
        <v>3</v>
      </c>
      <c r="E2521" s="2">
        <v>29301</v>
      </c>
      <c r="F2521" s="2" t="s">
        <v>3</v>
      </c>
      <c r="G2521" s="2" t="s">
        <v>3</v>
      </c>
      <c r="H2521" s="2">
        <v>372</v>
      </c>
      <c r="I2521" s="2">
        <v>-660</v>
      </c>
    </row>
    <row r="2522" spans="1:9" x14ac:dyDescent="0.3">
      <c r="A2522" t="s">
        <v>39</v>
      </c>
      <c r="B2522" s="1">
        <v>45931</v>
      </c>
      <c r="C2522" s="2">
        <v>3766</v>
      </c>
      <c r="D2522" s="2">
        <v>-297</v>
      </c>
      <c r="E2522" s="2">
        <v>2872</v>
      </c>
      <c r="F2522" s="2">
        <v>-66</v>
      </c>
      <c r="G2522" s="2">
        <v>-20</v>
      </c>
      <c r="H2522" s="2">
        <v>894</v>
      </c>
      <c r="I2522" s="2">
        <v>-231</v>
      </c>
    </row>
    <row r="2523" spans="1:9" x14ac:dyDescent="0.3">
      <c r="A2523" t="s">
        <v>39</v>
      </c>
      <c r="B2523" s="1">
        <v>45901</v>
      </c>
      <c r="C2523" s="2">
        <v>4035</v>
      </c>
      <c r="D2523" s="2">
        <v>39</v>
      </c>
      <c r="E2523" s="2">
        <v>2910</v>
      </c>
      <c r="F2523" s="2">
        <v>92</v>
      </c>
      <c r="G2523" s="2">
        <v>-5</v>
      </c>
      <c r="H2523" s="2">
        <v>1125</v>
      </c>
      <c r="I2523" s="2">
        <v>-53</v>
      </c>
    </row>
    <row r="2524" spans="1:9" x14ac:dyDescent="0.3">
      <c r="A2524" t="s">
        <v>39</v>
      </c>
      <c r="B2524" s="1">
        <v>45870</v>
      </c>
      <c r="C2524" s="2">
        <v>3964</v>
      </c>
      <c r="D2524" s="2">
        <v>-26</v>
      </c>
      <c r="E2524" s="2">
        <v>2786</v>
      </c>
      <c r="F2524" s="2">
        <v>35</v>
      </c>
      <c r="G2524" s="2">
        <v>24</v>
      </c>
      <c r="H2524" s="2">
        <v>1178</v>
      </c>
      <c r="I2524" s="2">
        <v>-61</v>
      </c>
    </row>
    <row r="2525" spans="1:9" x14ac:dyDescent="0.3">
      <c r="A2525" t="s">
        <v>39</v>
      </c>
      <c r="B2525" s="1">
        <v>45839</v>
      </c>
      <c r="C2525" s="2">
        <v>3984</v>
      </c>
      <c r="D2525" s="2">
        <v>339</v>
      </c>
      <c r="E2525" s="2">
        <v>2745</v>
      </c>
      <c r="F2525" s="2">
        <v>86</v>
      </c>
      <c r="G2525" s="2">
        <v>5</v>
      </c>
      <c r="H2525" s="2">
        <v>1239</v>
      </c>
      <c r="I2525" s="2">
        <v>253</v>
      </c>
    </row>
    <row r="2526" spans="1:9" x14ac:dyDescent="0.3">
      <c r="A2526" t="s">
        <v>39</v>
      </c>
      <c r="B2526" s="1">
        <v>45809</v>
      </c>
      <c r="C2526" s="2">
        <v>3692</v>
      </c>
      <c r="D2526" s="2">
        <v>5</v>
      </c>
      <c r="E2526" s="2">
        <v>2706</v>
      </c>
      <c r="F2526" s="2">
        <v>-101</v>
      </c>
      <c r="G2526" s="2">
        <v>12</v>
      </c>
      <c r="H2526" s="2">
        <v>986</v>
      </c>
      <c r="I2526" s="2">
        <v>106</v>
      </c>
    </row>
    <row r="2527" spans="1:9" x14ac:dyDescent="0.3">
      <c r="A2527" t="s">
        <v>39</v>
      </c>
      <c r="B2527" s="1">
        <v>45778</v>
      </c>
      <c r="C2527" s="2">
        <v>3653</v>
      </c>
      <c r="D2527" s="2">
        <v>64</v>
      </c>
      <c r="E2527" s="2">
        <v>2773</v>
      </c>
      <c r="F2527" s="2">
        <v>57</v>
      </c>
      <c r="G2527" s="2">
        <v>-47</v>
      </c>
      <c r="H2527" s="2">
        <v>880</v>
      </c>
      <c r="I2527" s="2">
        <v>7</v>
      </c>
    </row>
    <row r="2528" spans="1:9" x14ac:dyDescent="0.3">
      <c r="A2528" t="s">
        <v>39</v>
      </c>
      <c r="B2528" s="1">
        <v>45748</v>
      </c>
      <c r="C2528" s="2">
        <v>3595</v>
      </c>
      <c r="D2528" s="2">
        <v>11</v>
      </c>
      <c r="E2528" s="2">
        <v>2722</v>
      </c>
      <c r="F2528" s="2">
        <v>18</v>
      </c>
      <c r="G2528" s="2">
        <v>14</v>
      </c>
      <c r="H2528" s="2">
        <v>873</v>
      </c>
      <c r="I2528" s="2">
        <v>-7</v>
      </c>
    </row>
    <row r="2529" spans="1:9" x14ac:dyDescent="0.3">
      <c r="A2529" t="s">
        <v>39</v>
      </c>
      <c r="B2529" s="1">
        <v>45717</v>
      </c>
      <c r="C2529" s="2">
        <v>3553</v>
      </c>
      <c r="D2529" s="2">
        <v>79</v>
      </c>
      <c r="E2529" s="2">
        <v>2673</v>
      </c>
      <c r="F2529" s="2">
        <v>6</v>
      </c>
      <c r="G2529" s="2">
        <v>-18</v>
      </c>
      <c r="H2529" s="2">
        <v>880</v>
      </c>
      <c r="I2529" s="2">
        <v>73</v>
      </c>
    </row>
    <row r="2530" spans="1:9" x14ac:dyDescent="0.3">
      <c r="A2530" t="s">
        <v>39</v>
      </c>
      <c r="B2530" s="1">
        <v>45689</v>
      </c>
      <c r="C2530" s="2">
        <v>3478</v>
      </c>
      <c r="D2530" s="2">
        <v>113</v>
      </c>
      <c r="E2530" s="2">
        <v>2671</v>
      </c>
      <c r="F2530" s="2">
        <v>103</v>
      </c>
      <c r="G2530" s="2">
        <v>-5</v>
      </c>
      <c r="H2530" s="2">
        <v>807</v>
      </c>
      <c r="I2530" s="2">
        <v>10</v>
      </c>
    </row>
    <row r="2531" spans="1:9" x14ac:dyDescent="0.3">
      <c r="A2531" t="s">
        <v>39</v>
      </c>
      <c r="B2531" s="1">
        <v>45658</v>
      </c>
      <c r="C2531" s="2">
        <v>3417</v>
      </c>
      <c r="D2531" s="2">
        <v>-184</v>
      </c>
      <c r="E2531" s="2">
        <v>2620</v>
      </c>
      <c r="F2531" s="2">
        <v>-182</v>
      </c>
      <c r="G2531" s="2">
        <v>4</v>
      </c>
      <c r="H2531" s="2">
        <v>797</v>
      </c>
      <c r="I2531" s="2">
        <v>-2</v>
      </c>
    </row>
    <row r="2532" spans="1:9" x14ac:dyDescent="0.3">
      <c r="A2532" t="s">
        <v>39</v>
      </c>
      <c r="B2532" s="1">
        <v>45627</v>
      </c>
      <c r="C2532" s="2">
        <v>3583</v>
      </c>
      <c r="D2532" s="2">
        <v>-34</v>
      </c>
      <c r="E2532" s="2">
        <v>2784</v>
      </c>
      <c r="F2532" s="2">
        <v>25</v>
      </c>
      <c r="G2532" s="2">
        <v>-9</v>
      </c>
      <c r="H2532" s="2">
        <v>799</v>
      </c>
      <c r="I2532" s="2">
        <v>-59</v>
      </c>
    </row>
    <row r="2533" spans="1:9" x14ac:dyDescent="0.3">
      <c r="A2533" t="s">
        <v>39</v>
      </c>
      <c r="B2533" s="1">
        <v>45597</v>
      </c>
      <c r="C2533" s="2">
        <v>3644</v>
      </c>
      <c r="D2533" s="2">
        <v>-104</v>
      </c>
      <c r="E2533" s="2">
        <v>2786</v>
      </c>
      <c r="F2533" s="2">
        <v>19</v>
      </c>
      <c r="G2533" s="2">
        <v>5</v>
      </c>
      <c r="H2533" s="2">
        <v>858</v>
      </c>
      <c r="I2533" s="2">
        <v>-123</v>
      </c>
    </row>
    <row r="2534" spans="1:9" x14ac:dyDescent="0.3">
      <c r="A2534" t="s">
        <v>39</v>
      </c>
      <c r="B2534" s="1">
        <v>45566</v>
      </c>
      <c r="C2534" s="2">
        <v>3754</v>
      </c>
      <c r="D2534" s="2">
        <v>-51</v>
      </c>
      <c r="E2534" s="2">
        <v>2773</v>
      </c>
      <c r="F2534" s="2">
        <v>-9</v>
      </c>
      <c r="G2534" s="2">
        <v>-38</v>
      </c>
      <c r="H2534" s="2">
        <v>981</v>
      </c>
      <c r="I2534" s="2">
        <v>-42</v>
      </c>
    </row>
    <row r="2535" spans="1:9" x14ac:dyDescent="0.3">
      <c r="A2535" t="s">
        <v>39</v>
      </c>
      <c r="B2535" s="1">
        <v>45536</v>
      </c>
      <c r="C2535" s="2">
        <v>3846</v>
      </c>
      <c r="D2535" s="2">
        <v>-84</v>
      </c>
      <c r="E2535" s="2">
        <v>2823</v>
      </c>
      <c r="F2535" s="2">
        <v>-117</v>
      </c>
      <c r="G2535" s="2">
        <v>11</v>
      </c>
      <c r="H2535" s="2">
        <v>1023</v>
      </c>
      <c r="I2535" s="2">
        <v>33</v>
      </c>
    </row>
    <row r="2536" spans="1:9" x14ac:dyDescent="0.3">
      <c r="A2536" t="s">
        <v>39</v>
      </c>
      <c r="B2536" s="1">
        <v>45505</v>
      </c>
      <c r="C2536" s="2">
        <v>3929</v>
      </c>
      <c r="D2536" s="2">
        <v>-46</v>
      </c>
      <c r="E2536" s="2">
        <v>2939</v>
      </c>
      <c r="F2536" s="2">
        <v>-72</v>
      </c>
      <c r="G2536" s="2">
        <v>20</v>
      </c>
      <c r="H2536" s="2">
        <v>990</v>
      </c>
      <c r="I2536" s="2">
        <v>26</v>
      </c>
    </row>
    <row r="2537" spans="1:9" x14ac:dyDescent="0.3">
      <c r="A2537" t="s">
        <v>39</v>
      </c>
      <c r="B2537" s="1">
        <v>45474</v>
      </c>
      <c r="C2537" s="2">
        <v>3955</v>
      </c>
      <c r="D2537" s="2">
        <v>-15</v>
      </c>
      <c r="E2537" s="2">
        <v>2991</v>
      </c>
      <c r="F2537" s="2">
        <v>-5</v>
      </c>
      <c r="G2537" s="2">
        <v>24</v>
      </c>
      <c r="H2537" s="2">
        <v>964</v>
      </c>
      <c r="I2537" s="2">
        <v>-10</v>
      </c>
    </row>
    <row r="2538" spans="1:9" x14ac:dyDescent="0.3">
      <c r="A2538" t="s">
        <v>39</v>
      </c>
      <c r="B2538" s="1">
        <v>45444</v>
      </c>
      <c r="C2538" s="2">
        <v>3994</v>
      </c>
      <c r="D2538" s="2">
        <v>-196</v>
      </c>
      <c r="E2538" s="2">
        <v>3020</v>
      </c>
      <c r="F2538" s="2">
        <v>-283</v>
      </c>
      <c r="G2538" s="2">
        <v>22</v>
      </c>
      <c r="H2538" s="2">
        <v>974</v>
      </c>
      <c r="I2538" s="2">
        <v>87</v>
      </c>
    </row>
    <row r="2539" spans="1:9" x14ac:dyDescent="0.3">
      <c r="A2539" t="s">
        <v>39</v>
      </c>
      <c r="B2539" s="1">
        <v>45413</v>
      </c>
      <c r="C2539" s="2">
        <v>4238</v>
      </c>
      <c r="D2539" s="2">
        <v>26</v>
      </c>
      <c r="E2539" s="2">
        <v>3351</v>
      </c>
      <c r="F2539" s="2">
        <v>-3</v>
      </c>
      <c r="G2539" s="2">
        <v>16</v>
      </c>
      <c r="H2539" s="2">
        <v>887</v>
      </c>
      <c r="I2539" s="2">
        <v>29</v>
      </c>
    </row>
    <row r="2540" spans="1:9" x14ac:dyDescent="0.3">
      <c r="A2540" t="s">
        <v>39</v>
      </c>
      <c r="B2540" s="1">
        <v>45383</v>
      </c>
      <c r="C2540" s="2">
        <v>4251</v>
      </c>
      <c r="D2540" s="2">
        <v>-420</v>
      </c>
      <c r="E2540" s="2">
        <v>3393</v>
      </c>
      <c r="F2540" s="2">
        <v>-338</v>
      </c>
      <c r="G2540" s="2">
        <v>-31</v>
      </c>
      <c r="H2540" s="2">
        <v>858</v>
      </c>
      <c r="I2540" s="2">
        <v>-82</v>
      </c>
    </row>
    <row r="2541" spans="1:9" x14ac:dyDescent="0.3">
      <c r="A2541" t="s">
        <v>39</v>
      </c>
      <c r="B2541" s="1">
        <v>45352</v>
      </c>
      <c r="C2541" s="2">
        <v>4754</v>
      </c>
      <c r="D2541" s="2">
        <v>-372</v>
      </c>
      <c r="E2541" s="2">
        <v>3814</v>
      </c>
      <c r="F2541" s="2">
        <v>-95</v>
      </c>
      <c r="G2541" s="2">
        <v>13</v>
      </c>
      <c r="H2541" s="2">
        <v>940</v>
      </c>
      <c r="I2541" s="2">
        <v>-277</v>
      </c>
    </row>
    <row r="2542" spans="1:9" x14ac:dyDescent="0.3">
      <c r="A2542" t="s">
        <v>39</v>
      </c>
      <c r="B2542" s="1">
        <v>45323</v>
      </c>
      <c r="C2542" s="2">
        <v>5135</v>
      </c>
      <c r="D2542" s="2">
        <v>-308</v>
      </c>
      <c r="E2542" s="2">
        <v>3918</v>
      </c>
      <c r="F2542" s="2">
        <v>89</v>
      </c>
      <c r="G2542" s="2">
        <v>-23</v>
      </c>
      <c r="H2542" s="2">
        <v>1217</v>
      </c>
      <c r="I2542" s="2">
        <v>-397</v>
      </c>
    </row>
    <row r="2543" spans="1:9" x14ac:dyDescent="0.3">
      <c r="A2543" t="s">
        <v>39</v>
      </c>
      <c r="B2543" s="1">
        <v>45292</v>
      </c>
      <c r="C2543" s="2">
        <v>5556</v>
      </c>
      <c r="D2543" s="2">
        <v>703</v>
      </c>
      <c r="E2543" s="2">
        <v>3942</v>
      </c>
      <c r="F2543" s="2">
        <v>-66</v>
      </c>
      <c r="G2543" s="2">
        <v>-9</v>
      </c>
      <c r="H2543" s="2">
        <v>1614</v>
      </c>
      <c r="I2543" s="2">
        <v>769</v>
      </c>
    </row>
    <row r="2544" spans="1:9" x14ac:dyDescent="0.3">
      <c r="A2544" t="s">
        <v>39</v>
      </c>
      <c r="B2544" s="1">
        <v>45261</v>
      </c>
      <c r="C2544" s="2">
        <v>4892</v>
      </c>
      <c r="D2544" s="2">
        <v>279</v>
      </c>
      <c r="E2544" s="2">
        <v>4047</v>
      </c>
      <c r="F2544" s="2">
        <v>159</v>
      </c>
      <c r="G2544" s="2">
        <v>31</v>
      </c>
      <c r="H2544" s="2">
        <v>845</v>
      </c>
      <c r="I2544" s="2">
        <v>120</v>
      </c>
    </row>
    <row r="2545" spans="1:9" x14ac:dyDescent="0.3">
      <c r="A2545" t="s">
        <v>39</v>
      </c>
      <c r="B2545" s="1">
        <v>45231</v>
      </c>
      <c r="C2545" s="2">
        <v>4577</v>
      </c>
      <c r="D2545" s="2">
        <v>487</v>
      </c>
      <c r="E2545" s="2">
        <v>3852</v>
      </c>
      <c r="F2545" s="2">
        <v>471</v>
      </c>
      <c r="G2545" s="2">
        <v>25</v>
      </c>
      <c r="H2545" s="2">
        <v>725</v>
      </c>
      <c r="I2545" s="2">
        <v>16</v>
      </c>
    </row>
    <row r="2546" spans="1:9" x14ac:dyDescent="0.3">
      <c r="A2546" t="s">
        <v>39</v>
      </c>
      <c r="B2546" s="1">
        <v>45200</v>
      </c>
      <c r="C2546" s="2">
        <v>4125</v>
      </c>
      <c r="D2546" s="2">
        <v>-191</v>
      </c>
      <c r="E2546" s="2">
        <v>3416</v>
      </c>
      <c r="F2546" s="2">
        <v>-172</v>
      </c>
      <c r="G2546" s="2">
        <v>9</v>
      </c>
      <c r="H2546" s="2">
        <v>709</v>
      </c>
      <c r="I2546" s="2">
        <v>-19</v>
      </c>
    </row>
    <row r="2547" spans="1:9" x14ac:dyDescent="0.3">
      <c r="A2547" t="s">
        <v>39</v>
      </c>
      <c r="B2547" s="1">
        <v>45170</v>
      </c>
      <c r="C2547" s="2">
        <v>4299</v>
      </c>
      <c r="D2547" s="2">
        <v>-18</v>
      </c>
      <c r="E2547" s="2">
        <v>3571</v>
      </c>
      <c r="F2547" s="2">
        <v>27</v>
      </c>
      <c r="G2547" s="2">
        <v>-6</v>
      </c>
      <c r="H2547" s="2">
        <v>728</v>
      </c>
      <c r="I2547" s="2">
        <v>-45</v>
      </c>
    </row>
    <row r="2548" spans="1:9" x14ac:dyDescent="0.3">
      <c r="A2548" t="s">
        <v>39</v>
      </c>
      <c r="B2548" s="1">
        <v>45139</v>
      </c>
      <c r="C2548" s="2">
        <v>4363</v>
      </c>
      <c r="D2548" s="2">
        <v>231</v>
      </c>
      <c r="E2548" s="2">
        <v>3590</v>
      </c>
      <c r="F2548" s="2">
        <v>133</v>
      </c>
      <c r="G2548" s="2">
        <v>6</v>
      </c>
      <c r="H2548" s="2">
        <v>773</v>
      </c>
      <c r="I2548" s="2">
        <v>98</v>
      </c>
    </row>
    <row r="2549" spans="1:9" x14ac:dyDescent="0.3">
      <c r="A2549" t="s">
        <v>39</v>
      </c>
      <c r="B2549" s="1">
        <v>45108</v>
      </c>
      <c r="C2549" s="2">
        <v>4287</v>
      </c>
      <c r="D2549" s="2">
        <v>159</v>
      </c>
      <c r="E2549" s="2">
        <v>3612</v>
      </c>
      <c r="F2549" s="2">
        <v>142</v>
      </c>
      <c r="G2549" s="2">
        <v>7</v>
      </c>
      <c r="H2549" s="2">
        <v>675</v>
      </c>
      <c r="I2549" s="2">
        <v>17</v>
      </c>
    </row>
    <row r="2550" spans="1:9" x14ac:dyDescent="0.3">
      <c r="A2550" t="s">
        <v>39</v>
      </c>
      <c r="B2550" s="1">
        <v>45078</v>
      </c>
      <c r="C2550" s="2">
        <v>4142</v>
      </c>
      <c r="D2550" s="2">
        <v>186</v>
      </c>
      <c r="E2550" s="2">
        <v>3484</v>
      </c>
      <c r="F2550" s="2">
        <v>153</v>
      </c>
      <c r="G2550" s="2">
        <v>-15</v>
      </c>
      <c r="H2550" s="2">
        <v>658</v>
      </c>
      <c r="I2550" s="2">
        <v>33</v>
      </c>
    </row>
    <row r="2551" spans="1:9" x14ac:dyDescent="0.3">
      <c r="A2551" t="s">
        <v>39</v>
      </c>
      <c r="B2551" s="1">
        <v>45047</v>
      </c>
      <c r="C2551" s="2">
        <v>3985</v>
      </c>
      <c r="D2551" s="2">
        <v>169</v>
      </c>
      <c r="E2551" s="2">
        <v>3360</v>
      </c>
      <c r="F2551" s="2">
        <v>142</v>
      </c>
      <c r="G2551" s="2">
        <v>-12</v>
      </c>
      <c r="H2551" s="2">
        <v>625</v>
      </c>
      <c r="I2551" s="2">
        <v>27</v>
      </c>
    </row>
    <row r="2552" spans="1:9" x14ac:dyDescent="0.3">
      <c r="A2552" t="s">
        <v>39</v>
      </c>
      <c r="B2552" s="1">
        <v>45017</v>
      </c>
      <c r="C2552" s="2">
        <v>3719</v>
      </c>
      <c r="D2552" s="2">
        <v>735</v>
      </c>
      <c r="E2552" s="2">
        <v>3121</v>
      </c>
      <c r="F2552" s="2">
        <v>730</v>
      </c>
      <c r="G2552" s="2">
        <v>-1</v>
      </c>
      <c r="H2552" s="2">
        <v>598</v>
      </c>
      <c r="I2552" s="2">
        <v>5</v>
      </c>
    </row>
    <row r="2553" spans="1:9" x14ac:dyDescent="0.3">
      <c r="A2553" t="s">
        <v>39</v>
      </c>
      <c r="B2553" s="1">
        <v>44986</v>
      </c>
      <c r="C2553" s="2">
        <v>3109</v>
      </c>
      <c r="D2553" s="2">
        <v>503</v>
      </c>
      <c r="E2553" s="2">
        <v>2516</v>
      </c>
      <c r="F2553" s="2">
        <v>484</v>
      </c>
      <c r="G2553" s="2">
        <v>23</v>
      </c>
      <c r="H2553" s="2">
        <v>593</v>
      </c>
      <c r="I2553" s="2">
        <v>19</v>
      </c>
    </row>
    <row r="2554" spans="1:9" x14ac:dyDescent="0.3">
      <c r="A2554" t="s">
        <v>39</v>
      </c>
      <c r="B2554" s="1">
        <v>44958</v>
      </c>
      <c r="C2554" s="2">
        <v>2723</v>
      </c>
      <c r="D2554" s="2">
        <v>37</v>
      </c>
      <c r="E2554" s="2">
        <v>2149</v>
      </c>
      <c r="F2554" s="2">
        <v>29</v>
      </c>
      <c r="G2554" s="2">
        <v>-18</v>
      </c>
      <c r="H2554" s="2">
        <v>574</v>
      </c>
      <c r="I2554" s="2">
        <v>8</v>
      </c>
    </row>
    <row r="2555" spans="1:9" hidden="1" x14ac:dyDescent="0.3">
      <c r="A2555" t="s">
        <v>39</v>
      </c>
      <c r="B2555" s="1">
        <v>44927</v>
      </c>
      <c r="C2555" s="2">
        <v>2770</v>
      </c>
      <c r="D2555" s="2" t="s">
        <v>3</v>
      </c>
      <c r="E2555" s="2">
        <v>2204</v>
      </c>
      <c r="F2555" s="2" t="s">
        <v>3</v>
      </c>
      <c r="G2555" s="2" t="s">
        <v>3</v>
      </c>
      <c r="H2555" s="2">
        <v>566</v>
      </c>
      <c r="I2555" s="2">
        <v>260</v>
      </c>
    </row>
    <row r="2556" spans="1:9" hidden="1" x14ac:dyDescent="0.3">
      <c r="A2556" t="s">
        <v>39</v>
      </c>
      <c r="B2556" s="1">
        <v>44896</v>
      </c>
      <c r="C2556" s="2">
        <v>2351</v>
      </c>
      <c r="D2556" s="2" t="s">
        <v>3</v>
      </c>
      <c r="E2556" s="2">
        <v>2045</v>
      </c>
      <c r="F2556" s="2" t="s">
        <v>3</v>
      </c>
      <c r="G2556" s="2" t="s">
        <v>3</v>
      </c>
      <c r="H2556" s="2">
        <v>306</v>
      </c>
      <c r="I2556" s="2">
        <v>-32</v>
      </c>
    </row>
    <row r="2557" spans="1:9" hidden="1" x14ac:dyDescent="0.3">
      <c r="A2557" t="s">
        <v>39</v>
      </c>
      <c r="B2557" s="1">
        <v>44866</v>
      </c>
      <c r="C2557" s="2">
        <v>2263</v>
      </c>
      <c r="D2557" s="2" t="s">
        <v>3</v>
      </c>
      <c r="E2557" s="2">
        <v>1925</v>
      </c>
      <c r="F2557" s="2" t="s">
        <v>3</v>
      </c>
      <c r="G2557" s="2" t="s">
        <v>3</v>
      </c>
      <c r="H2557" s="2">
        <v>338</v>
      </c>
      <c r="I2557" s="2">
        <v>21</v>
      </c>
    </row>
    <row r="2558" spans="1:9" hidden="1" x14ac:dyDescent="0.3">
      <c r="A2558" t="s">
        <v>39</v>
      </c>
      <c r="B2558" s="1">
        <v>44835</v>
      </c>
      <c r="C2558" s="2">
        <v>2218</v>
      </c>
      <c r="D2558" s="2" t="s">
        <v>3</v>
      </c>
      <c r="E2558" s="2">
        <v>1901</v>
      </c>
      <c r="F2558" s="2" t="s">
        <v>3</v>
      </c>
      <c r="G2558" s="2" t="s">
        <v>3</v>
      </c>
      <c r="H2558" s="2">
        <v>317</v>
      </c>
      <c r="I2558" s="2">
        <v>-88</v>
      </c>
    </row>
    <row r="2559" spans="1:9" hidden="1" x14ac:dyDescent="0.3">
      <c r="A2559" t="s">
        <v>39</v>
      </c>
      <c r="B2559" s="1">
        <v>44805</v>
      </c>
      <c r="C2559" s="2">
        <v>2232</v>
      </c>
      <c r="D2559" s="2" t="s">
        <v>3</v>
      </c>
      <c r="E2559" s="2">
        <v>1827</v>
      </c>
      <c r="F2559" s="2" t="s">
        <v>3</v>
      </c>
      <c r="G2559" s="2" t="s">
        <v>3</v>
      </c>
      <c r="H2559" s="2">
        <v>405</v>
      </c>
      <c r="I2559" s="2">
        <v>-43</v>
      </c>
    </row>
    <row r="2560" spans="1:9" hidden="1" x14ac:dyDescent="0.3">
      <c r="A2560" t="s">
        <v>39</v>
      </c>
      <c r="B2560" s="1">
        <v>44774</v>
      </c>
      <c r="C2560" s="2">
        <v>2184</v>
      </c>
      <c r="D2560" s="2" t="s">
        <v>3</v>
      </c>
      <c r="E2560" s="2">
        <v>1736</v>
      </c>
      <c r="F2560" s="2" t="s">
        <v>3</v>
      </c>
      <c r="G2560" s="2" t="s">
        <v>3</v>
      </c>
      <c r="H2560" s="2">
        <v>448</v>
      </c>
      <c r="I2560" s="2">
        <v>136</v>
      </c>
    </row>
    <row r="2561" spans="1:9" hidden="1" x14ac:dyDescent="0.3">
      <c r="A2561" t="s">
        <v>39</v>
      </c>
      <c r="B2561" s="1">
        <v>44743</v>
      </c>
      <c r="C2561" s="2">
        <v>2054</v>
      </c>
      <c r="D2561" s="2" t="s">
        <v>3</v>
      </c>
      <c r="E2561" s="2">
        <v>1742</v>
      </c>
      <c r="F2561" s="2" t="s">
        <v>3</v>
      </c>
      <c r="G2561" s="2" t="s">
        <v>3</v>
      </c>
      <c r="H2561" s="2">
        <v>312</v>
      </c>
      <c r="I2561" s="2">
        <v>24</v>
      </c>
    </row>
    <row r="2562" spans="1:9" hidden="1" x14ac:dyDescent="0.3">
      <c r="A2562" t="s">
        <v>39</v>
      </c>
      <c r="B2562" s="1">
        <v>44713</v>
      </c>
      <c r="C2562" s="2">
        <v>1975</v>
      </c>
      <c r="D2562" s="2" t="s">
        <v>3</v>
      </c>
      <c r="E2562" s="2">
        <v>1687</v>
      </c>
      <c r="F2562" s="2" t="s">
        <v>3</v>
      </c>
      <c r="G2562" s="2" t="s">
        <v>3</v>
      </c>
      <c r="H2562" s="2">
        <v>288</v>
      </c>
      <c r="I2562" s="2">
        <v>103</v>
      </c>
    </row>
    <row r="2563" spans="1:9" hidden="1" x14ac:dyDescent="0.3">
      <c r="A2563" t="s">
        <v>39</v>
      </c>
      <c r="B2563" s="1">
        <v>44682</v>
      </c>
      <c r="C2563" s="2">
        <v>1861</v>
      </c>
      <c r="D2563" s="2" t="s">
        <v>3</v>
      </c>
      <c r="E2563" s="2">
        <v>1676</v>
      </c>
      <c r="F2563" s="2" t="s">
        <v>3</v>
      </c>
      <c r="G2563" s="2" t="s">
        <v>3</v>
      </c>
      <c r="H2563" s="2">
        <v>185</v>
      </c>
      <c r="I2563" s="2">
        <v>10</v>
      </c>
    </row>
    <row r="2564" spans="1:9" hidden="1" x14ac:dyDescent="0.3">
      <c r="A2564" t="s">
        <v>39</v>
      </c>
      <c r="B2564" s="1">
        <v>44652</v>
      </c>
      <c r="C2564" s="2">
        <v>1949</v>
      </c>
      <c r="D2564" s="2" t="s">
        <v>3</v>
      </c>
      <c r="E2564" s="2">
        <v>1774</v>
      </c>
      <c r="F2564" s="2" t="s">
        <v>3</v>
      </c>
      <c r="G2564" s="2" t="s">
        <v>3</v>
      </c>
      <c r="H2564" s="2">
        <v>175</v>
      </c>
      <c r="I2564" s="2">
        <v>45</v>
      </c>
    </row>
    <row r="2565" spans="1:9" hidden="1" x14ac:dyDescent="0.3">
      <c r="A2565" t="s">
        <v>39</v>
      </c>
      <c r="B2565" s="1">
        <v>44621</v>
      </c>
      <c r="C2565" s="2">
        <v>1795</v>
      </c>
      <c r="D2565" s="2" t="s">
        <v>3</v>
      </c>
      <c r="E2565" s="2">
        <v>1665</v>
      </c>
      <c r="F2565" s="2" t="s">
        <v>3</v>
      </c>
      <c r="G2565" s="2" t="s">
        <v>3</v>
      </c>
      <c r="H2565" s="2">
        <v>130</v>
      </c>
      <c r="I2565" s="2">
        <v>20</v>
      </c>
    </row>
    <row r="2566" spans="1:9" hidden="1" x14ac:dyDescent="0.3">
      <c r="A2566" t="s">
        <v>39</v>
      </c>
      <c r="B2566" s="1">
        <v>44593</v>
      </c>
      <c r="C2566" s="2">
        <v>1846</v>
      </c>
      <c r="D2566" s="2" t="s">
        <v>3</v>
      </c>
      <c r="E2566" s="2">
        <v>1736</v>
      </c>
      <c r="F2566" s="2" t="s">
        <v>3</v>
      </c>
      <c r="G2566" s="2" t="s">
        <v>3</v>
      </c>
      <c r="H2566" s="2">
        <v>110</v>
      </c>
      <c r="I2566" s="2">
        <v>21</v>
      </c>
    </row>
    <row r="2567" spans="1:9" hidden="1" x14ac:dyDescent="0.3">
      <c r="A2567" t="s">
        <v>39</v>
      </c>
      <c r="B2567" s="1">
        <v>44562</v>
      </c>
      <c r="C2567" s="2">
        <v>1676</v>
      </c>
      <c r="D2567" s="2" t="s">
        <v>3</v>
      </c>
      <c r="E2567" s="2">
        <v>1587</v>
      </c>
      <c r="F2567" s="2" t="s">
        <v>3</v>
      </c>
      <c r="G2567" s="2" t="s">
        <v>3</v>
      </c>
      <c r="H2567" s="2">
        <v>89</v>
      </c>
      <c r="I2567" s="2">
        <v>30</v>
      </c>
    </row>
    <row r="2568" spans="1:9" hidden="1" x14ac:dyDescent="0.3">
      <c r="A2568" t="s">
        <v>39</v>
      </c>
      <c r="B2568" s="1">
        <v>44531</v>
      </c>
      <c r="C2568" s="2">
        <v>1585</v>
      </c>
      <c r="D2568" s="2" t="s">
        <v>3</v>
      </c>
      <c r="E2568" s="2">
        <v>1526</v>
      </c>
      <c r="F2568" s="2" t="s">
        <v>3</v>
      </c>
      <c r="G2568" s="2" t="s">
        <v>3</v>
      </c>
      <c r="H2568" s="2">
        <v>59</v>
      </c>
      <c r="I2568" s="2">
        <v>-22</v>
      </c>
    </row>
    <row r="2569" spans="1:9" hidden="1" x14ac:dyDescent="0.3">
      <c r="A2569" t="s">
        <v>39</v>
      </c>
      <c r="B2569" s="1">
        <v>44501</v>
      </c>
      <c r="C2569" s="2">
        <v>1547</v>
      </c>
      <c r="D2569" s="2" t="s">
        <v>3</v>
      </c>
      <c r="E2569" s="2">
        <v>1466</v>
      </c>
      <c r="F2569" s="2" t="s">
        <v>3</v>
      </c>
      <c r="G2569" s="2" t="s">
        <v>3</v>
      </c>
      <c r="H2569" s="2">
        <v>81</v>
      </c>
      <c r="I2569" s="2">
        <v>28</v>
      </c>
    </row>
    <row r="2570" spans="1:9" hidden="1" x14ac:dyDescent="0.3">
      <c r="A2570" t="s">
        <v>39</v>
      </c>
      <c r="B2570" s="1">
        <v>44470</v>
      </c>
      <c r="C2570" s="2">
        <v>1478</v>
      </c>
      <c r="D2570" s="2" t="s">
        <v>3</v>
      </c>
      <c r="E2570" s="2">
        <v>1425</v>
      </c>
      <c r="F2570" s="2" t="s">
        <v>3</v>
      </c>
      <c r="G2570" s="2" t="s">
        <v>3</v>
      </c>
      <c r="H2570" s="2">
        <v>53</v>
      </c>
      <c r="I2570" s="2">
        <v>6</v>
      </c>
    </row>
    <row r="2571" spans="1:9" hidden="1" x14ac:dyDescent="0.3">
      <c r="A2571" t="s">
        <v>39</v>
      </c>
      <c r="B2571" s="1">
        <v>44440</v>
      </c>
      <c r="C2571" s="2">
        <v>1454</v>
      </c>
      <c r="D2571" s="2" t="s">
        <v>3</v>
      </c>
      <c r="E2571" s="2">
        <v>1407</v>
      </c>
      <c r="F2571" s="2" t="s">
        <v>3</v>
      </c>
      <c r="G2571" s="2" t="s">
        <v>3</v>
      </c>
      <c r="H2571" s="2">
        <v>47</v>
      </c>
      <c r="I2571" s="2">
        <v>-46</v>
      </c>
    </row>
    <row r="2572" spans="1:9" hidden="1" x14ac:dyDescent="0.3">
      <c r="A2572" t="s">
        <v>39</v>
      </c>
      <c r="B2572" s="1">
        <v>44409</v>
      </c>
      <c r="C2572" s="2">
        <v>1451</v>
      </c>
      <c r="D2572" s="2" t="s">
        <v>3</v>
      </c>
      <c r="E2572" s="2">
        <v>1358</v>
      </c>
      <c r="F2572" s="2" t="s">
        <v>3</v>
      </c>
      <c r="G2572" s="2" t="s">
        <v>3</v>
      </c>
      <c r="H2572" s="2">
        <v>93</v>
      </c>
      <c r="I2572" s="2">
        <v>2</v>
      </c>
    </row>
    <row r="2573" spans="1:9" hidden="1" x14ac:dyDescent="0.3">
      <c r="A2573" t="s">
        <v>39</v>
      </c>
      <c r="B2573" s="1">
        <v>44378</v>
      </c>
      <c r="C2573" s="2">
        <v>1430</v>
      </c>
      <c r="D2573" s="2" t="s">
        <v>3</v>
      </c>
      <c r="E2573" s="2">
        <v>1339</v>
      </c>
      <c r="F2573" s="2" t="s">
        <v>3</v>
      </c>
      <c r="G2573" s="2" t="s">
        <v>3</v>
      </c>
      <c r="H2573" s="2">
        <v>91</v>
      </c>
      <c r="I2573" s="2">
        <v>4</v>
      </c>
    </row>
    <row r="2574" spans="1:9" hidden="1" x14ac:dyDescent="0.3">
      <c r="A2574" t="s">
        <v>39</v>
      </c>
      <c r="B2574" s="1">
        <v>44348</v>
      </c>
      <c r="C2574" s="2">
        <v>1454</v>
      </c>
      <c r="D2574" s="2" t="s">
        <v>3</v>
      </c>
      <c r="E2574" s="2">
        <v>1367</v>
      </c>
      <c r="F2574" s="2" t="s">
        <v>3</v>
      </c>
      <c r="G2574" s="2" t="s">
        <v>3</v>
      </c>
      <c r="H2574" s="2">
        <v>87</v>
      </c>
      <c r="I2574" s="2">
        <v>-24</v>
      </c>
    </row>
    <row r="2575" spans="1:9" hidden="1" x14ac:dyDescent="0.3">
      <c r="A2575" t="s">
        <v>39</v>
      </c>
      <c r="B2575" s="1">
        <v>44317</v>
      </c>
      <c r="C2575" s="2">
        <v>1489</v>
      </c>
      <c r="D2575" s="2" t="s">
        <v>3</v>
      </c>
      <c r="E2575" s="2">
        <v>1378</v>
      </c>
      <c r="F2575" s="2" t="s">
        <v>3</v>
      </c>
      <c r="G2575" s="2" t="s">
        <v>3</v>
      </c>
      <c r="H2575" s="2">
        <v>111</v>
      </c>
      <c r="I2575" s="2">
        <v>5</v>
      </c>
    </row>
    <row r="2576" spans="1:9" hidden="1" x14ac:dyDescent="0.3">
      <c r="A2576" t="s">
        <v>39</v>
      </c>
      <c r="B2576" s="1">
        <v>44287</v>
      </c>
      <c r="C2576" s="2">
        <v>1486</v>
      </c>
      <c r="D2576" s="2" t="s">
        <v>3</v>
      </c>
      <c r="E2576" s="2">
        <v>1380</v>
      </c>
      <c r="F2576" s="2" t="s">
        <v>3</v>
      </c>
      <c r="G2576" s="2" t="s">
        <v>3</v>
      </c>
      <c r="H2576" s="2">
        <v>106</v>
      </c>
      <c r="I2576" s="2">
        <v>-41</v>
      </c>
    </row>
    <row r="2577" spans="1:9" hidden="1" x14ac:dyDescent="0.3">
      <c r="A2577" t="s">
        <v>39</v>
      </c>
      <c r="B2577" s="1">
        <v>44256</v>
      </c>
      <c r="C2577" s="2">
        <v>1540</v>
      </c>
      <c r="D2577" s="2" t="s">
        <v>3</v>
      </c>
      <c r="E2577" s="2">
        <v>1393</v>
      </c>
      <c r="F2577" s="2" t="s">
        <v>3</v>
      </c>
      <c r="G2577" s="2" t="s">
        <v>3</v>
      </c>
      <c r="H2577" s="2">
        <v>147</v>
      </c>
      <c r="I2577" s="2">
        <v>-8</v>
      </c>
    </row>
    <row r="2578" spans="1:9" hidden="1" x14ac:dyDescent="0.3">
      <c r="A2578" t="s">
        <v>39</v>
      </c>
      <c r="B2578" s="1">
        <v>44228</v>
      </c>
      <c r="C2578" s="2">
        <v>1477</v>
      </c>
      <c r="D2578" s="2" t="s">
        <v>3</v>
      </c>
      <c r="E2578" s="2">
        <v>1322</v>
      </c>
      <c r="F2578" s="2" t="s">
        <v>3</v>
      </c>
      <c r="G2578" s="2" t="s">
        <v>3</v>
      </c>
      <c r="H2578" s="2">
        <v>155</v>
      </c>
      <c r="I2578" s="2">
        <v>-34</v>
      </c>
    </row>
    <row r="2579" spans="1:9" hidden="1" x14ac:dyDescent="0.3">
      <c r="A2579" t="s">
        <v>39</v>
      </c>
      <c r="B2579" s="1">
        <v>44197</v>
      </c>
      <c r="C2579" s="2">
        <v>1675</v>
      </c>
      <c r="D2579" s="2" t="s">
        <v>3</v>
      </c>
      <c r="E2579" s="2">
        <v>1486</v>
      </c>
      <c r="F2579" s="2" t="s">
        <v>3</v>
      </c>
      <c r="G2579" s="2" t="s">
        <v>3</v>
      </c>
      <c r="H2579" s="2">
        <v>189</v>
      </c>
      <c r="I2579" s="2">
        <v>-8</v>
      </c>
    </row>
    <row r="2580" spans="1:9" hidden="1" x14ac:dyDescent="0.3">
      <c r="A2580" t="s">
        <v>39</v>
      </c>
      <c r="B2580" s="1">
        <v>44166</v>
      </c>
      <c r="C2580" s="2">
        <v>1529</v>
      </c>
      <c r="D2580" s="2" t="s">
        <v>3</v>
      </c>
      <c r="E2580" s="2">
        <v>1332</v>
      </c>
      <c r="F2580" s="2" t="s">
        <v>3</v>
      </c>
      <c r="G2580" s="2" t="s">
        <v>3</v>
      </c>
      <c r="H2580" s="2">
        <v>197</v>
      </c>
      <c r="I2580" s="2">
        <v>31</v>
      </c>
    </row>
    <row r="2581" spans="1:9" hidden="1" x14ac:dyDescent="0.3">
      <c r="A2581" t="s">
        <v>39</v>
      </c>
      <c r="B2581" s="1">
        <v>44136</v>
      </c>
      <c r="C2581" s="2">
        <v>1473</v>
      </c>
      <c r="D2581" s="2" t="s">
        <v>3</v>
      </c>
      <c r="E2581" s="2">
        <v>1307</v>
      </c>
      <c r="F2581" s="2" t="s">
        <v>3</v>
      </c>
      <c r="G2581" s="2" t="s">
        <v>3</v>
      </c>
      <c r="H2581" s="2">
        <v>166</v>
      </c>
      <c r="I2581" s="2">
        <v>47</v>
      </c>
    </row>
    <row r="2582" spans="1:9" hidden="1" x14ac:dyDescent="0.3">
      <c r="A2582" t="s">
        <v>39</v>
      </c>
      <c r="B2582" s="1">
        <v>44105</v>
      </c>
      <c r="C2582" s="2">
        <v>1537</v>
      </c>
      <c r="D2582" s="2" t="s">
        <v>3</v>
      </c>
      <c r="E2582" s="2">
        <v>1418</v>
      </c>
      <c r="F2582" s="2" t="s">
        <v>3</v>
      </c>
      <c r="G2582" s="2" t="s">
        <v>3</v>
      </c>
      <c r="H2582" s="2">
        <v>119</v>
      </c>
      <c r="I2582" s="2">
        <v>-49</v>
      </c>
    </row>
    <row r="2583" spans="1:9" hidden="1" x14ac:dyDescent="0.3">
      <c r="A2583" t="s">
        <v>39</v>
      </c>
      <c r="B2583" s="1">
        <v>44075</v>
      </c>
      <c r="C2583" s="2">
        <v>1338</v>
      </c>
      <c r="D2583" s="2" t="s">
        <v>3</v>
      </c>
      <c r="E2583" s="2">
        <v>1170</v>
      </c>
      <c r="F2583" s="2" t="s">
        <v>3</v>
      </c>
      <c r="G2583" s="2" t="s">
        <v>3</v>
      </c>
      <c r="H2583" s="2">
        <v>168</v>
      </c>
      <c r="I2583" s="2">
        <v>65</v>
      </c>
    </row>
    <row r="2584" spans="1:9" hidden="1" x14ac:dyDescent="0.3">
      <c r="A2584" t="s">
        <v>39</v>
      </c>
      <c r="B2584" s="1">
        <v>44044</v>
      </c>
      <c r="C2584" s="2">
        <v>1400</v>
      </c>
      <c r="D2584" s="2" t="s">
        <v>3</v>
      </c>
      <c r="E2584" s="2">
        <v>1297</v>
      </c>
      <c r="F2584" s="2" t="s">
        <v>3</v>
      </c>
      <c r="G2584" s="2" t="s">
        <v>3</v>
      </c>
      <c r="H2584" s="2">
        <v>103</v>
      </c>
      <c r="I2584" s="2">
        <v>0</v>
      </c>
    </row>
    <row r="2585" spans="1:9" hidden="1" x14ac:dyDescent="0.3">
      <c r="A2585" t="s">
        <v>39</v>
      </c>
      <c r="B2585" s="1">
        <v>44013</v>
      </c>
      <c r="C2585" s="2">
        <v>1485</v>
      </c>
      <c r="D2585" s="2" t="s">
        <v>3</v>
      </c>
      <c r="E2585" s="2">
        <v>1382</v>
      </c>
      <c r="F2585" s="2" t="s">
        <v>3</v>
      </c>
      <c r="G2585" s="2" t="s">
        <v>3</v>
      </c>
      <c r="H2585" s="2">
        <v>103</v>
      </c>
      <c r="I2585" s="2">
        <v>-7</v>
      </c>
    </row>
    <row r="2586" spans="1:9" hidden="1" x14ac:dyDescent="0.3">
      <c r="A2586" t="s">
        <v>39</v>
      </c>
      <c r="B2586" s="1">
        <v>43983</v>
      </c>
      <c r="C2586" s="2">
        <v>1468</v>
      </c>
      <c r="D2586" s="2" t="s">
        <v>3</v>
      </c>
      <c r="E2586" s="2">
        <v>1358</v>
      </c>
      <c r="F2586" s="2" t="s">
        <v>3</v>
      </c>
      <c r="G2586" s="2" t="s">
        <v>3</v>
      </c>
      <c r="H2586" s="2">
        <v>110</v>
      </c>
      <c r="I2586" s="2">
        <v>0</v>
      </c>
    </row>
    <row r="2587" spans="1:9" hidden="1" x14ac:dyDescent="0.3">
      <c r="A2587" t="s">
        <v>39</v>
      </c>
      <c r="B2587" s="1">
        <v>43952</v>
      </c>
      <c r="C2587" s="2">
        <v>1550</v>
      </c>
      <c r="D2587" s="2" t="s">
        <v>3</v>
      </c>
      <c r="E2587" s="2">
        <v>1440</v>
      </c>
      <c r="F2587" s="2" t="s">
        <v>3</v>
      </c>
      <c r="G2587" s="2" t="s">
        <v>3</v>
      </c>
      <c r="H2587" s="2">
        <v>110</v>
      </c>
      <c r="I2587" s="2">
        <v>-8</v>
      </c>
    </row>
    <row r="2588" spans="1:9" hidden="1" x14ac:dyDescent="0.3">
      <c r="A2588" t="s">
        <v>39</v>
      </c>
      <c r="B2588" s="1">
        <v>43922</v>
      </c>
      <c r="C2588" s="2">
        <v>1588</v>
      </c>
      <c r="D2588" s="2" t="s">
        <v>3</v>
      </c>
      <c r="E2588" s="2">
        <v>1470</v>
      </c>
      <c r="F2588" s="2" t="s">
        <v>3</v>
      </c>
      <c r="G2588" s="2" t="s">
        <v>3</v>
      </c>
      <c r="H2588" s="2">
        <v>118</v>
      </c>
      <c r="I2588" s="2">
        <v>2</v>
      </c>
    </row>
    <row r="2589" spans="1:9" hidden="1" x14ac:dyDescent="0.3">
      <c r="A2589" t="s">
        <v>39</v>
      </c>
      <c r="B2589" s="1">
        <v>43891</v>
      </c>
      <c r="C2589" s="2">
        <v>1650</v>
      </c>
      <c r="D2589" s="2" t="s">
        <v>3</v>
      </c>
      <c r="E2589" s="2">
        <v>1534</v>
      </c>
      <c r="F2589" s="2" t="s">
        <v>3</v>
      </c>
      <c r="G2589" s="2" t="s">
        <v>3</v>
      </c>
      <c r="H2589" s="2">
        <v>116</v>
      </c>
      <c r="I2589" s="2">
        <v>-92</v>
      </c>
    </row>
    <row r="2590" spans="1:9" hidden="1" x14ac:dyDescent="0.3">
      <c r="A2590" t="s">
        <v>39</v>
      </c>
      <c r="B2590" s="1">
        <v>43862</v>
      </c>
      <c r="C2590" s="2">
        <v>1882</v>
      </c>
      <c r="D2590" s="2" t="s">
        <v>3</v>
      </c>
      <c r="E2590" s="2">
        <v>1674</v>
      </c>
      <c r="F2590" s="2" t="s">
        <v>3</v>
      </c>
      <c r="G2590" s="2" t="s">
        <v>3</v>
      </c>
      <c r="H2590" s="2">
        <v>208</v>
      </c>
      <c r="I2590" s="2">
        <v>17</v>
      </c>
    </row>
    <row r="2591" spans="1:9" hidden="1" x14ac:dyDescent="0.3">
      <c r="A2591" t="s">
        <v>39</v>
      </c>
      <c r="B2591" s="1">
        <v>43831</v>
      </c>
      <c r="C2591" s="2">
        <v>1907</v>
      </c>
      <c r="D2591" s="2" t="s">
        <v>3</v>
      </c>
      <c r="E2591" s="2">
        <v>1716</v>
      </c>
      <c r="F2591" s="2" t="s">
        <v>3</v>
      </c>
      <c r="G2591" s="2" t="s">
        <v>3</v>
      </c>
      <c r="H2591" s="2">
        <v>191</v>
      </c>
      <c r="I2591" s="2">
        <v>-4</v>
      </c>
    </row>
    <row r="2592" spans="1:9" x14ac:dyDescent="0.3">
      <c r="A2592" t="s">
        <v>40</v>
      </c>
      <c r="B2592" s="1">
        <v>45931</v>
      </c>
      <c r="C2592" s="2">
        <v>1293</v>
      </c>
      <c r="D2592" s="2">
        <v>56</v>
      </c>
      <c r="E2592" s="2">
        <v>331</v>
      </c>
      <c r="F2592" s="2">
        <v>4</v>
      </c>
      <c r="G2592" s="2">
        <v>-2</v>
      </c>
      <c r="H2592" s="2">
        <v>962</v>
      </c>
      <c r="I2592" s="2">
        <v>52</v>
      </c>
    </row>
    <row r="2593" spans="1:9" x14ac:dyDescent="0.3">
      <c r="A2593" t="s">
        <v>40</v>
      </c>
      <c r="B2593" s="1">
        <v>45901</v>
      </c>
      <c r="C2593" s="2">
        <v>1249</v>
      </c>
      <c r="D2593" s="2">
        <v>-61</v>
      </c>
      <c r="E2593" s="2">
        <v>339</v>
      </c>
      <c r="F2593" s="2">
        <v>15</v>
      </c>
      <c r="G2593" s="2">
        <v>-1</v>
      </c>
      <c r="H2593" s="2">
        <v>910</v>
      </c>
      <c r="I2593" s="2">
        <v>-76</v>
      </c>
    </row>
    <row r="2594" spans="1:9" x14ac:dyDescent="0.3">
      <c r="A2594" t="s">
        <v>40</v>
      </c>
      <c r="B2594" s="1">
        <v>45870</v>
      </c>
      <c r="C2594" s="2">
        <v>1331</v>
      </c>
      <c r="D2594" s="2">
        <v>34</v>
      </c>
      <c r="E2594" s="2">
        <v>345</v>
      </c>
      <c r="F2594" s="2">
        <v>19</v>
      </c>
      <c r="G2594" s="2">
        <v>-4</v>
      </c>
      <c r="H2594" s="2">
        <v>986</v>
      </c>
      <c r="I2594" s="2">
        <v>15</v>
      </c>
    </row>
    <row r="2595" spans="1:9" x14ac:dyDescent="0.3">
      <c r="A2595" t="s">
        <v>40</v>
      </c>
      <c r="B2595" s="1">
        <v>45839</v>
      </c>
      <c r="C2595" s="2">
        <v>1302</v>
      </c>
      <c r="D2595" s="2">
        <v>2</v>
      </c>
      <c r="E2595" s="2">
        <v>331</v>
      </c>
      <c r="F2595" s="2">
        <v>24</v>
      </c>
      <c r="G2595" s="2">
        <v>-4</v>
      </c>
      <c r="H2595" s="2">
        <v>971</v>
      </c>
      <c r="I2595" s="2">
        <v>-22</v>
      </c>
    </row>
    <row r="2596" spans="1:9" x14ac:dyDescent="0.3">
      <c r="A2596" t="s">
        <v>40</v>
      </c>
      <c r="B2596" s="1">
        <v>45809</v>
      </c>
      <c r="C2596" s="2">
        <v>1311</v>
      </c>
      <c r="D2596" s="2">
        <v>142</v>
      </c>
      <c r="E2596" s="2">
        <v>318</v>
      </c>
      <c r="F2596" s="2">
        <v>-13</v>
      </c>
      <c r="G2596" s="2">
        <v>-3</v>
      </c>
      <c r="H2596" s="2">
        <v>993</v>
      </c>
      <c r="I2596" s="2">
        <v>155</v>
      </c>
    </row>
    <row r="2597" spans="1:9" x14ac:dyDescent="0.3">
      <c r="A2597" t="s">
        <v>40</v>
      </c>
      <c r="B2597" s="1">
        <v>45778</v>
      </c>
      <c r="C2597" s="2">
        <v>1187</v>
      </c>
      <c r="D2597" s="2">
        <v>-29</v>
      </c>
      <c r="E2597" s="2">
        <v>349</v>
      </c>
      <c r="F2597" s="2">
        <v>3</v>
      </c>
      <c r="G2597" s="2">
        <v>-9</v>
      </c>
      <c r="H2597" s="2">
        <v>838</v>
      </c>
      <c r="I2597" s="2">
        <v>-32</v>
      </c>
    </row>
    <row r="2598" spans="1:9" x14ac:dyDescent="0.3">
      <c r="A2598" t="s">
        <v>40</v>
      </c>
      <c r="B2598" s="1">
        <v>45748</v>
      </c>
      <c r="C2598" s="2">
        <v>1224</v>
      </c>
      <c r="D2598" s="2">
        <v>55</v>
      </c>
      <c r="E2598" s="2">
        <v>354</v>
      </c>
      <c r="F2598" s="2">
        <v>7</v>
      </c>
      <c r="G2598" s="2">
        <v>7</v>
      </c>
      <c r="H2598" s="2">
        <v>870</v>
      </c>
      <c r="I2598" s="2">
        <v>48</v>
      </c>
    </row>
    <row r="2599" spans="1:9" x14ac:dyDescent="0.3">
      <c r="A2599" t="s">
        <v>40</v>
      </c>
      <c r="B2599" s="1">
        <v>45717</v>
      </c>
      <c r="C2599" s="2">
        <v>1169</v>
      </c>
      <c r="D2599" s="2">
        <v>-104</v>
      </c>
      <c r="E2599" s="2">
        <v>347</v>
      </c>
      <c r="F2599" s="2">
        <v>4</v>
      </c>
      <c r="G2599" s="2">
        <v>4</v>
      </c>
      <c r="H2599" s="2">
        <v>822</v>
      </c>
      <c r="I2599" s="2">
        <v>-108</v>
      </c>
    </row>
    <row r="2600" spans="1:9" x14ac:dyDescent="0.3">
      <c r="A2600" t="s">
        <v>40</v>
      </c>
      <c r="B2600" s="1">
        <v>45689</v>
      </c>
      <c r="C2600" s="2">
        <v>1275</v>
      </c>
      <c r="D2600" s="2">
        <v>-111</v>
      </c>
      <c r="E2600" s="2">
        <v>345</v>
      </c>
      <c r="F2600" s="2">
        <v>-56</v>
      </c>
      <c r="G2600" s="2">
        <v>0</v>
      </c>
      <c r="H2600" s="2">
        <v>930</v>
      </c>
      <c r="I2600" s="2">
        <v>-55</v>
      </c>
    </row>
    <row r="2601" spans="1:9" x14ac:dyDescent="0.3">
      <c r="A2601" t="s">
        <v>40</v>
      </c>
      <c r="B2601" s="1">
        <v>45658</v>
      </c>
      <c r="C2601" s="2">
        <v>1396</v>
      </c>
      <c r="D2601" s="2">
        <v>-167</v>
      </c>
      <c r="E2601" s="2">
        <v>411</v>
      </c>
      <c r="F2601" s="2">
        <v>14</v>
      </c>
      <c r="G2601" s="2">
        <v>2</v>
      </c>
      <c r="H2601" s="2">
        <v>985</v>
      </c>
      <c r="I2601" s="2">
        <v>-181</v>
      </c>
    </row>
    <row r="2602" spans="1:9" x14ac:dyDescent="0.3">
      <c r="A2602" t="s">
        <v>40</v>
      </c>
      <c r="B2602" s="1">
        <v>45627</v>
      </c>
      <c r="C2602" s="2">
        <v>1561</v>
      </c>
      <c r="D2602" s="2">
        <v>-275</v>
      </c>
      <c r="E2602" s="2">
        <v>395</v>
      </c>
      <c r="F2602" s="2">
        <v>1</v>
      </c>
      <c r="G2602" s="2">
        <v>5</v>
      </c>
      <c r="H2602" s="2">
        <v>1166</v>
      </c>
      <c r="I2602" s="2">
        <v>-276</v>
      </c>
    </row>
    <row r="2603" spans="1:9" x14ac:dyDescent="0.3">
      <c r="A2603" t="s">
        <v>40</v>
      </c>
      <c r="B2603" s="1">
        <v>45597</v>
      </c>
      <c r="C2603" s="2">
        <v>1844</v>
      </c>
      <c r="D2603" s="2">
        <v>-66</v>
      </c>
      <c r="E2603" s="2">
        <v>402</v>
      </c>
      <c r="F2603" s="2">
        <v>196</v>
      </c>
      <c r="G2603" s="2">
        <v>0</v>
      </c>
      <c r="H2603" s="2">
        <v>1442</v>
      </c>
      <c r="I2603" s="2">
        <v>-262</v>
      </c>
    </row>
    <row r="2604" spans="1:9" x14ac:dyDescent="0.3">
      <c r="A2604" t="s">
        <v>40</v>
      </c>
      <c r="B2604" s="1">
        <v>45566</v>
      </c>
      <c r="C2604" s="2">
        <v>1911</v>
      </c>
      <c r="D2604" s="2">
        <v>56</v>
      </c>
      <c r="E2604" s="2">
        <v>207</v>
      </c>
      <c r="F2604" s="2">
        <v>-4</v>
      </c>
      <c r="G2604" s="2">
        <v>-2</v>
      </c>
      <c r="H2604" s="2">
        <v>1704</v>
      </c>
      <c r="I2604" s="2">
        <v>60</v>
      </c>
    </row>
    <row r="2605" spans="1:9" x14ac:dyDescent="0.3">
      <c r="A2605" t="s">
        <v>40</v>
      </c>
      <c r="B2605" s="1">
        <v>45536</v>
      </c>
      <c r="C2605" s="2">
        <v>1850</v>
      </c>
      <c r="D2605" s="2">
        <v>300</v>
      </c>
      <c r="E2605" s="2">
        <v>206</v>
      </c>
      <c r="F2605" s="2">
        <v>0</v>
      </c>
      <c r="G2605" s="2">
        <v>-5</v>
      </c>
      <c r="H2605" s="2">
        <v>1644</v>
      </c>
      <c r="I2605" s="2">
        <v>300</v>
      </c>
    </row>
    <row r="2606" spans="1:9" x14ac:dyDescent="0.3">
      <c r="A2606" t="s">
        <v>40</v>
      </c>
      <c r="B2606" s="1">
        <v>45505</v>
      </c>
      <c r="C2606" s="2">
        <v>1567</v>
      </c>
      <c r="D2606" s="2">
        <v>134</v>
      </c>
      <c r="E2606" s="2">
        <v>223</v>
      </c>
      <c r="F2606" s="2">
        <v>-5</v>
      </c>
      <c r="G2606" s="2">
        <v>0</v>
      </c>
      <c r="H2606" s="2">
        <v>1344</v>
      </c>
      <c r="I2606" s="2">
        <v>139</v>
      </c>
    </row>
    <row r="2607" spans="1:9" x14ac:dyDescent="0.3">
      <c r="A2607" t="s">
        <v>40</v>
      </c>
      <c r="B2607" s="1">
        <v>45474</v>
      </c>
      <c r="C2607" s="2">
        <v>1431</v>
      </c>
      <c r="D2607" s="2">
        <v>211</v>
      </c>
      <c r="E2607" s="2">
        <v>226</v>
      </c>
      <c r="F2607" s="2">
        <v>-5</v>
      </c>
      <c r="G2607" s="2">
        <v>-4</v>
      </c>
      <c r="H2607" s="2">
        <v>1205</v>
      </c>
      <c r="I2607" s="2">
        <v>216</v>
      </c>
    </row>
    <row r="2608" spans="1:9" x14ac:dyDescent="0.3">
      <c r="A2608" t="s">
        <v>40</v>
      </c>
      <c r="B2608" s="1">
        <v>45444</v>
      </c>
      <c r="C2608" s="2">
        <v>1220</v>
      </c>
      <c r="D2608" s="2">
        <v>-175</v>
      </c>
      <c r="E2608" s="2">
        <v>231</v>
      </c>
      <c r="F2608" s="2">
        <v>12</v>
      </c>
      <c r="G2608" s="2">
        <v>2</v>
      </c>
      <c r="H2608" s="2">
        <v>989</v>
      </c>
      <c r="I2608" s="2">
        <v>-187</v>
      </c>
    </row>
    <row r="2609" spans="1:9" x14ac:dyDescent="0.3">
      <c r="A2609" t="s">
        <v>40</v>
      </c>
      <c r="B2609" s="1">
        <v>45413</v>
      </c>
      <c r="C2609" s="2">
        <v>1405</v>
      </c>
      <c r="D2609" s="2">
        <v>69</v>
      </c>
      <c r="E2609" s="2">
        <v>229</v>
      </c>
      <c r="F2609" s="2">
        <v>36</v>
      </c>
      <c r="G2609" s="2">
        <v>0</v>
      </c>
      <c r="H2609" s="2">
        <v>1176</v>
      </c>
      <c r="I2609" s="2">
        <v>33</v>
      </c>
    </row>
    <row r="2610" spans="1:9" x14ac:dyDescent="0.3">
      <c r="A2610" t="s">
        <v>40</v>
      </c>
      <c r="B2610" s="1">
        <v>45383</v>
      </c>
      <c r="C2610" s="2">
        <v>1361</v>
      </c>
      <c r="D2610" s="2">
        <v>-29</v>
      </c>
      <c r="E2610" s="2">
        <v>218</v>
      </c>
      <c r="F2610" s="2">
        <v>4</v>
      </c>
      <c r="G2610" s="2">
        <v>-1</v>
      </c>
      <c r="H2610" s="2">
        <v>1143</v>
      </c>
      <c r="I2610" s="2">
        <v>-33</v>
      </c>
    </row>
    <row r="2611" spans="1:9" x14ac:dyDescent="0.3">
      <c r="A2611" t="s">
        <v>40</v>
      </c>
      <c r="B2611" s="1">
        <v>45352</v>
      </c>
      <c r="C2611" s="2">
        <v>1400</v>
      </c>
      <c r="D2611" s="2">
        <v>432</v>
      </c>
      <c r="E2611" s="2">
        <v>224</v>
      </c>
      <c r="F2611" s="2">
        <v>9</v>
      </c>
      <c r="G2611" s="2">
        <v>0</v>
      </c>
      <c r="H2611" s="2">
        <v>1176</v>
      </c>
      <c r="I2611" s="2">
        <v>423</v>
      </c>
    </row>
    <row r="2612" spans="1:9" x14ac:dyDescent="0.3">
      <c r="A2612" t="s">
        <v>40</v>
      </c>
      <c r="B2612" s="1">
        <v>45323</v>
      </c>
      <c r="C2612" s="2">
        <v>966</v>
      </c>
      <c r="D2612" s="2">
        <v>136</v>
      </c>
      <c r="E2612" s="2">
        <v>213</v>
      </c>
      <c r="F2612" s="2">
        <v>0</v>
      </c>
      <c r="G2612" s="2">
        <v>1</v>
      </c>
      <c r="H2612" s="2">
        <v>753</v>
      </c>
      <c r="I2612" s="2">
        <v>136</v>
      </c>
    </row>
    <row r="2613" spans="1:9" x14ac:dyDescent="0.3">
      <c r="A2613" t="s">
        <v>40</v>
      </c>
      <c r="B2613" s="1">
        <v>45292</v>
      </c>
      <c r="C2613" s="2">
        <v>830</v>
      </c>
      <c r="D2613" s="2">
        <v>-134</v>
      </c>
      <c r="E2613" s="2">
        <v>213</v>
      </c>
      <c r="F2613" s="2">
        <v>8</v>
      </c>
      <c r="G2613" s="2">
        <v>0</v>
      </c>
      <c r="H2613" s="2">
        <v>617</v>
      </c>
      <c r="I2613" s="2">
        <v>-142</v>
      </c>
    </row>
    <row r="2614" spans="1:9" x14ac:dyDescent="0.3">
      <c r="A2614" t="s">
        <v>40</v>
      </c>
      <c r="B2614" s="1">
        <v>45261</v>
      </c>
      <c r="C2614" s="2">
        <v>989</v>
      </c>
      <c r="D2614" s="2">
        <v>-126</v>
      </c>
      <c r="E2614" s="2">
        <v>230</v>
      </c>
      <c r="F2614" s="2">
        <v>5</v>
      </c>
      <c r="G2614" s="2">
        <v>14</v>
      </c>
      <c r="H2614" s="2">
        <v>759</v>
      </c>
      <c r="I2614" s="2">
        <v>-131</v>
      </c>
    </row>
    <row r="2615" spans="1:9" x14ac:dyDescent="0.3">
      <c r="A2615" t="s">
        <v>40</v>
      </c>
      <c r="B2615" s="1">
        <v>45231</v>
      </c>
      <c r="C2615" s="2">
        <v>1097</v>
      </c>
      <c r="D2615" s="2">
        <v>-98</v>
      </c>
      <c r="E2615" s="2">
        <v>207</v>
      </c>
      <c r="F2615" s="2">
        <v>8</v>
      </c>
      <c r="G2615" s="2">
        <v>1</v>
      </c>
      <c r="H2615" s="2">
        <v>890</v>
      </c>
      <c r="I2615" s="2">
        <v>-106</v>
      </c>
    </row>
    <row r="2616" spans="1:9" x14ac:dyDescent="0.3">
      <c r="A2616" t="s">
        <v>40</v>
      </c>
      <c r="B2616" s="1">
        <v>45200</v>
      </c>
      <c r="C2616" s="2">
        <v>1195</v>
      </c>
      <c r="D2616" s="2">
        <v>-188</v>
      </c>
      <c r="E2616" s="2">
        <v>199</v>
      </c>
      <c r="F2616" s="2">
        <v>-5</v>
      </c>
      <c r="G2616" s="2">
        <v>1</v>
      </c>
      <c r="H2616" s="2">
        <v>996</v>
      </c>
      <c r="I2616" s="2">
        <v>-183</v>
      </c>
    </row>
    <row r="2617" spans="1:9" x14ac:dyDescent="0.3">
      <c r="A2617" t="s">
        <v>40</v>
      </c>
      <c r="B2617" s="1">
        <v>45170</v>
      </c>
      <c r="C2617" s="2">
        <v>1392</v>
      </c>
      <c r="D2617" s="2">
        <v>14</v>
      </c>
      <c r="E2617" s="2">
        <v>213</v>
      </c>
      <c r="F2617" s="2">
        <v>5</v>
      </c>
      <c r="G2617" s="2">
        <v>0</v>
      </c>
      <c r="H2617" s="2">
        <v>1179</v>
      </c>
      <c r="I2617" s="2">
        <v>9</v>
      </c>
    </row>
    <row r="2618" spans="1:9" x14ac:dyDescent="0.3">
      <c r="A2618" t="s">
        <v>40</v>
      </c>
      <c r="B2618" s="1">
        <v>45139</v>
      </c>
      <c r="C2618" s="2">
        <v>1373</v>
      </c>
      <c r="D2618" s="2">
        <v>16</v>
      </c>
      <c r="E2618" s="2">
        <v>203</v>
      </c>
      <c r="F2618" s="2">
        <v>4</v>
      </c>
      <c r="G2618" s="2">
        <v>2</v>
      </c>
      <c r="H2618" s="2">
        <v>1170</v>
      </c>
      <c r="I2618" s="2">
        <v>12</v>
      </c>
    </row>
    <row r="2619" spans="1:9" x14ac:dyDescent="0.3">
      <c r="A2619" t="s">
        <v>40</v>
      </c>
      <c r="B2619" s="1">
        <v>45108</v>
      </c>
      <c r="C2619" s="2">
        <v>1355</v>
      </c>
      <c r="D2619" s="2">
        <v>115</v>
      </c>
      <c r="E2619" s="2">
        <v>197</v>
      </c>
      <c r="F2619" s="2">
        <v>5</v>
      </c>
      <c r="G2619" s="2">
        <v>0</v>
      </c>
      <c r="H2619" s="2">
        <v>1158</v>
      </c>
      <c r="I2619" s="2">
        <v>110</v>
      </c>
    </row>
    <row r="2620" spans="1:9" x14ac:dyDescent="0.3">
      <c r="A2620" t="s">
        <v>40</v>
      </c>
      <c r="B2620" s="1">
        <v>45078</v>
      </c>
      <c r="C2620" s="2">
        <v>1250</v>
      </c>
      <c r="D2620" s="2">
        <v>213</v>
      </c>
      <c r="E2620" s="2">
        <v>202</v>
      </c>
      <c r="F2620" s="2">
        <v>10</v>
      </c>
      <c r="G2620" s="2">
        <v>0</v>
      </c>
      <c r="H2620" s="2">
        <v>1048</v>
      </c>
      <c r="I2620" s="2">
        <v>203</v>
      </c>
    </row>
    <row r="2621" spans="1:9" x14ac:dyDescent="0.3">
      <c r="A2621" t="s">
        <v>40</v>
      </c>
      <c r="B2621" s="1">
        <v>45047</v>
      </c>
      <c r="C2621" s="2">
        <v>1037</v>
      </c>
      <c r="D2621" s="2">
        <v>202</v>
      </c>
      <c r="E2621" s="2">
        <v>192</v>
      </c>
      <c r="F2621" s="2">
        <v>-5</v>
      </c>
      <c r="G2621" s="2">
        <v>0</v>
      </c>
      <c r="H2621" s="2">
        <v>845</v>
      </c>
      <c r="I2621" s="2">
        <v>207</v>
      </c>
    </row>
    <row r="2622" spans="1:9" x14ac:dyDescent="0.3">
      <c r="A2622" t="s">
        <v>40</v>
      </c>
      <c r="B2622" s="1">
        <v>45017</v>
      </c>
      <c r="C2622" s="2">
        <v>833</v>
      </c>
      <c r="D2622" s="2">
        <v>331</v>
      </c>
      <c r="E2622" s="2">
        <v>195</v>
      </c>
      <c r="F2622" s="2">
        <v>10</v>
      </c>
      <c r="G2622" s="2">
        <v>0</v>
      </c>
      <c r="H2622" s="2">
        <v>638</v>
      </c>
      <c r="I2622" s="2">
        <v>321</v>
      </c>
    </row>
    <row r="2623" spans="1:9" x14ac:dyDescent="0.3">
      <c r="A2623" t="s">
        <v>40</v>
      </c>
      <c r="B2623" s="1">
        <v>44986</v>
      </c>
      <c r="C2623" s="2">
        <v>499</v>
      </c>
      <c r="D2623" s="2">
        <v>-95</v>
      </c>
      <c r="E2623" s="2">
        <v>182</v>
      </c>
      <c r="F2623" s="2">
        <v>9</v>
      </c>
      <c r="G2623" s="2">
        <v>2</v>
      </c>
      <c r="H2623" s="2">
        <v>317</v>
      </c>
      <c r="I2623" s="2">
        <v>-104</v>
      </c>
    </row>
    <row r="2624" spans="1:9" x14ac:dyDescent="0.3">
      <c r="A2624" t="s">
        <v>40</v>
      </c>
      <c r="B2624" s="1">
        <v>44958</v>
      </c>
      <c r="C2624" s="2">
        <v>595</v>
      </c>
      <c r="D2624" s="2">
        <v>308</v>
      </c>
      <c r="E2624" s="2">
        <v>174</v>
      </c>
      <c r="F2624" s="2">
        <v>4</v>
      </c>
      <c r="G2624" s="2">
        <v>3</v>
      </c>
      <c r="H2624" s="2">
        <v>421</v>
      </c>
      <c r="I2624" s="2">
        <v>304</v>
      </c>
    </row>
    <row r="2625" spans="1:9" hidden="1" x14ac:dyDescent="0.3">
      <c r="A2625" t="s">
        <v>40</v>
      </c>
      <c r="B2625" s="1">
        <v>44927</v>
      </c>
      <c r="C2625" s="2">
        <v>291</v>
      </c>
      <c r="D2625" s="2" t="s">
        <v>3</v>
      </c>
      <c r="E2625" s="2">
        <v>174</v>
      </c>
      <c r="F2625" s="2" t="s">
        <v>3</v>
      </c>
      <c r="G2625" s="2" t="s">
        <v>3</v>
      </c>
      <c r="H2625" s="2">
        <v>117</v>
      </c>
      <c r="I2625" s="2">
        <v>-200</v>
      </c>
    </row>
    <row r="2626" spans="1:9" hidden="1" x14ac:dyDescent="0.3">
      <c r="A2626" t="s">
        <v>40</v>
      </c>
      <c r="B2626" s="1">
        <v>44896</v>
      </c>
      <c r="C2626" s="2">
        <v>487</v>
      </c>
      <c r="D2626" s="2" t="s">
        <v>3</v>
      </c>
      <c r="E2626" s="2">
        <v>170</v>
      </c>
      <c r="F2626" s="2" t="s">
        <v>3</v>
      </c>
      <c r="G2626" s="2" t="s">
        <v>3</v>
      </c>
      <c r="H2626" s="2">
        <v>317</v>
      </c>
      <c r="I2626" s="2">
        <v>1</v>
      </c>
    </row>
    <row r="2627" spans="1:9" hidden="1" x14ac:dyDescent="0.3">
      <c r="A2627" t="s">
        <v>40</v>
      </c>
      <c r="B2627" s="1">
        <v>44866</v>
      </c>
      <c r="C2627" s="2">
        <v>474</v>
      </c>
      <c r="D2627" s="2" t="s">
        <v>3</v>
      </c>
      <c r="E2627" s="2">
        <v>158</v>
      </c>
      <c r="F2627" s="2" t="s">
        <v>3</v>
      </c>
      <c r="G2627" s="2" t="s">
        <v>3</v>
      </c>
      <c r="H2627" s="2">
        <v>316</v>
      </c>
      <c r="I2627" s="2">
        <v>213</v>
      </c>
    </row>
    <row r="2628" spans="1:9" hidden="1" x14ac:dyDescent="0.3">
      <c r="A2628" t="s">
        <v>40</v>
      </c>
      <c r="B2628" s="1">
        <v>44835</v>
      </c>
      <c r="C2628" s="2">
        <v>253</v>
      </c>
      <c r="D2628" s="2" t="s">
        <v>3</v>
      </c>
      <c r="E2628" s="2">
        <v>150</v>
      </c>
      <c r="F2628" s="2" t="s">
        <v>3</v>
      </c>
      <c r="G2628" s="2" t="s">
        <v>3</v>
      </c>
      <c r="H2628" s="2">
        <v>103</v>
      </c>
      <c r="I2628" s="2">
        <v>18</v>
      </c>
    </row>
    <row r="2629" spans="1:9" hidden="1" x14ac:dyDescent="0.3">
      <c r="A2629" t="s">
        <v>40</v>
      </c>
      <c r="B2629" s="1">
        <v>44805</v>
      </c>
      <c r="C2629" s="2">
        <v>229</v>
      </c>
      <c r="D2629" s="2" t="s">
        <v>3</v>
      </c>
      <c r="E2629" s="2">
        <v>144</v>
      </c>
      <c r="F2629" s="2" t="s">
        <v>3</v>
      </c>
      <c r="G2629" s="2" t="s">
        <v>3</v>
      </c>
      <c r="H2629" s="2">
        <v>85</v>
      </c>
      <c r="I2629" s="2">
        <v>15</v>
      </c>
    </row>
    <row r="2630" spans="1:9" hidden="1" x14ac:dyDescent="0.3">
      <c r="A2630" t="s">
        <v>40</v>
      </c>
      <c r="B2630" s="1">
        <v>44774</v>
      </c>
      <c r="C2630" s="2">
        <v>207</v>
      </c>
      <c r="D2630" s="2" t="s">
        <v>3</v>
      </c>
      <c r="E2630" s="2">
        <v>137</v>
      </c>
      <c r="F2630" s="2" t="s">
        <v>3</v>
      </c>
      <c r="G2630" s="2" t="s">
        <v>3</v>
      </c>
      <c r="H2630" s="2">
        <v>70</v>
      </c>
      <c r="I2630" s="2">
        <v>11</v>
      </c>
    </row>
    <row r="2631" spans="1:9" hidden="1" x14ac:dyDescent="0.3">
      <c r="A2631" t="s">
        <v>40</v>
      </c>
      <c r="B2631" s="1">
        <v>44743</v>
      </c>
      <c r="C2631" s="2">
        <v>191</v>
      </c>
      <c r="D2631" s="2" t="s">
        <v>3</v>
      </c>
      <c r="E2631" s="2">
        <v>132</v>
      </c>
      <c r="F2631" s="2" t="s">
        <v>3</v>
      </c>
      <c r="G2631" s="2" t="s">
        <v>3</v>
      </c>
      <c r="H2631" s="2">
        <v>59</v>
      </c>
      <c r="I2631" s="2">
        <v>-1</v>
      </c>
    </row>
    <row r="2632" spans="1:9" hidden="1" x14ac:dyDescent="0.3">
      <c r="A2632" t="s">
        <v>40</v>
      </c>
      <c r="B2632" s="1">
        <v>44713</v>
      </c>
      <c r="C2632" s="2">
        <v>187</v>
      </c>
      <c r="D2632" s="2" t="s">
        <v>3</v>
      </c>
      <c r="E2632" s="2">
        <v>127</v>
      </c>
      <c r="F2632" s="2" t="s">
        <v>3</v>
      </c>
      <c r="G2632" s="2" t="s">
        <v>3</v>
      </c>
      <c r="H2632" s="2">
        <v>60</v>
      </c>
      <c r="I2632" s="2">
        <v>4</v>
      </c>
    </row>
    <row r="2633" spans="1:9" hidden="1" x14ac:dyDescent="0.3">
      <c r="A2633" t="s">
        <v>40</v>
      </c>
      <c r="B2633" s="1">
        <v>44682</v>
      </c>
      <c r="C2633" s="2">
        <v>179</v>
      </c>
      <c r="D2633" s="2" t="s">
        <v>3</v>
      </c>
      <c r="E2633" s="2">
        <v>123</v>
      </c>
      <c r="F2633" s="2" t="s">
        <v>3</v>
      </c>
      <c r="G2633" s="2" t="s">
        <v>3</v>
      </c>
      <c r="H2633" s="2">
        <v>56</v>
      </c>
      <c r="I2633" s="2">
        <v>-3</v>
      </c>
    </row>
    <row r="2634" spans="1:9" hidden="1" x14ac:dyDescent="0.3">
      <c r="A2634" t="s">
        <v>40</v>
      </c>
      <c r="B2634" s="1">
        <v>44652</v>
      </c>
      <c r="C2634" s="2">
        <v>175</v>
      </c>
      <c r="D2634" s="2" t="s">
        <v>3</v>
      </c>
      <c r="E2634" s="2">
        <v>116</v>
      </c>
      <c r="F2634" s="2" t="s">
        <v>3</v>
      </c>
      <c r="G2634" s="2" t="s">
        <v>3</v>
      </c>
      <c r="H2634" s="2">
        <v>59</v>
      </c>
      <c r="I2634" s="2">
        <v>7</v>
      </c>
    </row>
    <row r="2635" spans="1:9" hidden="1" x14ac:dyDescent="0.3">
      <c r="A2635" t="s">
        <v>40</v>
      </c>
      <c r="B2635" s="1">
        <v>44621</v>
      </c>
      <c r="C2635" s="2">
        <v>165</v>
      </c>
      <c r="D2635" s="2" t="s">
        <v>3</v>
      </c>
      <c r="E2635" s="2">
        <v>113</v>
      </c>
      <c r="F2635" s="2" t="s">
        <v>3</v>
      </c>
      <c r="G2635" s="2" t="s">
        <v>3</v>
      </c>
      <c r="H2635" s="2">
        <v>52</v>
      </c>
      <c r="I2635" s="2">
        <v>6</v>
      </c>
    </row>
    <row r="2636" spans="1:9" hidden="1" x14ac:dyDescent="0.3">
      <c r="A2636" t="s">
        <v>40</v>
      </c>
      <c r="B2636" s="1">
        <v>44593</v>
      </c>
      <c r="C2636" s="2">
        <v>161</v>
      </c>
      <c r="D2636" s="2" t="s">
        <v>3</v>
      </c>
      <c r="E2636" s="2">
        <v>115</v>
      </c>
      <c r="F2636" s="2" t="s">
        <v>3</v>
      </c>
      <c r="G2636" s="2" t="s">
        <v>3</v>
      </c>
      <c r="H2636" s="2">
        <v>46</v>
      </c>
      <c r="I2636" s="2">
        <v>6</v>
      </c>
    </row>
    <row r="2637" spans="1:9" hidden="1" x14ac:dyDescent="0.3">
      <c r="A2637" t="s">
        <v>40</v>
      </c>
      <c r="B2637" s="1">
        <v>44562</v>
      </c>
      <c r="C2637" s="2">
        <v>157</v>
      </c>
      <c r="D2637" s="2" t="s">
        <v>3</v>
      </c>
      <c r="E2637" s="2">
        <v>117</v>
      </c>
      <c r="F2637" s="2" t="s">
        <v>3</v>
      </c>
      <c r="G2637" s="2" t="s">
        <v>3</v>
      </c>
      <c r="H2637" s="2">
        <v>40</v>
      </c>
      <c r="I2637" s="2">
        <v>-1</v>
      </c>
    </row>
    <row r="2638" spans="1:9" hidden="1" x14ac:dyDescent="0.3">
      <c r="A2638" t="s">
        <v>40</v>
      </c>
      <c r="B2638" s="1">
        <v>44531</v>
      </c>
      <c r="C2638" s="2">
        <v>162</v>
      </c>
      <c r="D2638" s="2" t="s">
        <v>3</v>
      </c>
      <c r="E2638" s="2">
        <v>121</v>
      </c>
      <c r="F2638" s="2" t="s">
        <v>3</v>
      </c>
      <c r="G2638" s="2" t="s">
        <v>3</v>
      </c>
      <c r="H2638" s="2">
        <v>41</v>
      </c>
      <c r="I2638" s="2">
        <v>6</v>
      </c>
    </row>
    <row r="2639" spans="1:9" hidden="1" x14ac:dyDescent="0.3">
      <c r="A2639" t="s">
        <v>40</v>
      </c>
      <c r="B2639" s="1">
        <v>44501</v>
      </c>
      <c r="C2639" s="2">
        <v>169</v>
      </c>
      <c r="D2639" s="2" t="s">
        <v>3</v>
      </c>
      <c r="E2639" s="2">
        <v>134</v>
      </c>
      <c r="F2639" s="2" t="s">
        <v>3</v>
      </c>
      <c r="G2639" s="2" t="s">
        <v>3</v>
      </c>
      <c r="H2639" s="2">
        <v>35</v>
      </c>
      <c r="I2639" s="2">
        <v>-4</v>
      </c>
    </row>
    <row r="2640" spans="1:9" hidden="1" x14ac:dyDescent="0.3">
      <c r="A2640" t="s">
        <v>40</v>
      </c>
      <c r="B2640" s="1">
        <v>44470</v>
      </c>
      <c r="C2640" s="2">
        <v>173</v>
      </c>
      <c r="D2640" s="2" t="s">
        <v>3</v>
      </c>
      <c r="E2640" s="2">
        <v>134</v>
      </c>
      <c r="F2640" s="2" t="s">
        <v>3</v>
      </c>
      <c r="G2640" s="2" t="s">
        <v>3</v>
      </c>
      <c r="H2640" s="2">
        <v>39</v>
      </c>
      <c r="I2640" s="2">
        <v>-2</v>
      </c>
    </row>
    <row r="2641" spans="1:9" hidden="1" x14ac:dyDescent="0.3">
      <c r="A2641" t="s">
        <v>40</v>
      </c>
      <c r="B2641" s="1">
        <v>44440</v>
      </c>
      <c r="C2641" s="2">
        <v>175</v>
      </c>
      <c r="D2641" s="2" t="s">
        <v>3</v>
      </c>
      <c r="E2641" s="2">
        <v>134</v>
      </c>
      <c r="F2641" s="2" t="s">
        <v>3</v>
      </c>
      <c r="G2641" s="2" t="s">
        <v>3</v>
      </c>
      <c r="H2641" s="2">
        <v>41</v>
      </c>
      <c r="I2641" s="2">
        <v>-4</v>
      </c>
    </row>
    <row r="2642" spans="1:9" hidden="1" x14ac:dyDescent="0.3">
      <c r="A2642" t="s">
        <v>40</v>
      </c>
      <c r="B2642" s="1">
        <v>44409</v>
      </c>
      <c r="C2642" s="2">
        <v>185</v>
      </c>
      <c r="D2642" s="2" t="s">
        <v>3</v>
      </c>
      <c r="E2642" s="2">
        <v>140</v>
      </c>
      <c r="F2642" s="2" t="s">
        <v>3</v>
      </c>
      <c r="G2642" s="2" t="s">
        <v>3</v>
      </c>
      <c r="H2642" s="2">
        <v>45</v>
      </c>
      <c r="I2642" s="2">
        <v>0</v>
      </c>
    </row>
    <row r="2643" spans="1:9" hidden="1" x14ac:dyDescent="0.3">
      <c r="A2643" t="s">
        <v>40</v>
      </c>
      <c r="B2643" s="1">
        <v>44378</v>
      </c>
      <c r="C2643" s="2">
        <v>171</v>
      </c>
      <c r="D2643" s="2" t="s">
        <v>3</v>
      </c>
      <c r="E2643" s="2">
        <v>126</v>
      </c>
      <c r="F2643" s="2" t="s">
        <v>3</v>
      </c>
      <c r="G2643" s="2" t="s">
        <v>3</v>
      </c>
      <c r="H2643" s="2">
        <v>45</v>
      </c>
      <c r="I2643" s="2">
        <v>1</v>
      </c>
    </row>
    <row r="2644" spans="1:9" hidden="1" x14ac:dyDescent="0.3">
      <c r="A2644" t="s">
        <v>40</v>
      </c>
      <c r="B2644" s="1">
        <v>44348</v>
      </c>
      <c r="C2644" s="2">
        <v>168</v>
      </c>
      <c r="D2644" s="2" t="s">
        <v>3</v>
      </c>
      <c r="E2644" s="2">
        <v>124</v>
      </c>
      <c r="F2644" s="2" t="s">
        <v>3</v>
      </c>
      <c r="G2644" s="2" t="s">
        <v>3</v>
      </c>
      <c r="H2644" s="2">
        <v>44</v>
      </c>
      <c r="I2644" s="2">
        <v>-1</v>
      </c>
    </row>
    <row r="2645" spans="1:9" hidden="1" x14ac:dyDescent="0.3">
      <c r="A2645" t="s">
        <v>40</v>
      </c>
      <c r="B2645" s="1">
        <v>44317</v>
      </c>
      <c r="C2645" s="2">
        <v>169</v>
      </c>
      <c r="D2645" s="2" t="s">
        <v>3</v>
      </c>
      <c r="E2645" s="2">
        <v>124</v>
      </c>
      <c r="F2645" s="2" t="s">
        <v>3</v>
      </c>
      <c r="G2645" s="2" t="s">
        <v>3</v>
      </c>
      <c r="H2645" s="2">
        <v>45</v>
      </c>
      <c r="I2645" s="2">
        <v>2</v>
      </c>
    </row>
    <row r="2646" spans="1:9" hidden="1" x14ac:dyDescent="0.3">
      <c r="A2646" t="s">
        <v>40</v>
      </c>
      <c r="B2646" s="1">
        <v>44287</v>
      </c>
      <c r="C2646" s="2">
        <v>166</v>
      </c>
      <c r="D2646" s="2" t="s">
        <v>3</v>
      </c>
      <c r="E2646" s="2">
        <v>123</v>
      </c>
      <c r="F2646" s="2" t="s">
        <v>3</v>
      </c>
      <c r="G2646" s="2" t="s">
        <v>3</v>
      </c>
      <c r="H2646" s="2">
        <v>43</v>
      </c>
      <c r="I2646" s="2">
        <v>-13</v>
      </c>
    </row>
    <row r="2647" spans="1:9" hidden="1" x14ac:dyDescent="0.3">
      <c r="A2647" t="s">
        <v>40</v>
      </c>
      <c r="B2647" s="1">
        <v>44256</v>
      </c>
      <c r="C2647" s="2">
        <v>179</v>
      </c>
      <c r="D2647" s="2" t="s">
        <v>3</v>
      </c>
      <c r="E2647" s="2">
        <v>123</v>
      </c>
      <c r="F2647" s="2" t="s">
        <v>3</v>
      </c>
      <c r="G2647" s="2" t="s">
        <v>3</v>
      </c>
      <c r="H2647" s="2">
        <v>56</v>
      </c>
      <c r="I2647" s="2">
        <v>0</v>
      </c>
    </row>
    <row r="2648" spans="1:9" hidden="1" x14ac:dyDescent="0.3">
      <c r="A2648" t="s">
        <v>40</v>
      </c>
      <c r="B2648" s="1">
        <v>44228</v>
      </c>
      <c r="C2648" s="2">
        <v>180</v>
      </c>
      <c r="D2648" s="2" t="s">
        <v>3</v>
      </c>
      <c r="E2648" s="2">
        <v>124</v>
      </c>
      <c r="F2648" s="2" t="s">
        <v>3</v>
      </c>
      <c r="G2648" s="2" t="s">
        <v>3</v>
      </c>
      <c r="H2648" s="2">
        <v>56</v>
      </c>
      <c r="I2648" s="2">
        <v>17</v>
      </c>
    </row>
    <row r="2649" spans="1:9" hidden="1" x14ac:dyDescent="0.3">
      <c r="A2649" t="s">
        <v>40</v>
      </c>
      <c r="B2649" s="1">
        <v>44197</v>
      </c>
      <c r="C2649" s="2">
        <v>188</v>
      </c>
      <c r="D2649" s="2" t="s">
        <v>3</v>
      </c>
      <c r="E2649" s="2">
        <v>149</v>
      </c>
      <c r="F2649" s="2" t="s">
        <v>3</v>
      </c>
      <c r="G2649" s="2" t="s">
        <v>3</v>
      </c>
      <c r="H2649" s="2">
        <v>39</v>
      </c>
      <c r="I2649" s="2">
        <v>-37</v>
      </c>
    </row>
    <row r="2650" spans="1:9" hidden="1" x14ac:dyDescent="0.3">
      <c r="A2650" t="s">
        <v>40</v>
      </c>
      <c r="B2650" s="1">
        <v>44166</v>
      </c>
      <c r="C2650" s="2">
        <v>225</v>
      </c>
      <c r="D2650" s="2" t="s">
        <v>3</v>
      </c>
      <c r="E2650" s="2">
        <v>149</v>
      </c>
      <c r="F2650" s="2" t="s">
        <v>3</v>
      </c>
      <c r="G2650" s="2" t="s">
        <v>3</v>
      </c>
      <c r="H2650" s="2">
        <v>76</v>
      </c>
      <c r="I2650" s="2">
        <v>-16</v>
      </c>
    </row>
    <row r="2651" spans="1:9" hidden="1" x14ac:dyDescent="0.3">
      <c r="A2651" t="s">
        <v>40</v>
      </c>
      <c r="B2651" s="1">
        <v>44136</v>
      </c>
      <c r="C2651" s="2">
        <v>242</v>
      </c>
      <c r="D2651" s="2" t="s">
        <v>3</v>
      </c>
      <c r="E2651" s="2">
        <v>150</v>
      </c>
      <c r="F2651" s="2" t="s">
        <v>3</v>
      </c>
      <c r="G2651" s="2" t="s">
        <v>3</v>
      </c>
      <c r="H2651" s="2">
        <v>92</v>
      </c>
      <c r="I2651" s="2">
        <v>0</v>
      </c>
    </row>
    <row r="2652" spans="1:9" hidden="1" x14ac:dyDescent="0.3">
      <c r="A2652" t="s">
        <v>40</v>
      </c>
      <c r="B2652" s="1">
        <v>44105</v>
      </c>
      <c r="C2652" s="2">
        <v>244</v>
      </c>
      <c r="D2652" s="2" t="s">
        <v>3</v>
      </c>
      <c r="E2652" s="2">
        <v>152</v>
      </c>
      <c r="F2652" s="2" t="s">
        <v>3</v>
      </c>
      <c r="G2652" s="2" t="s">
        <v>3</v>
      </c>
      <c r="H2652" s="2">
        <v>92</v>
      </c>
      <c r="I2652" s="2">
        <v>3</v>
      </c>
    </row>
    <row r="2653" spans="1:9" hidden="1" x14ac:dyDescent="0.3">
      <c r="A2653" t="s">
        <v>40</v>
      </c>
      <c r="B2653" s="1">
        <v>44075</v>
      </c>
      <c r="C2653" s="2">
        <v>245</v>
      </c>
      <c r="D2653" s="2" t="s">
        <v>3</v>
      </c>
      <c r="E2653" s="2">
        <v>156</v>
      </c>
      <c r="F2653" s="2" t="s">
        <v>3</v>
      </c>
      <c r="G2653" s="2" t="s">
        <v>3</v>
      </c>
      <c r="H2653" s="2">
        <v>89</v>
      </c>
      <c r="I2653" s="2">
        <v>-5</v>
      </c>
    </row>
    <row r="2654" spans="1:9" hidden="1" x14ac:dyDescent="0.3">
      <c r="A2654" t="s">
        <v>40</v>
      </c>
      <c r="B2654" s="1">
        <v>44044</v>
      </c>
      <c r="C2654" s="2">
        <v>250</v>
      </c>
      <c r="D2654" s="2" t="s">
        <v>3</v>
      </c>
      <c r="E2654" s="2">
        <v>156</v>
      </c>
      <c r="F2654" s="2" t="s">
        <v>3</v>
      </c>
      <c r="G2654" s="2" t="s">
        <v>3</v>
      </c>
      <c r="H2654" s="2">
        <v>94</v>
      </c>
      <c r="I2654" s="2">
        <v>18</v>
      </c>
    </row>
    <row r="2655" spans="1:9" hidden="1" x14ac:dyDescent="0.3">
      <c r="A2655" t="s">
        <v>40</v>
      </c>
      <c r="B2655" s="1">
        <v>44013</v>
      </c>
      <c r="C2655" s="2">
        <v>235</v>
      </c>
      <c r="D2655" s="2" t="s">
        <v>3</v>
      </c>
      <c r="E2655" s="2">
        <v>159</v>
      </c>
      <c r="F2655" s="2" t="s">
        <v>3</v>
      </c>
      <c r="G2655" s="2" t="s">
        <v>3</v>
      </c>
      <c r="H2655" s="2">
        <v>76</v>
      </c>
      <c r="I2655" s="2">
        <v>-67</v>
      </c>
    </row>
    <row r="2656" spans="1:9" hidden="1" x14ac:dyDescent="0.3">
      <c r="A2656" t="s">
        <v>40</v>
      </c>
      <c r="B2656" s="1">
        <v>43983</v>
      </c>
      <c r="C2656" s="2">
        <v>304</v>
      </c>
      <c r="D2656" s="2" t="s">
        <v>3</v>
      </c>
      <c r="E2656" s="2">
        <v>161</v>
      </c>
      <c r="F2656" s="2" t="s">
        <v>3</v>
      </c>
      <c r="G2656" s="2" t="s">
        <v>3</v>
      </c>
      <c r="H2656" s="2">
        <v>143</v>
      </c>
      <c r="I2656" s="2">
        <v>-11</v>
      </c>
    </row>
    <row r="2657" spans="1:9" hidden="1" x14ac:dyDescent="0.3">
      <c r="A2657" t="s">
        <v>40</v>
      </c>
      <c r="B2657" s="1">
        <v>43952</v>
      </c>
      <c r="C2657" s="2">
        <v>326</v>
      </c>
      <c r="D2657" s="2" t="s">
        <v>3</v>
      </c>
      <c r="E2657" s="2">
        <v>172</v>
      </c>
      <c r="F2657" s="2" t="s">
        <v>3</v>
      </c>
      <c r="G2657" s="2" t="s">
        <v>3</v>
      </c>
      <c r="H2657" s="2">
        <v>154</v>
      </c>
      <c r="I2657" s="2">
        <v>-27</v>
      </c>
    </row>
    <row r="2658" spans="1:9" hidden="1" x14ac:dyDescent="0.3">
      <c r="A2658" t="s">
        <v>40</v>
      </c>
      <c r="B2658" s="1">
        <v>43922</v>
      </c>
      <c r="C2658" s="2">
        <v>355</v>
      </c>
      <c r="D2658" s="2" t="s">
        <v>3</v>
      </c>
      <c r="E2658" s="2">
        <v>174</v>
      </c>
      <c r="F2658" s="2" t="s">
        <v>3</v>
      </c>
      <c r="G2658" s="2" t="s">
        <v>3</v>
      </c>
      <c r="H2658" s="2">
        <v>181</v>
      </c>
      <c r="I2658" s="2">
        <v>14</v>
      </c>
    </row>
    <row r="2659" spans="1:9" hidden="1" x14ac:dyDescent="0.3">
      <c r="A2659" t="s">
        <v>40</v>
      </c>
      <c r="B2659" s="1">
        <v>43891</v>
      </c>
      <c r="C2659" s="2">
        <v>341</v>
      </c>
      <c r="D2659" s="2" t="s">
        <v>3</v>
      </c>
      <c r="E2659" s="2">
        <v>174</v>
      </c>
      <c r="F2659" s="2" t="s">
        <v>3</v>
      </c>
      <c r="G2659" s="2" t="s">
        <v>3</v>
      </c>
      <c r="H2659" s="2">
        <v>167</v>
      </c>
      <c r="I2659" s="2">
        <v>-52</v>
      </c>
    </row>
    <row r="2660" spans="1:9" hidden="1" x14ac:dyDescent="0.3">
      <c r="A2660" t="s">
        <v>40</v>
      </c>
      <c r="B2660" s="1">
        <v>43862</v>
      </c>
      <c r="C2660" s="2">
        <v>362</v>
      </c>
      <c r="D2660" s="2" t="s">
        <v>3</v>
      </c>
      <c r="E2660" s="2">
        <v>143</v>
      </c>
      <c r="F2660" s="2" t="s">
        <v>3</v>
      </c>
      <c r="G2660" s="2" t="s">
        <v>3</v>
      </c>
      <c r="H2660" s="2">
        <v>219</v>
      </c>
      <c r="I2660" s="2">
        <v>11</v>
      </c>
    </row>
    <row r="2661" spans="1:9" hidden="1" x14ac:dyDescent="0.3">
      <c r="A2661" t="s">
        <v>40</v>
      </c>
      <c r="B2661" s="1">
        <v>43831</v>
      </c>
      <c r="C2661" s="2">
        <v>357</v>
      </c>
      <c r="D2661" s="2" t="s">
        <v>3</v>
      </c>
      <c r="E2661" s="2">
        <v>149</v>
      </c>
      <c r="F2661" s="2" t="s">
        <v>3</v>
      </c>
      <c r="G2661" s="2" t="s">
        <v>3</v>
      </c>
      <c r="H2661" s="2">
        <v>208</v>
      </c>
      <c r="I2661" s="2">
        <v>34</v>
      </c>
    </row>
    <row r="2662" spans="1:9" x14ac:dyDescent="0.3">
      <c r="A2662" t="s">
        <v>41</v>
      </c>
      <c r="B2662" s="1">
        <v>45931</v>
      </c>
      <c r="C2662" s="2">
        <v>16882</v>
      </c>
      <c r="D2662" s="2">
        <v>1481</v>
      </c>
      <c r="E2662" s="2">
        <v>16270</v>
      </c>
      <c r="F2662" s="2">
        <v>1117</v>
      </c>
      <c r="G2662" s="2">
        <v>8</v>
      </c>
      <c r="H2662" s="2">
        <v>612</v>
      </c>
      <c r="I2662" s="2">
        <v>364</v>
      </c>
    </row>
    <row r="2663" spans="1:9" x14ac:dyDescent="0.3">
      <c r="A2663" t="s">
        <v>41</v>
      </c>
      <c r="B2663" s="1">
        <v>45901</v>
      </c>
      <c r="C2663" s="2">
        <v>15275</v>
      </c>
      <c r="D2663" s="2">
        <v>-584</v>
      </c>
      <c r="E2663" s="2">
        <v>15027</v>
      </c>
      <c r="F2663" s="2">
        <v>667</v>
      </c>
      <c r="G2663" s="2">
        <v>6</v>
      </c>
      <c r="H2663" s="2">
        <v>248</v>
      </c>
      <c r="I2663" s="2">
        <v>-1251</v>
      </c>
    </row>
    <row r="2664" spans="1:9" x14ac:dyDescent="0.3">
      <c r="A2664" t="s">
        <v>41</v>
      </c>
      <c r="B2664" s="1">
        <v>45870</v>
      </c>
      <c r="C2664" s="2">
        <v>15947</v>
      </c>
      <c r="D2664" s="2">
        <v>2147</v>
      </c>
      <c r="E2664" s="2">
        <v>14448</v>
      </c>
      <c r="F2664" s="2">
        <v>1132</v>
      </c>
      <c r="G2664" s="2">
        <v>91</v>
      </c>
      <c r="H2664" s="2">
        <v>1499</v>
      </c>
      <c r="I2664" s="2">
        <v>1015</v>
      </c>
    </row>
    <row r="2665" spans="1:9" x14ac:dyDescent="0.3">
      <c r="A2665" t="s">
        <v>41</v>
      </c>
      <c r="B2665" s="1">
        <v>45839</v>
      </c>
      <c r="C2665" s="2">
        <v>13709</v>
      </c>
      <c r="D2665" s="2">
        <v>-64</v>
      </c>
      <c r="E2665" s="2">
        <v>13225</v>
      </c>
      <c r="F2665" s="2">
        <v>-30</v>
      </c>
      <c r="G2665" s="2">
        <v>-53</v>
      </c>
      <c r="H2665" s="2">
        <v>484</v>
      </c>
      <c r="I2665" s="2">
        <v>-34</v>
      </c>
    </row>
    <row r="2666" spans="1:9" x14ac:dyDescent="0.3">
      <c r="A2666" t="s">
        <v>41</v>
      </c>
      <c r="B2666" s="1">
        <v>45809</v>
      </c>
      <c r="C2666" s="2">
        <v>13764</v>
      </c>
      <c r="D2666" s="2">
        <v>243</v>
      </c>
      <c r="E2666" s="2">
        <v>13246</v>
      </c>
      <c r="F2666" s="2">
        <v>325</v>
      </c>
      <c r="G2666" s="2">
        <v>55</v>
      </c>
      <c r="H2666" s="2">
        <v>518</v>
      </c>
      <c r="I2666" s="2">
        <v>-82</v>
      </c>
    </row>
    <row r="2667" spans="1:9" x14ac:dyDescent="0.3">
      <c r="A2667" t="s">
        <v>41</v>
      </c>
      <c r="B2667" s="1">
        <v>45778</v>
      </c>
      <c r="C2667" s="2">
        <v>13560</v>
      </c>
      <c r="D2667" s="2">
        <v>387</v>
      </c>
      <c r="E2667" s="2">
        <v>12960</v>
      </c>
      <c r="F2667" s="2">
        <v>590</v>
      </c>
      <c r="G2667" s="2">
        <v>-78</v>
      </c>
      <c r="H2667" s="2">
        <v>600</v>
      </c>
      <c r="I2667" s="2">
        <v>-203</v>
      </c>
    </row>
    <row r="2668" spans="1:9" x14ac:dyDescent="0.3">
      <c r="A2668" t="s">
        <v>41</v>
      </c>
      <c r="B2668" s="1">
        <v>45748</v>
      </c>
      <c r="C2668" s="2">
        <v>13251</v>
      </c>
      <c r="D2668" s="2">
        <v>687</v>
      </c>
      <c r="E2668" s="2">
        <v>12448</v>
      </c>
      <c r="F2668" s="2">
        <v>1001</v>
      </c>
      <c r="G2668" s="2">
        <v>50</v>
      </c>
      <c r="H2668" s="2">
        <v>803</v>
      </c>
      <c r="I2668" s="2">
        <v>-314</v>
      </c>
    </row>
    <row r="2669" spans="1:9" x14ac:dyDescent="0.3">
      <c r="A2669" t="s">
        <v>41</v>
      </c>
      <c r="B2669" s="1">
        <v>45717</v>
      </c>
      <c r="C2669" s="2">
        <v>12401</v>
      </c>
      <c r="D2669" s="2">
        <v>-146</v>
      </c>
      <c r="E2669" s="2">
        <v>11284</v>
      </c>
      <c r="F2669" s="2">
        <v>-60</v>
      </c>
      <c r="G2669" s="2">
        <v>-17</v>
      </c>
      <c r="H2669" s="2">
        <v>1117</v>
      </c>
      <c r="I2669" s="2">
        <v>-86</v>
      </c>
    </row>
    <row r="2670" spans="1:9" x14ac:dyDescent="0.3">
      <c r="A2670" t="s">
        <v>41</v>
      </c>
      <c r="B2670" s="1">
        <v>45689</v>
      </c>
      <c r="C2670" s="2">
        <v>12350</v>
      </c>
      <c r="D2670" s="2">
        <v>-55</v>
      </c>
      <c r="E2670" s="2">
        <v>11147</v>
      </c>
      <c r="F2670" s="2">
        <v>-157</v>
      </c>
      <c r="G2670" s="2">
        <v>89</v>
      </c>
      <c r="H2670" s="2">
        <v>1203</v>
      </c>
      <c r="I2670" s="2">
        <v>102</v>
      </c>
    </row>
    <row r="2671" spans="1:9" x14ac:dyDescent="0.3">
      <c r="A2671" t="s">
        <v>41</v>
      </c>
      <c r="B2671" s="1">
        <v>45658</v>
      </c>
      <c r="C2671" s="2">
        <v>12183</v>
      </c>
      <c r="D2671" s="2">
        <v>16</v>
      </c>
      <c r="E2671" s="2">
        <v>11082</v>
      </c>
      <c r="F2671" s="2">
        <v>-363</v>
      </c>
      <c r="G2671" s="2">
        <v>26</v>
      </c>
      <c r="H2671" s="2">
        <v>1101</v>
      </c>
      <c r="I2671" s="2">
        <v>379</v>
      </c>
    </row>
    <row r="2672" spans="1:9" x14ac:dyDescent="0.3">
      <c r="A2672" t="s">
        <v>41</v>
      </c>
      <c r="B2672" s="1">
        <v>45627</v>
      </c>
      <c r="C2672" s="2">
        <v>12033</v>
      </c>
      <c r="D2672" s="2">
        <v>-414</v>
      </c>
      <c r="E2672" s="2">
        <v>11311</v>
      </c>
      <c r="F2672" s="2">
        <v>-54</v>
      </c>
      <c r="G2672" s="2">
        <v>-78</v>
      </c>
      <c r="H2672" s="2">
        <v>722</v>
      </c>
      <c r="I2672" s="2">
        <v>-360</v>
      </c>
    </row>
    <row r="2673" spans="1:9" x14ac:dyDescent="0.3">
      <c r="A2673" t="s">
        <v>41</v>
      </c>
      <c r="B2673" s="1">
        <v>45597</v>
      </c>
      <c r="C2673" s="2">
        <v>12627</v>
      </c>
      <c r="D2673" s="2">
        <v>-55</v>
      </c>
      <c r="E2673" s="2">
        <v>11545</v>
      </c>
      <c r="F2673" s="2">
        <v>-395</v>
      </c>
      <c r="G2673" s="2">
        <v>58</v>
      </c>
      <c r="H2673" s="2">
        <v>1082</v>
      </c>
      <c r="I2673" s="2">
        <v>340</v>
      </c>
    </row>
    <row r="2674" spans="1:9" x14ac:dyDescent="0.3">
      <c r="A2674" t="s">
        <v>41</v>
      </c>
      <c r="B2674" s="1">
        <v>45566</v>
      </c>
      <c r="C2674" s="2">
        <v>12430</v>
      </c>
      <c r="D2674" s="2">
        <v>126</v>
      </c>
      <c r="E2674" s="2">
        <v>11688</v>
      </c>
      <c r="F2674" s="2">
        <v>587</v>
      </c>
      <c r="G2674" s="2">
        <v>-181</v>
      </c>
      <c r="H2674" s="2">
        <v>742</v>
      </c>
      <c r="I2674" s="2">
        <v>-461</v>
      </c>
    </row>
    <row r="2675" spans="1:9" x14ac:dyDescent="0.3">
      <c r="A2675" t="s">
        <v>41</v>
      </c>
      <c r="B2675" s="1">
        <v>45536</v>
      </c>
      <c r="C2675" s="2">
        <v>12488</v>
      </c>
      <c r="D2675" s="2">
        <v>795</v>
      </c>
      <c r="E2675" s="2">
        <v>11285</v>
      </c>
      <c r="F2675" s="2">
        <v>1004</v>
      </c>
      <c r="G2675" s="2">
        <v>61</v>
      </c>
      <c r="H2675" s="2">
        <v>1203</v>
      </c>
      <c r="I2675" s="2">
        <v>-209</v>
      </c>
    </row>
    <row r="2676" spans="1:9" x14ac:dyDescent="0.3">
      <c r="A2676" t="s">
        <v>41</v>
      </c>
      <c r="B2676" s="1">
        <v>45505</v>
      </c>
      <c r="C2676" s="2">
        <v>11646</v>
      </c>
      <c r="D2676" s="2">
        <v>278</v>
      </c>
      <c r="E2676" s="2">
        <v>10234</v>
      </c>
      <c r="F2676" s="2">
        <v>164</v>
      </c>
      <c r="G2676" s="2">
        <v>57</v>
      </c>
      <c r="H2676" s="2">
        <v>1412</v>
      </c>
      <c r="I2676" s="2">
        <v>114</v>
      </c>
    </row>
    <row r="2677" spans="1:9" x14ac:dyDescent="0.3">
      <c r="A2677" t="s">
        <v>41</v>
      </c>
      <c r="B2677" s="1">
        <v>45474</v>
      </c>
      <c r="C2677" s="2">
        <v>11263</v>
      </c>
      <c r="D2677" s="2">
        <v>59</v>
      </c>
      <c r="E2677" s="2">
        <v>9965</v>
      </c>
      <c r="F2677" s="2">
        <v>340</v>
      </c>
      <c r="G2677" s="2">
        <v>114</v>
      </c>
      <c r="H2677" s="2">
        <v>1298</v>
      </c>
      <c r="I2677" s="2">
        <v>-281</v>
      </c>
    </row>
    <row r="2678" spans="1:9" x14ac:dyDescent="0.3">
      <c r="A2678" t="s">
        <v>41</v>
      </c>
      <c r="B2678" s="1">
        <v>45444</v>
      </c>
      <c r="C2678" s="2">
        <v>11152</v>
      </c>
      <c r="D2678" s="2">
        <v>466</v>
      </c>
      <c r="E2678" s="2">
        <v>9573</v>
      </c>
      <c r="F2678" s="2">
        <v>121</v>
      </c>
      <c r="G2678" s="2">
        <v>15</v>
      </c>
      <c r="H2678" s="2">
        <v>1579</v>
      </c>
      <c r="I2678" s="2">
        <v>345</v>
      </c>
    </row>
    <row r="2679" spans="1:9" x14ac:dyDescent="0.3">
      <c r="A2679" t="s">
        <v>41</v>
      </c>
      <c r="B2679" s="1">
        <v>45413</v>
      </c>
      <c r="C2679" s="2">
        <v>10671</v>
      </c>
      <c r="D2679" s="2">
        <v>75</v>
      </c>
      <c r="E2679" s="2">
        <v>9437</v>
      </c>
      <c r="F2679" s="2">
        <v>157</v>
      </c>
      <c r="G2679" s="2">
        <v>71</v>
      </c>
      <c r="H2679" s="2">
        <v>1234</v>
      </c>
      <c r="I2679" s="2">
        <v>-82</v>
      </c>
    </row>
    <row r="2680" spans="1:9" x14ac:dyDescent="0.3">
      <c r="A2680" t="s">
        <v>41</v>
      </c>
      <c r="B2680" s="1">
        <v>45383</v>
      </c>
      <c r="C2680" s="2">
        <v>10632</v>
      </c>
      <c r="D2680" s="2">
        <v>645</v>
      </c>
      <c r="E2680" s="2">
        <v>9316</v>
      </c>
      <c r="F2680" s="2">
        <v>66</v>
      </c>
      <c r="G2680" s="2">
        <v>-108</v>
      </c>
      <c r="H2680" s="2">
        <v>1316</v>
      </c>
      <c r="I2680" s="2">
        <v>579</v>
      </c>
    </row>
    <row r="2681" spans="1:9" x14ac:dyDescent="0.3">
      <c r="A2681" t="s">
        <v>41</v>
      </c>
      <c r="B2681" s="1">
        <v>45352</v>
      </c>
      <c r="C2681" s="2">
        <v>10310</v>
      </c>
      <c r="D2681" s="2">
        <v>-254</v>
      </c>
      <c r="E2681" s="2">
        <v>9573</v>
      </c>
      <c r="F2681" s="2">
        <v>111</v>
      </c>
      <c r="G2681" s="2">
        <v>17</v>
      </c>
      <c r="H2681" s="2">
        <v>737</v>
      </c>
      <c r="I2681" s="2">
        <v>-365</v>
      </c>
    </row>
    <row r="2682" spans="1:9" x14ac:dyDescent="0.3">
      <c r="A2682" t="s">
        <v>41</v>
      </c>
      <c r="B2682" s="1">
        <v>45323</v>
      </c>
      <c r="C2682" s="2">
        <v>10722</v>
      </c>
      <c r="D2682" s="2">
        <v>-568</v>
      </c>
      <c r="E2682" s="2">
        <v>9620</v>
      </c>
      <c r="F2682" s="2">
        <v>122</v>
      </c>
      <c r="G2682" s="2">
        <v>-90</v>
      </c>
      <c r="H2682" s="2">
        <v>1102</v>
      </c>
      <c r="I2682" s="2">
        <v>-690</v>
      </c>
    </row>
    <row r="2683" spans="1:9" x14ac:dyDescent="0.3">
      <c r="A2683" t="s">
        <v>41</v>
      </c>
      <c r="B2683" s="1">
        <v>45292</v>
      </c>
      <c r="C2683" s="2">
        <v>11442</v>
      </c>
      <c r="D2683" s="2">
        <v>-228</v>
      </c>
      <c r="E2683" s="2">
        <v>9650</v>
      </c>
      <c r="F2683" s="2">
        <v>-179</v>
      </c>
      <c r="G2683" s="2">
        <v>2</v>
      </c>
      <c r="H2683" s="2">
        <v>1792</v>
      </c>
      <c r="I2683" s="2">
        <v>-49</v>
      </c>
    </row>
    <row r="2684" spans="1:9" x14ac:dyDescent="0.3">
      <c r="A2684" t="s">
        <v>41</v>
      </c>
      <c r="B2684" s="1">
        <v>45261</v>
      </c>
      <c r="C2684" s="2">
        <v>11923</v>
      </c>
      <c r="D2684" s="2">
        <v>185</v>
      </c>
      <c r="E2684" s="2">
        <v>10082</v>
      </c>
      <c r="F2684" s="2">
        <v>480</v>
      </c>
      <c r="G2684" s="2">
        <v>137</v>
      </c>
      <c r="H2684" s="2">
        <v>1841</v>
      </c>
      <c r="I2684" s="2">
        <v>-295</v>
      </c>
    </row>
    <row r="2685" spans="1:9" x14ac:dyDescent="0.3">
      <c r="A2685" t="s">
        <v>41</v>
      </c>
      <c r="B2685" s="1">
        <v>45231</v>
      </c>
      <c r="C2685" s="2">
        <v>11597</v>
      </c>
      <c r="D2685" s="2">
        <v>817</v>
      </c>
      <c r="E2685" s="2">
        <v>9461</v>
      </c>
      <c r="F2685" s="2">
        <v>240</v>
      </c>
      <c r="G2685" s="2">
        <v>169</v>
      </c>
      <c r="H2685" s="2">
        <v>2136</v>
      </c>
      <c r="I2685" s="2">
        <v>577</v>
      </c>
    </row>
    <row r="2686" spans="1:9" x14ac:dyDescent="0.3">
      <c r="A2686" t="s">
        <v>41</v>
      </c>
      <c r="B2686" s="1">
        <v>45200</v>
      </c>
      <c r="C2686" s="2">
        <v>10611</v>
      </c>
      <c r="D2686" s="2">
        <v>838</v>
      </c>
      <c r="E2686" s="2">
        <v>9052</v>
      </c>
      <c r="F2686" s="2">
        <v>67</v>
      </c>
      <c r="G2686" s="2">
        <v>-37</v>
      </c>
      <c r="H2686" s="2">
        <v>1559</v>
      </c>
      <c r="I2686" s="2">
        <v>771</v>
      </c>
    </row>
    <row r="2687" spans="1:9" x14ac:dyDescent="0.3">
      <c r="A2687" t="s">
        <v>41</v>
      </c>
      <c r="B2687" s="1">
        <v>45170</v>
      </c>
      <c r="C2687" s="2">
        <v>9892</v>
      </c>
      <c r="D2687" s="2">
        <v>-384</v>
      </c>
      <c r="E2687" s="2">
        <v>9104</v>
      </c>
      <c r="F2687" s="2">
        <v>-427</v>
      </c>
      <c r="G2687" s="2">
        <v>-124</v>
      </c>
      <c r="H2687" s="2">
        <v>788</v>
      </c>
      <c r="I2687" s="2">
        <v>43</v>
      </c>
    </row>
    <row r="2688" spans="1:9" x14ac:dyDescent="0.3">
      <c r="A2688" t="s">
        <v>41</v>
      </c>
      <c r="B2688" s="1">
        <v>45139</v>
      </c>
      <c r="C2688" s="2">
        <v>10396</v>
      </c>
      <c r="D2688" s="2">
        <v>-201</v>
      </c>
      <c r="E2688" s="2">
        <v>9651</v>
      </c>
      <c r="F2688" s="2">
        <v>-62</v>
      </c>
      <c r="G2688" s="2">
        <v>-14</v>
      </c>
      <c r="H2688" s="2">
        <v>745</v>
      </c>
      <c r="I2688" s="2">
        <v>-139</v>
      </c>
    </row>
    <row r="2689" spans="1:9" x14ac:dyDescent="0.3">
      <c r="A2689" t="s">
        <v>41</v>
      </c>
      <c r="B2689" s="1">
        <v>45108</v>
      </c>
      <c r="C2689" s="2">
        <v>10801</v>
      </c>
      <c r="D2689" s="2">
        <v>104</v>
      </c>
      <c r="E2689" s="2">
        <v>9917</v>
      </c>
      <c r="F2689" s="2">
        <v>-266</v>
      </c>
      <c r="G2689" s="2">
        <v>3</v>
      </c>
      <c r="H2689" s="2">
        <v>884</v>
      </c>
      <c r="I2689" s="2">
        <v>370</v>
      </c>
    </row>
    <row r="2690" spans="1:9" x14ac:dyDescent="0.3">
      <c r="A2690" t="s">
        <v>41</v>
      </c>
      <c r="B2690" s="1">
        <v>45078</v>
      </c>
      <c r="C2690" s="2">
        <v>10692</v>
      </c>
      <c r="D2690" s="2">
        <v>1295</v>
      </c>
      <c r="E2690" s="2">
        <v>10178</v>
      </c>
      <c r="F2690" s="2">
        <v>1150</v>
      </c>
      <c r="G2690" s="2">
        <v>-72</v>
      </c>
      <c r="H2690" s="2">
        <v>514</v>
      </c>
      <c r="I2690" s="2">
        <v>145</v>
      </c>
    </row>
    <row r="2691" spans="1:9" x14ac:dyDescent="0.3">
      <c r="A2691" t="s">
        <v>41</v>
      </c>
      <c r="B2691" s="1">
        <v>45047</v>
      </c>
      <c r="C2691" s="2">
        <v>9341</v>
      </c>
      <c r="D2691" s="2">
        <v>349</v>
      </c>
      <c r="E2691" s="2">
        <v>8972</v>
      </c>
      <c r="F2691" s="2">
        <v>428</v>
      </c>
      <c r="G2691" s="2">
        <v>-69</v>
      </c>
      <c r="H2691" s="2">
        <v>369</v>
      </c>
      <c r="I2691" s="2">
        <v>-79</v>
      </c>
    </row>
    <row r="2692" spans="1:9" x14ac:dyDescent="0.3">
      <c r="A2692" t="s">
        <v>41</v>
      </c>
      <c r="B2692" s="1">
        <v>45017</v>
      </c>
      <c r="C2692" s="2">
        <v>9140</v>
      </c>
      <c r="D2692" s="2">
        <v>-179</v>
      </c>
      <c r="E2692" s="2">
        <v>8692</v>
      </c>
      <c r="F2692" s="2">
        <v>156</v>
      </c>
      <c r="G2692" s="2">
        <v>11</v>
      </c>
      <c r="H2692" s="2">
        <v>448</v>
      </c>
      <c r="I2692" s="2">
        <v>-335</v>
      </c>
    </row>
    <row r="2693" spans="1:9" x14ac:dyDescent="0.3">
      <c r="A2693" t="s">
        <v>41</v>
      </c>
      <c r="B2693" s="1">
        <v>44986</v>
      </c>
      <c r="C2693" s="2">
        <v>9309</v>
      </c>
      <c r="D2693" s="2">
        <v>264</v>
      </c>
      <c r="E2693" s="2">
        <v>8526</v>
      </c>
      <c r="F2693" s="2">
        <v>45</v>
      </c>
      <c r="G2693" s="2">
        <v>124</v>
      </c>
      <c r="H2693" s="2">
        <v>783</v>
      </c>
      <c r="I2693" s="2">
        <v>219</v>
      </c>
    </row>
    <row r="2694" spans="1:9" x14ac:dyDescent="0.3">
      <c r="A2694" t="s">
        <v>41</v>
      </c>
      <c r="B2694" s="1">
        <v>44958</v>
      </c>
      <c r="C2694" s="2">
        <v>8924</v>
      </c>
      <c r="D2694" s="2">
        <v>206</v>
      </c>
      <c r="E2694" s="2">
        <v>8360</v>
      </c>
      <c r="F2694" s="2">
        <v>122</v>
      </c>
      <c r="G2694" s="2">
        <v>-89</v>
      </c>
      <c r="H2694" s="2">
        <v>564</v>
      </c>
      <c r="I2694" s="2">
        <v>84</v>
      </c>
    </row>
    <row r="2695" spans="1:9" hidden="1" x14ac:dyDescent="0.3">
      <c r="A2695" t="s">
        <v>41</v>
      </c>
      <c r="B2695" s="1">
        <v>44927</v>
      </c>
      <c r="C2695" s="2">
        <v>8806</v>
      </c>
      <c r="D2695" s="2" t="s">
        <v>3</v>
      </c>
      <c r="E2695" s="2">
        <v>8326</v>
      </c>
      <c r="F2695" s="2" t="s">
        <v>3</v>
      </c>
      <c r="G2695" s="2" t="s">
        <v>3</v>
      </c>
      <c r="H2695" s="2">
        <v>480</v>
      </c>
      <c r="I2695" s="2">
        <v>282</v>
      </c>
    </row>
    <row r="2696" spans="1:9" hidden="1" x14ac:dyDescent="0.3">
      <c r="A2696" t="s">
        <v>41</v>
      </c>
      <c r="B2696" s="1">
        <v>44896</v>
      </c>
      <c r="C2696" s="2">
        <v>8108</v>
      </c>
      <c r="D2696" s="2" t="s">
        <v>3</v>
      </c>
      <c r="E2696" s="2">
        <v>7910</v>
      </c>
      <c r="F2696" s="2" t="s">
        <v>3</v>
      </c>
      <c r="G2696" s="2" t="s">
        <v>3</v>
      </c>
      <c r="H2696" s="2">
        <v>198</v>
      </c>
      <c r="I2696" s="2">
        <v>124</v>
      </c>
    </row>
    <row r="2697" spans="1:9" hidden="1" x14ac:dyDescent="0.3">
      <c r="A2697" t="s">
        <v>41</v>
      </c>
      <c r="B2697" s="1">
        <v>44866</v>
      </c>
      <c r="C2697" s="2">
        <v>8377</v>
      </c>
      <c r="D2697" s="2" t="s">
        <v>3</v>
      </c>
      <c r="E2697" s="2">
        <v>8303</v>
      </c>
      <c r="F2697" s="2" t="s">
        <v>3</v>
      </c>
      <c r="G2697" s="2" t="s">
        <v>3</v>
      </c>
      <c r="H2697" s="2">
        <v>74</v>
      </c>
      <c r="I2697" s="2">
        <v>-84</v>
      </c>
    </row>
    <row r="2698" spans="1:9" hidden="1" x14ac:dyDescent="0.3">
      <c r="A2698" t="s">
        <v>41</v>
      </c>
      <c r="B2698" s="1">
        <v>44835</v>
      </c>
      <c r="C2698" s="2">
        <v>7641</v>
      </c>
      <c r="D2698" s="2" t="s">
        <v>3</v>
      </c>
      <c r="E2698" s="2">
        <v>7483</v>
      </c>
      <c r="F2698" s="2" t="s">
        <v>3</v>
      </c>
      <c r="G2698" s="2" t="s">
        <v>3</v>
      </c>
      <c r="H2698" s="2">
        <v>158</v>
      </c>
      <c r="I2698" s="2">
        <v>99</v>
      </c>
    </row>
    <row r="2699" spans="1:9" hidden="1" x14ac:dyDescent="0.3">
      <c r="A2699" t="s">
        <v>41</v>
      </c>
      <c r="B2699" s="1">
        <v>44805</v>
      </c>
      <c r="C2699" s="2">
        <v>7096</v>
      </c>
      <c r="D2699" s="2" t="s">
        <v>3</v>
      </c>
      <c r="E2699" s="2">
        <v>7037</v>
      </c>
      <c r="F2699" s="2" t="s">
        <v>3</v>
      </c>
      <c r="G2699" s="2" t="s">
        <v>3</v>
      </c>
      <c r="H2699" s="2">
        <v>59</v>
      </c>
      <c r="I2699" s="2">
        <v>-111</v>
      </c>
    </row>
    <row r="2700" spans="1:9" hidden="1" x14ac:dyDescent="0.3">
      <c r="A2700" t="s">
        <v>41</v>
      </c>
      <c r="B2700" s="1">
        <v>44774</v>
      </c>
      <c r="C2700" s="2">
        <v>7393</v>
      </c>
      <c r="D2700" s="2" t="s">
        <v>3</v>
      </c>
      <c r="E2700" s="2">
        <v>7223</v>
      </c>
      <c r="F2700" s="2" t="s">
        <v>3</v>
      </c>
      <c r="G2700" s="2" t="s">
        <v>3</v>
      </c>
      <c r="H2700" s="2">
        <v>170</v>
      </c>
      <c r="I2700" s="2">
        <v>-84</v>
      </c>
    </row>
    <row r="2701" spans="1:9" hidden="1" x14ac:dyDescent="0.3">
      <c r="A2701" t="s">
        <v>41</v>
      </c>
      <c r="B2701" s="1">
        <v>44743</v>
      </c>
      <c r="C2701" s="2">
        <v>7599</v>
      </c>
      <c r="D2701" s="2" t="s">
        <v>3</v>
      </c>
      <c r="E2701" s="2">
        <v>7345</v>
      </c>
      <c r="F2701" s="2" t="s">
        <v>3</v>
      </c>
      <c r="G2701" s="2" t="s">
        <v>3</v>
      </c>
      <c r="H2701" s="2">
        <v>254</v>
      </c>
      <c r="I2701" s="2">
        <v>43</v>
      </c>
    </row>
    <row r="2702" spans="1:9" hidden="1" x14ac:dyDescent="0.3">
      <c r="A2702" t="s">
        <v>41</v>
      </c>
      <c r="B2702" s="1">
        <v>44713</v>
      </c>
      <c r="C2702" s="2">
        <v>6370</v>
      </c>
      <c r="D2702" s="2" t="s">
        <v>3</v>
      </c>
      <c r="E2702" s="2">
        <v>6159</v>
      </c>
      <c r="F2702" s="2" t="s">
        <v>3</v>
      </c>
      <c r="G2702" s="2" t="s">
        <v>3</v>
      </c>
      <c r="H2702" s="2">
        <v>211</v>
      </c>
      <c r="I2702" s="2">
        <v>-19</v>
      </c>
    </row>
    <row r="2703" spans="1:9" hidden="1" x14ac:dyDescent="0.3">
      <c r="A2703" t="s">
        <v>41</v>
      </c>
      <c r="B2703" s="1">
        <v>44682</v>
      </c>
      <c r="C2703" s="2">
        <v>6040</v>
      </c>
      <c r="D2703" s="2" t="s">
        <v>3</v>
      </c>
      <c r="E2703" s="2">
        <v>5810</v>
      </c>
      <c r="F2703" s="2" t="s">
        <v>3</v>
      </c>
      <c r="G2703" s="2" t="s">
        <v>3</v>
      </c>
      <c r="H2703" s="2">
        <v>230</v>
      </c>
      <c r="I2703" s="2">
        <v>-809</v>
      </c>
    </row>
    <row r="2704" spans="1:9" hidden="1" x14ac:dyDescent="0.3">
      <c r="A2704" t="s">
        <v>41</v>
      </c>
      <c r="B2704" s="1">
        <v>44652</v>
      </c>
      <c r="C2704" s="2">
        <v>6661</v>
      </c>
      <c r="D2704" s="2" t="s">
        <v>3</v>
      </c>
      <c r="E2704" s="2">
        <v>5622</v>
      </c>
      <c r="F2704" s="2" t="s">
        <v>3</v>
      </c>
      <c r="G2704" s="2" t="s">
        <v>3</v>
      </c>
      <c r="H2704" s="2">
        <v>1039</v>
      </c>
      <c r="I2704" s="2">
        <v>-58</v>
      </c>
    </row>
    <row r="2705" spans="1:9" hidden="1" x14ac:dyDescent="0.3">
      <c r="A2705" t="s">
        <v>41</v>
      </c>
      <c r="B2705" s="1">
        <v>44621</v>
      </c>
      <c r="C2705" s="2">
        <v>6660</v>
      </c>
      <c r="D2705" s="2" t="s">
        <v>3</v>
      </c>
      <c r="E2705" s="2">
        <v>5563</v>
      </c>
      <c r="F2705" s="2" t="s">
        <v>3</v>
      </c>
      <c r="G2705" s="2" t="s">
        <v>3</v>
      </c>
      <c r="H2705" s="2">
        <v>1097</v>
      </c>
      <c r="I2705" s="2">
        <v>15</v>
      </c>
    </row>
    <row r="2706" spans="1:9" hidden="1" x14ac:dyDescent="0.3">
      <c r="A2706" t="s">
        <v>41</v>
      </c>
      <c r="B2706" s="1">
        <v>44593</v>
      </c>
      <c r="C2706" s="2">
        <v>6472</v>
      </c>
      <c r="D2706" s="2" t="s">
        <v>3</v>
      </c>
      <c r="E2706" s="2">
        <v>5390</v>
      </c>
      <c r="F2706" s="2" t="s">
        <v>3</v>
      </c>
      <c r="G2706" s="2" t="s">
        <v>3</v>
      </c>
      <c r="H2706" s="2">
        <v>1082</v>
      </c>
      <c r="I2706" s="2">
        <v>-133</v>
      </c>
    </row>
    <row r="2707" spans="1:9" hidden="1" x14ac:dyDescent="0.3">
      <c r="A2707" t="s">
        <v>41</v>
      </c>
      <c r="B2707" s="1">
        <v>44562</v>
      </c>
      <c r="C2707" s="2">
        <v>6533</v>
      </c>
      <c r="D2707" s="2" t="s">
        <v>3</v>
      </c>
      <c r="E2707" s="2">
        <v>5318</v>
      </c>
      <c r="F2707" s="2" t="s">
        <v>3</v>
      </c>
      <c r="G2707" s="2" t="s">
        <v>3</v>
      </c>
      <c r="H2707" s="2">
        <v>1215</v>
      </c>
      <c r="I2707" s="2">
        <v>305</v>
      </c>
    </row>
    <row r="2708" spans="1:9" hidden="1" x14ac:dyDescent="0.3">
      <c r="A2708" t="s">
        <v>41</v>
      </c>
      <c r="B2708" s="1">
        <v>44531</v>
      </c>
      <c r="C2708" s="2">
        <v>6061</v>
      </c>
      <c r="D2708" s="2" t="s">
        <v>3</v>
      </c>
      <c r="E2708" s="2">
        <v>5151</v>
      </c>
      <c r="F2708" s="2" t="s">
        <v>3</v>
      </c>
      <c r="G2708" s="2" t="s">
        <v>3</v>
      </c>
      <c r="H2708" s="2">
        <v>910</v>
      </c>
      <c r="I2708" s="2">
        <v>278</v>
      </c>
    </row>
    <row r="2709" spans="1:9" hidden="1" x14ac:dyDescent="0.3">
      <c r="A2709" t="s">
        <v>41</v>
      </c>
      <c r="B2709" s="1">
        <v>44501</v>
      </c>
      <c r="C2709" s="2">
        <v>5579</v>
      </c>
      <c r="D2709" s="2" t="s">
        <v>3</v>
      </c>
      <c r="E2709" s="2">
        <v>4947</v>
      </c>
      <c r="F2709" s="2" t="s">
        <v>3</v>
      </c>
      <c r="G2709" s="2" t="s">
        <v>3</v>
      </c>
      <c r="H2709" s="2">
        <v>632</v>
      </c>
      <c r="I2709" s="2">
        <v>-142</v>
      </c>
    </row>
    <row r="2710" spans="1:9" hidden="1" x14ac:dyDescent="0.3">
      <c r="A2710" t="s">
        <v>41</v>
      </c>
      <c r="B2710" s="1">
        <v>44470</v>
      </c>
      <c r="C2710" s="2">
        <v>5987</v>
      </c>
      <c r="D2710" s="2" t="s">
        <v>3</v>
      </c>
      <c r="E2710" s="2">
        <v>5213</v>
      </c>
      <c r="F2710" s="2" t="s">
        <v>3</v>
      </c>
      <c r="G2710" s="2" t="s">
        <v>3</v>
      </c>
      <c r="H2710" s="2">
        <v>774</v>
      </c>
      <c r="I2710" s="2">
        <v>240</v>
      </c>
    </row>
    <row r="2711" spans="1:9" hidden="1" x14ac:dyDescent="0.3">
      <c r="A2711" t="s">
        <v>41</v>
      </c>
      <c r="B2711" s="1">
        <v>44440</v>
      </c>
      <c r="C2711" s="2">
        <v>5798</v>
      </c>
      <c r="D2711" s="2" t="s">
        <v>3</v>
      </c>
      <c r="E2711" s="2">
        <v>5264</v>
      </c>
      <c r="F2711" s="2" t="s">
        <v>3</v>
      </c>
      <c r="G2711" s="2" t="s">
        <v>3</v>
      </c>
      <c r="H2711" s="2">
        <v>534</v>
      </c>
      <c r="I2711" s="2">
        <v>122</v>
      </c>
    </row>
    <row r="2712" spans="1:9" hidden="1" x14ac:dyDescent="0.3">
      <c r="A2712" t="s">
        <v>41</v>
      </c>
      <c r="B2712" s="1">
        <v>44409</v>
      </c>
      <c r="C2712" s="2">
        <v>5795</v>
      </c>
      <c r="D2712" s="2" t="s">
        <v>3</v>
      </c>
      <c r="E2712" s="2">
        <v>5383</v>
      </c>
      <c r="F2712" s="2" t="s">
        <v>3</v>
      </c>
      <c r="G2712" s="2" t="s">
        <v>3</v>
      </c>
      <c r="H2712" s="2">
        <v>412</v>
      </c>
      <c r="I2712" s="2">
        <v>-111</v>
      </c>
    </row>
    <row r="2713" spans="1:9" hidden="1" x14ac:dyDescent="0.3">
      <c r="A2713" t="s">
        <v>41</v>
      </c>
      <c r="B2713" s="1">
        <v>44378</v>
      </c>
      <c r="C2713" s="2">
        <v>5735</v>
      </c>
      <c r="D2713" s="2" t="s">
        <v>3</v>
      </c>
      <c r="E2713" s="2">
        <v>5212</v>
      </c>
      <c r="F2713" s="2" t="s">
        <v>3</v>
      </c>
      <c r="G2713" s="2" t="s">
        <v>3</v>
      </c>
      <c r="H2713" s="2">
        <v>523</v>
      </c>
      <c r="I2713" s="2">
        <v>364</v>
      </c>
    </row>
    <row r="2714" spans="1:9" hidden="1" x14ac:dyDescent="0.3">
      <c r="A2714" t="s">
        <v>41</v>
      </c>
      <c r="B2714" s="1">
        <v>44348</v>
      </c>
      <c r="C2714" s="2">
        <v>5437</v>
      </c>
      <c r="D2714" s="2" t="s">
        <v>3</v>
      </c>
      <c r="E2714" s="2">
        <v>5278</v>
      </c>
      <c r="F2714" s="2" t="s">
        <v>3</v>
      </c>
      <c r="G2714" s="2" t="s">
        <v>3</v>
      </c>
      <c r="H2714" s="2">
        <v>159</v>
      </c>
      <c r="I2714" s="2">
        <v>-176</v>
      </c>
    </row>
    <row r="2715" spans="1:9" hidden="1" x14ac:dyDescent="0.3">
      <c r="A2715" t="s">
        <v>41</v>
      </c>
      <c r="B2715" s="1">
        <v>44317</v>
      </c>
      <c r="C2715" s="2">
        <v>5708</v>
      </c>
      <c r="D2715" s="2" t="s">
        <v>3</v>
      </c>
      <c r="E2715" s="2">
        <v>5373</v>
      </c>
      <c r="F2715" s="2" t="s">
        <v>3</v>
      </c>
      <c r="G2715" s="2" t="s">
        <v>3</v>
      </c>
      <c r="H2715" s="2">
        <v>335</v>
      </c>
      <c r="I2715" s="2">
        <v>140</v>
      </c>
    </row>
    <row r="2716" spans="1:9" hidden="1" x14ac:dyDescent="0.3">
      <c r="A2716" t="s">
        <v>41</v>
      </c>
      <c r="B2716" s="1">
        <v>44287</v>
      </c>
      <c r="C2716" s="2">
        <v>5789</v>
      </c>
      <c r="D2716" s="2" t="s">
        <v>3</v>
      </c>
      <c r="E2716" s="2">
        <v>5594</v>
      </c>
      <c r="F2716" s="2" t="s">
        <v>3</v>
      </c>
      <c r="G2716" s="2" t="s">
        <v>3</v>
      </c>
      <c r="H2716" s="2">
        <v>195</v>
      </c>
      <c r="I2716" s="2">
        <v>51</v>
      </c>
    </row>
    <row r="2717" spans="1:9" hidden="1" x14ac:dyDescent="0.3">
      <c r="A2717" t="s">
        <v>41</v>
      </c>
      <c r="B2717" s="1">
        <v>44256</v>
      </c>
      <c r="C2717" s="2">
        <v>6150</v>
      </c>
      <c r="D2717" s="2" t="s">
        <v>3</v>
      </c>
      <c r="E2717" s="2">
        <v>6006</v>
      </c>
      <c r="F2717" s="2" t="s">
        <v>3</v>
      </c>
      <c r="G2717" s="2" t="s">
        <v>3</v>
      </c>
      <c r="H2717" s="2">
        <v>144</v>
      </c>
      <c r="I2717" s="2">
        <v>-320</v>
      </c>
    </row>
    <row r="2718" spans="1:9" hidden="1" x14ac:dyDescent="0.3">
      <c r="A2718" t="s">
        <v>41</v>
      </c>
      <c r="B2718" s="1">
        <v>44228</v>
      </c>
      <c r="C2718" s="2">
        <v>6466</v>
      </c>
      <c r="D2718" s="2" t="s">
        <v>3</v>
      </c>
      <c r="E2718" s="2">
        <v>6002</v>
      </c>
      <c r="F2718" s="2" t="s">
        <v>3</v>
      </c>
      <c r="G2718" s="2" t="s">
        <v>3</v>
      </c>
      <c r="H2718" s="2">
        <v>464</v>
      </c>
      <c r="I2718" s="2">
        <v>-279</v>
      </c>
    </row>
    <row r="2719" spans="1:9" hidden="1" x14ac:dyDescent="0.3">
      <c r="A2719" t="s">
        <v>41</v>
      </c>
      <c r="B2719" s="1">
        <v>44197</v>
      </c>
      <c r="C2719" s="2">
        <v>6979</v>
      </c>
      <c r="D2719" s="2" t="s">
        <v>3</v>
      </c>
      <c r="E2719" s="2">
        <v>6236</v>
      </c>
      <c r="F2719" s="2" t="s">
        <v>3</v>
      </c>
      <c r="G2719" s="2" t="s">
        <v>3</v>
      </c>
      <c r="H2719" s="2">
        <v>743</v>
      </c>
      <c r="I2719" s="2">
        <v>680</v>
      </c>
    </row>
    <row r="2720" spans="1:9" hidden="1" x14ac:dyDescent="0.3">
      <c r="A2720" t="s">
        <v>41</v>
      </c>
      <c r="B2720" s="1">
        <v>44166</v>
      </c>
      <c r="C2720" s="2">
        <v>7822</v>
      </c>
      <c r="D2720" s="2" t="s">
        <v>3</v>
      </c>
      <c r="E2720" s="2">
        <v>7759</v>
      </c>
      <c r="F2720" s="2" t="s">
        <v>3</v>
      </c>
      <c r="G2720" s="2" t="s">
        <v>3</v>
      </c>
      <c r="H2720" s="2">
        <v>63</v>
      </c>
      <c r="I2720" s="2">
        <v>-166</v>
      </c>
    </row>
    <row r="2721" spans="1:9" hidden="1" x14ac:dyDescent="0.3">
      <c r="A2721" t="s">
        <v>41</v>
      </c>
      <c r="B2721" s="1">
        <v>44136</v>
      </c>
      <c r="C2721" s="2">
        <v>7774</v>
      </c>
      <c r="D2721" s="2" t="s">
        <v>3</v>
      </c>
      <c r="E2721" s="2">
        <v>7545</v>
      </c>
      <c r="F2721" s="2" t="s">
        <v>3</v>
      </c>
      <c r="G2721" s="2" t="s">
        <v>3</v>
      </c>
      <c r="H2721" s="2">
        <v>229</v>
      </c>
      <c r="I2721" s="2">
        <v>150</v>
      </c>
    </row>
    <row r="2722" spans="1:9" hidden="1" x14ac:dyDescent="0.3">
      <c r="A2722" t="s">
        <v>41</v>
      </c>
      <c r="B2722" s="1">
        <v>44105</v>
      </c>
      <c r="C2722" s="2">
        <v>7096</v>
      </c>
      <c r="D2722" s="2" t="s">
        <v>3</v>
      </c>
      <c r="E2722" s="2">
        <v>7017</v>
      </c>
      <c r="F2722" s="2" t="s">
        <v>3</v>
      </c>
      <c r="G2722" s="2" t="s">
        <v>3</v>
      </c>
      <c r="H2722" s="2">
        <v>79</v>
      </c>
      <c r="I2722" s="2">
        <v>-115</v>
      </c>
    </row>
    <row r="2723" spans="1:9" hidden="1" x14ac:dyDescent="0.3">
      <c r="A2723" t="s">
        <v>41</v>
      </c>
      <c r="B2723" s="1">
        <v>44075</v>
      </c>
      <c r="C2723" s="2">
        <v>6734</v>
      </c>
      <c r="D2723" s="2" t="s">
        <v>3</v>
      </c>
      <c r="E2723" s="2">
        <v>6540</v>
      </c>
      <c r="F2723" s="2" t="s">
        <v>3</v>
      </c>
      <c r="G2723" s="2" t="s">
        <v>3</v>
      </c>
      <c r="H2723" s="2">
        <v>194</v>
      </c>
      <c r="I2723" s="2">
        <v>127</v>
      </c>
    </row>
    <row r="2724" spans="1:9" hidden="1" x14ac:dyDescent="0.3">
      <c r="A2724" t="s">
        <v>41</v>
      </c>
      <c r="B2724" s="1">
        <v>44044</v>
      </c>
      <c r="C2724" s="2">
        <v>6942</v>
      </c>
      <c r="D2724" s="2" t="s">
        <v>3</v>
      </c>
      <c r="E2724" s="2">
        <v>6875</v>
      </c>
      <c r="F2724" s="2" t="s">
        <v>3</v>
      </c>
      <c r="G2724" s="2" t="s">
        <v>3</v>
      </c>
      <c r="H2724" s="2">
        <v>67</v>
      </c>
      <c r="I2724" s="2">
        <v>-187</v>
      </c>
    </row>
    <row r="2725" spans="1:9" hidden="1" x14ac:dyDescent="0.3">
      <c r="A2725" t="s">
        <v>41</v>
      </c>
      <c r="B2725" s="1">
        <v>44013</v>
      </c>
      <c r="C2725" s="2">
        <v>7307</v>
      </c>
      <c r="D2725" s="2" t="s">
        <v>3</v>
      </c>
      <c r="E2725" s="2">
        <v>7053</v>
      </c>
      <c r="F2725" s="2" t="s">
        <v>3</v>
      </c>
      <c r="G2725" s="2" t="s">
        <v>3</v>
      </c>
      <c r="H2725" s="2">
        <v>254</v>
      </c>
      <c r="I2725" s="2">
        <v>-64</v>
      </c>
    </row>
    <row r="2726" spans="1:9" hidden="1" x14ac:dyDescent="0.3">
      <c r="A2726" t="s">
        <v>41</v>
      </c>
      <c r="B2726" s="1">
        <v>43983</v>
      </c>
      <c r="C2726" s="2">
        <v>7296</v>
      </c>
      <c r="D2726" s="2" t="s">
        <v>3</v>
      </c>
      <c r="E2726" s="2">
        <v>6978</v>
      </c>
      <c r="F2726" s="2" t="s">
        <v>3</v>
      </c>
      <c r="G2726" s="2" t="s">
        <v>3</v>
      </c>
      <c r="H2726" s="2">
        <v>318</v>
      </c>
      <c r="I2726" s="2">
        <v>134</v>
      </c>
    </row>
    <row r="2727" spans="1:9" hidden="1" x14ac:dyDescent="0.3">
      <c r="A2727" t="s">
        <v>41</v>
      </c>
      <c r="B2727" s="1">
        <v>43952</v>
      </c>
      <c r="C2727" s="2">
        <v>7115</v>
      </c>
      <c r="D2727" s="2" t="s">
        <v>3</v>
      </c>
      <c r="E2727" s="2">
        <v>6931</v>
      </c>
      <c r="F2727" s="2" t="s">
        <v>3</v>
      </c>
      <c r="G2727" s="2" t="s">
        <v>3</v>
      </c>
      <c r="H2727" s="2">
        <v>184</v>
      </c>
      <c r="I2727" s="2">
        <v>80</v>
      </c>
    </row>
    <row r="2728" spans="1:9" hidden="1" x14ac:dyDescent="0.3">
      <c r="A2728" t="s">
        <v>41</v>
      </c>
      <c r="B2728" s="1">
        <v>43922</v>
      </c>
      <c r="C2728" s="2">
        <v>5880</v>
      </c>
      <c r="D2728" s="2" t="s">
        <v>3</v>
      </c>
      <c r="E2728" s="2">
        <v>5776</v>
      </c>
      <c r="F2728" s="2" t="s">
        <v>3</v>
      </c>
      <c r="G2728" s="2" t="s">
        <v>3</v>
      </c>
      <c r="H2728" s="2">
        <v>104</v>
      </c>
      <c r="I2728" s="2">
        <v>37</v>
      </c>
    </row>
    <row r="2729" spans="1:9" hidden="1" x14ac:dyDescent="0.3">
      <c r="A2729" t="s">
        <v>41</v>
      </c>
      <c r="B2729" s="1">
        <v>43891</v>
      </c>
      <c r="C2729" s="2">
        <v>6532</v>
      </c>
      <c r="D2729" s="2" t="s">
        <v>3</v>
      </c>
      <c r="E2729" s="2">
        <v>6465</v>
      </c>
      <c r="F2729" s="2" t="s">
        <v>3</v>
      </c>
      <c r="G2729" s="2" t="s">
        <v>3</v>
      </c>
      <c r="H2729" s="2">
        <v>67</v>
      </c>
      <c r="I2729" s="2">
        <v>-20</v>
      </c>
    </row>
    <row r="2730" spans="1:9" hidden="1" x14ac:dyDescent="0.3">
      <c r="A2730" t="s">
        <v>41</v>
      </c>
      <c r="B2730" s="1">
        <v>43862</v>
      </c>
      <c r="C2730" s="2">
        <v>7245</v>
      </c>
      <c r="D2730" s="2" t="s">
        <v>3</v>
      </c>
      <c r="E2730" s="2">
        <v>7158</v>
      </c>
      <c r="F2730" s="2" t="s">
        <v>3</v>
      </c>
      <c r="G2730" s="2" t="s">
        <v>3</v>
      </c>
      <c r="H2730" s="2">
        <v>87</v>
      </c>
      <c r="I2730" s="2">
        <v>44</v>
      </c>
    </row>
    <row r="2731" spans="1:9" hidden="1" x14ac:dyDescent="0.3">
      <c r="A2731" t="s">
        <v>41</v>
      </c>
      <c r="B2731" s="1">
        <v>43831</v>
      </c>
      <c r="C2731" s="2">
        <v>7226</v>
      </c>
      <c r="D2731" s="2" t="s">
        <v>3</v>
      </c>
      <c r="E2731" s="2">
        <v>7183</v>
      </c>
      <c r="F2731" s="2" t="s">
        <v>3</v>
      </c>
      <c r="G2731" s="2" t="s">
        <v>3</v>
      </c>
      <c r="H2731" s="2">
        <v>43</v>
      </c>
      <c r="I2731" s="2">
        <v>8</v>
      </c>
    </row>
    <row r="2732" spans="1:9" x14ac:dyDescent="0.3">
      <c r="A2732" t="s">
        <v>42</v>
      </c>
      <c r="B2732" s="1">
        <v>45931</v>
      </c>
      <c r="C2732" s="2">
        <v>89968</v>
      </c>
      <c r="D2732" s="2">
        <v>850</v>
      </c>
      <c r="E2732" s="2">
        <v>73151</v>
      </c>
      <c r="F2732" s="2">
        <v>1329</v>
      </c>
      <c r="G2732" s="2">
        <v>554</v>
      </c>
      <c r="H2732" s="2">
        <v>16817</v>
      </c>
      <c r="I2732" s="2">
        <v>-479</v>
      </c>
    </row>
    <row r="2733" spans="1:9" x14ac:dyDescent="0.3">
      <c r="A2733" t="s">
        <v>42</v>
      </c>
      <c r="B2733" s="1">
        <v>45901</v>
      </c>
      <c r="C2733" s="2">
        <v>88848</v>
      </c>
      <c r="D2733" s="2">
        <v>-2620</v>
      </c>
      <c r="E2733" s="2">
        <v>71552</v>
      </c>
      <c r="F2733" s="2">
        <v>-2660</v>
      </c>
      <c r="G2733" s="2">
        <v>1032</v>
      </c>
      <c r="H2733" s="2">
        <v>17296</v>
      </c>
      <c r="I2733" s="2">
        <v>40</v>
      </c>
    </row>
    <row r="2734" spans="1:9" x14ac:dyDescent="0.3">
      <c r="A2734" t="s">
        <v>42</v>
      </c>
      <c r="B2734" s="1">
        <v>45870</v>
      </c>
      <c r="C2734" s="2">
        <v>92028</v>
      </c>
      <c r="D2734" s="2">
        <v>-5017</v>
      </c>
      <c r="E2734" s="2">
        <v>74772</v>
      </c>
      <c r="F2734" s="2">
        <v>-2745</v>
      </c>
      <c r="G2734" s="2">
        <v>-25</v>
      </c>
      <c r="H2734" s="2">
        <v>17256</v>
      </c>
      <c r="I2734" s="2">
        <v>-2272</v>
      </c>
    </row>
    <row r="2735" spans="1:9" x14ac:dyDescent="0.3">
      <c r="A2735" t="s">
        <v>42</v>
      </c>
      <c r="B2735" s="1">
        <v>45839</v>
      </c>
      <c r="C2735" s="2">
        <v>96486</v>
      </c>
      <c r="D2735" s="2">
        <v>2392</v>
      </c>
      <c r="E2735" s="2">
        <v>76958</v>
      </c>
      <c r="F2735" s="2">
        <v>834</v>
      </c>
      <c r="G2735" s="2">
        <v>-123</v>
      </c>
      <c r="H2735" s="2">
        <v>19528</v>
      </c>
      <c r="I2735" s="2">
        <v>1558</v>
      </c>
    </row>
    <row r="2736" spans="1:9" x14ac:dyDescent="0.3">
      <c r="A2736" t="s">
        <v>42</v>
      </c>
      <c r="B2736" s="1">
        <v>45809</v>
      </c>
      <c r="C2736" s="2">
        <v>94760</v>
      </c>
      <c r="D2736" s="2">
        <v>-2451</v>
      </c>
      <c r="E2736" s="2">
        <v>76790</v>
      </c>
      <c r="F2736" s="2">
        <v>-870</v>
      </c>
      <c r="G2736" s="2">
        <v>1162</v>
      </c>
      <c r="H2736" s="2">
        <v>17970</v>
      </c>
      <c r="I2736" s="2">
        <v>-1581</v>
      </c>
    </row>
    <row r="2737" spans="1:9" x14ac:dyDescent="0.3">
      <c r="A2737" t="s">
        <v>42</v>
      </c>
      <c r="B2737" s="1">
        <v>45778</v>
      </c>
      <c r="C2737" s="2">
        <v>96324</v>
      </c>
      <c r="D2737" s="2">
        <v>7062</v>
      </c>
      <c r="E2737" s="2">
        <v>76773</v>
      </c>
      <c r="F2737" s="2">
        <v>5612</v>
      </c>
      <c r="G2737" s="2">
        <v>-544</v>
      </c>
      <c r="H2737" s="2">
        <v>19551</v>
      </c>
      <c r="I2737" s="2">
        <v>1450</v>
      </c>
    </row>
    <row r="2738" spans="1:9" x14ac:dyDescent="0.3">
      <c r="A2738" t="s">
        <v>42</v>
      </c>
      <c r="B2738" s="1">
        <v>45748</v>
      </c>
      <c r="C2738" s="2">
        <v>89798</v>
      </c>
      <c r="D2738" s="2">
        <v>-1103</v>
      </c>
      <c r="E2738" s="2">
        <v>71697</v>
      </c>
      <c r="F2738" s="2">
        <v>-4462</v>
      </c>
      <c r="G2738" s="2">
        <v>-445</v>
      </c>
      <c r="H2738" s="2">
        <v>18101</v>
      </c>
      <c r="I2738" s="2">
        <v>3359</v>
      </c>
    </row>
    <row r="2739" spans="1:9" x14ac:dyDescent="0.3">
      <c r="A2739" t="s">
        <v>42</v>
      </c>
      <c r="B2739" s="1">
        <v>45717</v>
      </c>
      <c r="C2739" s="2">
        <v>91519</v>
      </c>
      <c r="D2739" s="2">
        <v>-11209</v>
      </c>
      <c r="E2739" s="2">
        <v>76777</v>
      </c>
      <c r="F2739" s="2">
        <v>-11436</v>
      </c>
      <c r="G2739" s="2">
        <v>68</v>
      </c>
      <c r="H2739" s="2">
        <v>14742</v>
      </c>
      <c r="I2739" s="2">
        <v>227</v>
      </c>
    </row>
    <row r="2740" spans="1:9" x14ac:dyDescent="0.3">
      <c r="A2740" t="s">
        <v>42</v>
      </c>
      <c r="B2740" s="1">
        <v>45689</v>
      </c>
      <c r="C2740" s="2">
        <v>102662</v>
      </c>
      <c r="D2740" s="2">
        <v>2688</v>
      </c>
      <c r="E2740" s="2">
        <v>88147</v>
      </c>
      <c r="F2740" s="2">
        <v>2178</v>
      </c>
      <c r="G2740" s="2">
        <v>1646</v>
      </c>
      <c r="H2740" s="2">
        <v>14515</v>
      </c>
      <c r="I2740" s="2">
        <v>510</v>
      </c>
    </row>
    <row r="2741" spans="1:9" x14ac:dyDescent="0.3">
      <c r="A2741" t="s">
        <v>42</v>
      </c>
      <c r="B2741" s="1">
        <v>45658</v>
      </c>
      <c r="C2741" s="2">
        <v>99427</v>
      </c>
      <c r="D2741" s="2">
        <v>-3765</v>
      </c>
      <c r="E2741" s="2">
        <v>85422</v>
      </c>
      <c r="F2741" s="2">
        <v>-254</v>
      </c>
      <c r="G2741" s="2">
        <v>-899</v>
      </c>
      <c r="H2741" s="2">
        <v>14005</v>
      </c>
      <c r="I2741" s="2">
        <v>-3511</v>
      </c>
    </row>
    <row r="2742" spans="1:9" x14ac:dyDescent="0.3">
      <c r="A2742" t="s">
        <v>42</v>
      </c>
      <c r="B2742" s="1">
        <v>45627</v>
      </c>
      <c r="C2742" s="2">
        <v>102586</v>
      </c>
      <c r="D2742" s="2">
        <v>4809</v>
      </c>
      <c r="E2742" s="2">
        <v>85070</v>
      </c>
      <c r="F2742" s="2">
        <v>2176</v>
      </c>
      <c r="G2742" s="2">
        <v>681</v>
      </c>
      <c r="H2742" s="2">
        <v>17516</v>
      </c>
      <c r="I2742" s="2">
        <v>2633</v>
      </c>
    </row>
    <row r="2743" spans="1:9" x14ac:dyDescent="0.3">
      <c r="A2743" t="s">
        <v>42</v>
      </c>
      <c r="B2743" s="1">
        <v>45597</v>
      </c>
      <c r="C2743" s="2">
        <v>99418</v>
      </c>
      <c r="D2743" s="2">
        <v>2169</v>
      </c>
      <c r="E2743" s="2">
        <v>84535</v>
      </c>
      <c r="F2743" s="2">
        <v>2048</v>
      </c>
      <c r="G2743" s="2">
        <v>2190</v>
      </c>
      <c r="H2743" s="2">
        <v>14883</v>
      </c>
      <c r="I2743" s="2">
        <v>121</v>
      </c>
    </row>
    <row r="2744" spans="1:9" x14ac:dyDescent="0.3">
      <c r="A2744" t="s">
        <v>42</v>
      </c>
      <c r="B2744" s="1">
        <v>45566</v>
      </c>
      <c r="C2744" s="2">
        <v>97277</v>
      </c>
      <c r="D2744" s="2">
        <v>3503</v>
      </c>
      <c r="E2744" s="2">
        <v>82515</v>
      </c>
      <c r="F2744" s="2">
        <v>2139</v>
      </c>
      <c r="G2744" s="2">
        <v>101</v>
      </c>
      <c r="H2744" s="2">
        <v>14762</v>
      </c>
      <c r="I2744" s="2">
        <v>1364</v>
      </c>
    </row>
    <row r="2745" spans="1:9" x14ac:dyDescent="0.3">
      <c r="A2745" t="s">
        <v>42</v>
      </c>
      <c r="B2745" s="1">
        <v>45536</v>
      </c>
      <c r="C2745" s="2">
        <v>93746</v>
      </c>
      <c r="D2745" s="2">
        <v>-140</v>
      </c>
      <c r="E2745" s="2">
        <v>80348</v>
      </c>
      <c r="F2745" s="2">
        <v>-281</v>
      </c>
      <c r="G2745" s="2">
        <v>532</v>
      </c>
      <c r="H2745" s="2">
        <v>13398</v>
      </c>
      <c r="I2745" s="2">
        <v>141</v>
      </c>
    </row>
    <row r="2746" spans="1:9" x14ac:dyDescent="0.3">
      <c r="A2746" t="s">
        <v>42</v>
      </c>
      <c r="B2746" s="1">
        <v>45505</v>
      </c>
      <c r="C2746" s="2">
        <v>93562</v>
      </c>
      <c r="D2746" s="2">
        <v>52</v>
      </c>
      <c r="E2746" s="2">
        <v>80305</v>
      </c>
      <c r="F2746" s="2">
        <v>638</v>
      </c>
      <c r="G2746" s="2">
        <v>268</v>
      </c>
      <c r="H2746" s="2">
        <v>13257</v>
      </c>
      <c r="I2746" s="2">
        <v>-586</v>
      </c>
    </row>
    <row r="2747" spans="1:9" x14ac:dyDescent="0.3">
      <c r="A2747" t="s">
        <v>42</v>
      </c>
      <c r="B2747" s="1">
        <v>45474</v>
      </c>
      <c r="C2747" s="2">
        <v>93458</v>
      </c>
      <c r="D2747" s="2">
        <v>-141</v>
      </c>
      <c r="E2747" s="2">
        <v>79615</v>
      </c>
      <c r="F2747" s="2">
        <v>-452</v>
      </c>
      <c r="G2747" s="2">
        <v>-603</v>
      </c>
      <c r="H2747" s="2">
        <v>13843</v>
      </c>
      <c r="I2747" s="2">
        <v>311</v>
      </c>
    </row>
    <row r="2748" spans="1:9" x14ac:dyDescent="0.3">
      <c r="A2748" t="s">
        <v>42</v>
      </c>
      <c r="B2748" s="1">
        <v>45444</v>
      </c>
      <c r="C2748" s="2">
        <v>93964</v>
      </c>
      <c r="D2748" s="2">
        <v>-4101</v>
      </c>
      <c r="E2748" s="2">
        <v>80432</v>
      </c>
      <c r="F2748" s="2">
        <v>-3448</v>
      </c>
      <c r="G2748" s="2">
        <v>-506</v>
      </c>
      <c r="H2748" s="2">
        <v>13532</v>
      </c>
      <c r="I2748" s="2">
        <v>-653</v>
      </c>
    </row>
    <row r="2749" spans="1:9" x14ac:dyDescent="0.3">
      <c r="A2749" t="s">
        <v>42</v>
      </c>
      <c r="B2749" s="1">
        <v>45413</v>
      </c>
      <c r="C2749" s="2">
        <v>97578</v>
      </c>
      <c r="D2749" s="2">
        <v>4680</v>
      </c>
      <c r="E2749" s="2">
        <v>83393</v>
      </c>
      <c r="F2749" s="2">
        <v>4873</v>
      </c>
      <c r="G2749" s="2">
        <v>-363</v>
      </c>
      <c r="H2749" s="2">
        <v>14185</v>
      </c>
      <c r="I2749" s="2">
        <v>-193</v>
      </c>
    </row>
    <row r="2750" spans="1:9" x14ac:dyDescent="0.3">
      <c r="A2750" t="s">
        <v>42</v>
      </c>
      <c r="B2750" s="1">
        <v>45383</v>
      </c>
      <c r="C2750" s="2">
        <v>91771</v>
      </c>
      <c r="D2750" s="2">
        <v>5994</v>
      </c>
      <c r="E2750" s="2">
        <v>77393</v>
      </c>
      <c r="F2750" s="2">
        <v>5657</v>
      </c>
      <c r="G2750" s="2">
        <v>2124</v>
      </c>
      <c r="H2750" s="2">
        <v>14378</v>
      </c>
      <c r="I2750" s="2">
        <v>337</v>
      </c>
    </row>
    <row r="2751" spans="1:9" x14ac:dyDescent="0.3">
      <c r="A2751" t="s">
        <v>42</v>
      </c>
      <c r="B2751" s="1">
        <v>45352</v>
      </c>
      <c r="C2751" s="2">
        <v>87290</v>
      </c>
      <c r="D2751" s="2">
        <v>6233</v>
      </c>
      <c r="E2751" s="2">
        <v>73249</v>
      </c>
      <c r="F2751" s="2">
        <v>5794</v>
      </c>
      <c r="G2751" s="2">
        <v>1881</v>
      </c>
      <c r="H2751" s="2">
        <v>14041</v>
      </c>
      <c r="I2751" s="2">
        <v>439</v>
      </c>
    </row>
    <row r="2752" spans="1:9" x14ac:dyDescent="0.3">
      <c r="A2752" t="s">
        <v>42</v>
      </c>
      <c r="B2752" s="1">
        <v>45323</v>
      </c>
      <c r="C2752" s="2">
        <v>80845</v>
      </c>
      <c r="D2752" s="2">
        <v>5053</v>
      </c>
      <c r="E2752" s="2">
        <v>67243</v>
      </c>
      <c r="F2752" s="2">
        <v>3340</v>
      </c>
      <c r="G2752" s="2">
        <v>270</v>
      </c>
      <c r="H2752" s="2">
        <v>13602</v>
      </c>
      <c r="I2752" s="2">
        <v>1713</v>
      </c>
    </row>
    <row r="2753" spans="1:9" x14ac:dyDescent="0.3">
      <c r="A2753" t="s">
        <v>42</v>
      </c>
      <c r="B2753" s="1">
        <v>45292</v>
      </c>
      <c r="C2753" s="2">
        <v>75955</v>
      </c>
      <c r="D2753" s="2">
        <v>-88</v>
      </c>
      <c r="E2753" s="2">
        <v>64066</v>
      </c>
      <c r="F2753" s="2">
        <v>1287</v>
      </c>
      <c r="G2753" s="2">
        <v>-1968</v>
      </c>
      <c r="H2753" s="2">
        <v>11889</v>
      </c>
      <c r="I2753" s="2">
        <v>-1375</v>
      </c>
    </row>
    <row r="2754" spans="1:9" x14ac:dyDescent="0.3">
      <c r="A2754" t="s">
        <v>42</v>
      </c>
      <c r="B2754" s="1">
        <v>45261</v>
      </c>
      <c r="C2754" s="2">
        <v>76402</v>
      </c>
      <c r="D2754" s="2">
        <v>1542</v>
      </c>
      <c r="E2754" s="2">
        <v>63138</v>
      </c>
      <c r="F2754" s="2">
        <v>-409</v>
      </c>
      <c r="G2754" s="2">
        <v>2204</v>
      </c>
      <c r="H2754" s="2">
        <v>13264</v>
      </c>
      <c r="I2754" s="2">
        <v>1951</v>
      </c>
    </row>
    <row r="2755" spans="1:9" x14ac:dyDescent="0.3">
      <c r="A2755" t="s">
        <v>42</v>
      </c>
      <c r="B2755" s="1">
        <v>45231</v>
      </c>
      <c r="C2755" s="2">
        <v>75567</v>
      </c>
      <c r="D2755" s="2">
        <v>294</v>
      </c>
      <c r="E2755" s="2">
        <v>64254</v>
      </c>
      <c r="F2755" s="2">
        <v>2063</v>
      </c>
      <c r="G2755" s="2">
        <v>478</v>
      </c>
      <c r="H2755" s="2">
        <v>11313</v>
      </c>
      <c r="I2755" s="2">
        <v>-1769</v>
      </c>
    </row>
    <row r="2756" spans="1:9" x14ac:dyDescent="0.3">
      <c r="A2756" t="s">
        <v>42</v>
      </c>
      <c r="B2756" s="1">
        <v>45200</v>
      </c>
      <c r="C2756" s="2">
        <v>74268</v>
      </c>
      <c r="D2756" s="2">
        <v>1274</v>
      </c>
      <c r="E2756" s="2">
        <v>61186</v>
      </c>
      <c r="F2756" s="2">
        <v>2170</v>
      </c>
      <c r="G2756" s="2">
        <v>800</v>
      </c>
      <c r="H2756" s="2">
        <v>13082</v>
      </c>
      <c r="I2756" s="2">
        <v>-896</v>
      </c>
    </row>
    <row r="2757" spans="1:9" x14ac:dyDescent="0.3">
      <c r="A2757" t="s">
        <v>42</v>
      </c>
      <c r="B2757" s="1">
        <v>45170</v>
      </c>
      <c r="C2757" s="2">
        <v>73531</v>
      </c>
      <c r="D2757" s="2">
        <v>1029</v>
      </c>
      <c r="E2757" s="2">
        <v>59553</v>
      </c>
      <c r="F2757" s="2">
        <v>1176</v>
      </c>
      <c r="G2757" s="2">
        <v>-627</v>
      </c>
      <c r="H2757" s="2">
        <v>13978</v>
      </c>
      <c r="I2757" s="2">
        <v>-147</v>
      </c>
    </row>
    <row r="2758" spans="1:9" x14ac:dyDescent="0.3">
      <c r="A2758" t="s">
        <v>42</v>
      </c>
      <c r="B2758" s="1">
        <v>45139</v>
      </c>
      <c r="C2758" s="2">
        <v>73333</v>
      </c>
      <c r="D2758" s="2">
        <v>-689</v>
      </c>
      <c r="E2758" s="2">
        <v>59208</v>
      </c>
      <c r="F2758" s="2">
        <v>-176</v>
      </c>
      <c r="G2758" s="2">
        <v>-539</v>
      </c>
      <c r="H2758" s="2">
        <v>14125</v>
      </c>
      <c r="I2758" s="2">
        <v>-513</v>
      </c>
    </row>
    <row r="2759" spans="1:9" x14ac:dyDescent="0.3">
      <c r="A2759" t="s">
        <v>42</v>
      </c>
      <c r="B2759" s="1">
        <v>45108</v>
      </c>
      <c r="C2759" s="2">
        <v>74223</v>
      </c>
      <c r="D2759" s="2">
        <v>3466</v>
      </c>
      <c r="E2759" s="2">
        <v>59585</v>
      </c>
      <c r="F2759" s="2">
        <v>2076</v>
      </c>
      <c r="G2759" s="2">
        <v>70</v>
      </c>
      <c r="H2759" s="2">
        <v>14638</v>
      </c>
      <c r="I2759" s="2">
        <v>1390</v>
      </c>
    </row>
    <row r="2760" spans="1:9" x14ac:dyDescent="0.3">
      <c r="A2760" t="s">
        <v>42</v>
      </c>
      <c r="B2760" s="1">
        <v>45078</v>
      </c>
      <c r="C2760" s="2">
        <v>70946</v>
      </c>
      <c r="D2760" s="2">
        <v>-1346</v>
      </c>
      <c r="E2760" s="2">
        <v>57698</v>
      </c>
      <c r="F2760" s="2">
        <v>-417</v>
      </c>
      <c r="G2760" s="2">
        <v>-284</v>
      </c>
      <c r="H2760" s="2">
        <v>13248</v>
      </c>
      <c r="I2760" s="2">
        <v>-929</v>
      </c>
    </row>
    <row r="2761" spans="1:9" x14ac:dyDescent="0.3">
      <c r="A2761" t="s">
        <v>42</v>
      </c>
      <c r="B2761" s="1">
        <v>45047</v>
      </c>
      <c r="C2761" s="2">
        <v>72535</v>
      </c>
      <c r="D2761" s="2">
        <v>4655</v>
      </c>
      <c r="E2761" s="2">
        <v>58358</v>
      </c>
      <c r="F2761" s="2">
        <v>3137</v>
      </c>
      <c r="G2761" s="2">
        <v>164</v>
      </c>
      <c r="H2761" s="2">
        <v>14177</v>
      </c>
      <c r="I2761" s="2">
        <v>1518</v>
      </c>
    </row>
    <row r="2762" spans="1:9" x14ac:dyDescent="0.3">
      <c r="A2762" t="s">
        <v>42</v>
      </c>
      <c r="B2762" s="1">
        <v>45017</v>
      </c>
      <c r="C2762" s="2">
        <v>68498</v>
      </c>
      <c r="D2762" s="2">
        <v>3306</v>
      </c>
      <c r="E2762" s="2">
        <v>55839</v>
      </c>
      <c r="F2762" s="2">
        <v>3072</v>
      </c>
      <c r="G2762" s="2">
        <v>376</v>
      </c>
      <c r="H2762" s="2">
        <v>12659</v>
      </c>
      <c r="I2762" s="2">
        <v>234</v>
      </c>
    </row>
    <row r="2763" spans="1:9" x14ac:dyDescent="0.3">
      <c r="A2763" t="s">
        <v>42</v>
      </c>
      <c r="B2763" s="1">
        <v>44986</v>
      </c>
      <c r="C2763" s="2">
        <v>65200</v>
      </c>
      <c r="D2763" s="2">
        <v>1978</v>
      </c>
      <c r="E2763" s="2">
        <v>52775</v>
      </c>
      <c r="F2763" s="2">
        <v>1373</v>
      </c>
      <c r="G2763" s="2">
        <v>-6</v>
      </c>
      <c r="H2763" s="2">
        <v>12425</v>
      </c>
      <c r="I2763" s="2">
        <v>605</v>
      </c>
    </row>
    <row r="2764" spans="1:9" x14ac:dyDescent="0.3">
      <c r="A2764" t="s">
        <v>42</v>
      </c>
      <c r="B2764" s="1">
        <v>44958</v>
      </c>
      <c r="C2764" s="2">
        <v>62430</v>
      </c>
      <c r="D2764" s="2">
        <v>4907</v>
      </c>
      <c r="E2764" s="2">
        <v>50610</v>
      </c>
      <c r="F2764" s="2">
        <v>4688</v>
      </c>
      <c r="G2764" s="2">
        <v>-525</v>
      </c>
      <c r="H2764" s="2">
        <v>11820</v>
      </c>
      <c r="I2764" s="2">
        <v>219</v>
      </c>
    </row>
    <row r="2765" spans="1:9" hidden="1" x14ac:dyDescent="0.3">
      <c r="A2765" t="s">
        <v>42</v>
      </c>
      <c r="B2765" s="1">
        <v>44927</v>
      </c>
      <c r="C2765" s="2">
        <v>58289</v>
      </c>
      <c r="D2765" s="2" t="s">
        <v>3</v>
      </c>
      <c r="E2765" s="2">
        <v>46688</v>
      </c>
      <c r="F2765" s="2" t="s">
        <v>3</v>
      </c>
      <c r="G2765" s="2" t="s">
        <v>3</v>
      </c>
      <c r="H2765" s="2">
        <v>11601</v>
      </c>
      <c r="I2765" s="2">
        <v>-1061</v>
      </c>
    </row>
    <row r="2766" spans="1:9" hidden="1" x14ac:dyDescent="0.3">
      <c r="A2766" t="s">
        <v>42</v>
      </c>
      <c r="B2766" s="1">
        <v>44896</v>
      </c>
      <c r="C2766" s="2">
        <v>58733</v>
      </c>
      <c r="D2766" s="2" t="s">
        <v>3</v>
      </c>
      <c r="E2766" s="2">
        <v>46071</v>
      </c>
      <c r="F2766" s="2" t="s">
        <v>3</v>
      </c>
      <c r="G2766" s="2" t="s">
        <v>3</v>
      </c>
      <c r="H2766" s="2">
        <v>12662</v>
      </c>
      <c r="I2766" s="2">
        <v>904</v>
      </c>
    </row>
    <row r="2767" spans="1:9" hidden="1" x14ac:dyDescent="0.3">
      <c r="A2767" t="s">
        <v>42</v>
      </c>
      <c r="B2767" s="1">
        <v>44866</v>
      </c>
      <c r="C2767" s="2">
        <v>57257</v>
      </c>
      <c r="D2767" s="2" t="s">
        <v>3</v>
      </c>
      <c r="E2767" s="2">
        <v>45499</v>
      </c>
      <c r="F2767" s="2" t="s">
        <v>3</v>
      </c>
      <c r="G2767" s="2" t="s">
        <v>3</v>
      </c>
      <c r="H2767" s="2">
        <v>11758</v>
      </c>
      <c r="I2767" s="2">
        <v>-760</v>
      </c>
    </row>
    <row r="2768" spans="1:9" hidden="1" x14ac:dyDescent="0.3">
      <c r="A2768" t="s">
        <v>42</v>
      </c>
      <c r="B2768" s="1">
        <v>44835</v>
      </c>
      <c r="C2768" s="2">
        <v>56423</v>
      </c>
      <c r="D2768" s="2" t="s">
        <v>3</v>
      </c>
      <c r="E2768" s="2">
        <v>43905</v>
      </c>
      <c r="F2768" s="2" t="s">
        <v>3</v>
      </c>
      <c r="G2768" s="2" t="s">
        <v>3</v>
      </c>
      <c r="H2768" s="2">
        <v>12518</v>
      </c>
      <c r="I2768" s="2">
        <v>-502</v>
      </c>
    </row>
    <row r="2769" spans="1:9" hidden="1" x14ac:dyDescent="0.3">
      <c r="A2769" t="s">
        <v>42</v>
      </c>
      <c r="B2769" s="1">
        <v>44805</v>
      </c>
      <c r="C2769" s="2">
        <v>53940</v>
      </c>
      <c r="D2769" s="2" t="s">
        <v>3</v>
      </c>
      <c r="E2769" s="2">
        <v>40920</v>
      </c>
      <c r="F2769" s="2" t="s">
        <v>3</v>
      </c>
      <c r="G2769" s="2" t="s">
        <v>3</v>
      </c>
      <c r="H2769" s="2">
        <v>13020</v>
      </c>
      <c r="I2769" s="2">
        <v>-1397</v>
      </c>
    </row>
    <row r="2770" spans="1:9" hidden="1" x14ac:dyDescent="0.3">
      <c r="A2770" t="s">
        <v>42</v>
      </c>
      <c r="B2770" s="1">
        <v>44774</v>
      </c>
      <c r="C2770" s="2">
        <v>53288</v>
      </c>
      <c r="D2770" s="2" t="s">
        <v>3</v>
      </c>
      <c r="E2770" s="2">
        <v>38871</v>
      </c>
      <c r="F2770" s="2" t="s">
        <v>3</v>
      </c>
      <c r="G2770" s="2" t="s">
        <v>3</v>
      </c>
      <c r="H2770" s="2">
        <v>14417</v>
      </c>
      <c r="I2770" s="2">
        <v>395</v>
      </c>
    </row>
    <row r="2771" spans="1:9" hidden="1" x14ac:dyDescent="0.3">
      <c r="A2771" t="s">
        <v>42</v>
      </c>
      <c r="B2771" s="1">
        <v>44743</v>
      </c>
      <c r="C2771" s="2">
        <v>49525</v>
      </c>
      <c r="D2771" s="2" t="s">
        <v>3</v>
      </c>
      <c r="E2771" s="2">
        <v>35503</v>
      </c>
      <c r="F2771" s="2" t="s">
        <v>3</v>
      </c>
      <c r="G2771" s="2" t="s">
        <v>3</v>
      </c>
      <c r="H2771" s="2">
        <v>14022</v>
      </c>
      <c r="I2771" s="2">
        <v>-77</v>
      </c>
    </row>
    <row r="2772" spans="1:9" hidden="1" x14ac:dyDescent="0.3">
      <c r="A2772" t="s">
        <v>42</v>
      </c>
      <c r="B2772" s="1">
        <v>44713</v>
      </c>
      <c r="C2772" s="2">
        <v>48758</v>
      </c>
      <c r="D2772" s="2" t="s">
        <v>3</v>
      </c>
      <c r="E2772" s="2">
        <v>34659</v>
      </c>
      <c r="F2772" s="2" t="s">
        <v>3</v>
      </c>
      <c r="G2772" s="2" t="s">
        <v>3</v>
      </c>
      <c r="H2772" s="2">
        <v>14099</v>
      </c>
      <c r="I2772" s="2">
        <v>83</v>
      </c>
    </row>
    <row r="2773" spans="1:9" hidden="1" x14ac:dyDescent="0.3">
      <c r="A2773" t="s">
        <v>42</v>
      </c>
      <c r="B2773" s="1">
        <v>44682</v>
      </c>
      <c r="C2773" s="2">
        <v>47993</v>
      </c>
      <c r="D2773" s="2" t="s">
        <v>3</v>
      </c>
      <c r="E2773" s="2">
        <v>33977</v>
      </c>
      <c r="F2773" s="2" t="s">
        <v>3</v>
      </c>
      <c r="G2773" s="2" t="s">
        <v>3</v>
      </c>
      <c r="H2773" s="2">
        <v>14016</v>
      </c>
      <c r="I2773" s="2">
        <v>-199</v>
      </c>
    </row>
    <row r="2774" spans="1:9" hidden="1" x14ac:dyDescent="0.3">
      <c r="A2774" t="s">
        <v>42</v>
      </c>
      <c r="B2774" s="1">
        <v>44652</v>
      </c>
      <c r="C2774" s="2">
        <v>47287</v>
      </c>
      <c r="D2774" s="2" t="s">
        <v>3</v>
      </c>
      <c r="E2774" s="2">
        <v>33072</v>
      </c>
      <c r="F2774" s="2" t="s">
        <v>3</v>
      </c>
      <c r="G2774" s="2" t="s">
        <v>3</v>
      </c>
      <c r="H2774" s="2">
        <v>14215</v>
      </c>
      <c r="I2774" s="2">
        <v>584</v>
      </c>
    </row>
    <row r="2775" spans="1:9" hidden="1" x14ac:dyDescent="0.3">
      <c r="A2775" t="s">
        <v>42</v>
      </c>
      <c r="B2775" s="1">
        <v>44621</v>
      </c>
      <c r="C2775" s="2">
        <v>47746</v>
      </c>
      <c r="D2775" s="2" t="s">
        <v>3</v>
      </c>
      <c r="E2775" s="2">
        <v>34115</v>
      </c>
      <c r="F2775" s="2" t="s">
        <v>3</v>
      </c>
      <c r="G2775" s="2" t="s">
        <v>3</v>
      </c>
      <c r="H2775" s="2">
        <v>13631</v>
      </c>
      <c r="I2775" s="2">
        <v>803</v>
      </c>
    </row>
    <row r="2776" spans="1:9" hidden="1" x14ac:dyDescent="0.3">
      <c r="A2776" t="s">
        <v>42</v>
      </c>
      <c r="B2776" s="1">
        <v>44593</v>
      </c>
      <c r="C2776" s="2">
        <v>47090</v>
      </c>
      <c r="D2776" s="2" t="s">
        <v>3</v>
      </c>
      <c r="E2776" s="2">
        <v>34262</v>
      </c>
      <c r="F2776" s="2" t="s">
        <v>3</v>
      </c>
      <c r="G2776" s="2" t="s">
        <v>3</v>
      </c>
      <c r="H2776" s="2">
        <v>12828</v>
      </c>
      <c r="I2776" s="2">
        <v>-102</v>
      </c>
    </row>
    <row r="2777" spans="1:9" hidden="1" x14ac:dyDescent="0.3">
      <c r="A2777" t="s">
        <v>42</v>
      </c>
      <c r="B2777" s="1">
        <v>44562</v>
      </c>
      <c r="C2777" s="2">
        <v>44400</v>
      </c>
      <c r="D2777" s="2" t="s">
        <v>3</v>
      </c>
      <c r="E2777" s="2">
        <v>31470</v>
      </c>
      <c r="F2777" s="2" t="s">
        <v>3</v>
      </c>
      <c r="G2777" s="2" t="s">
        <v>3</v>
      </c>
      <c r="H2777" s="2">
        <v>12930</v>
      </c>
      <c r="I2777" s="2">
        <v>-231</v>
      </c>
    </row>
    <row r="2778" spans="1:9" hidden="1" x14ac:dyDescent="0.3">
      <c r="A2778" t="s">
        <v>42</v>
      </c>
      <c r="B2778" s="1">
        <v>44531</v>
      </c>
      <c r="C2778" s="2">
        <v>46181</v>
      </c>
      <c r="D2778" s="2" t="s">
        <v>3</v>
      </c>
      <c r="E2778" s="2">
        <v>33020</v>
      </c>
      <c r="F2778" s="2" t="s">
        <v>3</v>
      </c>
      <c r="G2778" s="2" t="s">
        <v>3</v>
      </c>
      <c r="H2778" s="2">
        <v>13161</v>
      </c>
      <c r="I2778" s="2">
        <v>-1803</v>
      </c>
    </row>
    <row r="2779" spans="1:9" hidden="1" x14ac:dyDescent="0.3">
      <c r="A2779" t="s">
        <v>42</v>
      </c>
      <c r="B2779" s="1">
        <v>44501</v>
      </c>
      <c r="C2779" s="2">
        <v>47392</v>
      </c>
      <c r="D2779" s="2" t="s">
        <v>3</v>
      </c>
      <c r="E2779" s="2">
        <v>32428</v>
      </c>
      <c r="F2779" s="2" t="s">
        <v>3</v>
      </c>
      <c r="G2779" s="2" t="s">
        <v>3</v>
      </c>
      <c r="H2779" s="2">
        <v>14964</v>
      </c>
      <c r="I2779" s="2">
        <v>-76</v>
      </c>
    </row>
    <row r="2780" spans="1:9" hidden="1" x14ac:dyDescent="0.3">
      <c r="A2780" t="s">
        <v>42</v>
      </c>
      <c r="B2780" s="1">
        <v>44470</v>
      </c>
      <c r="C2780" s="2">
        <v>49991</v>
      </c>
      <c r="D2780" s="2" t="s">
        <v>3</v>
      </c>
      <c r="E2780" s="2">
        <v>34951</v>
      </c>
      <c r="F2780" s="2" t="s">
        <v>3</v>
      </c>
      <c r="G2780" s="2" t="s">
        <v>3</v>
      </c>
      <c r="H2780" s="2">
        <v>15040</v>
      </c>
      <c r="I2780" s="2">
        <v>-3</v>
      </c>
    </row>
    <row r="2781" spans="1:9" hidden="1" x14ac:dyDescent="0.3">
      <c r="A2781" t="s">
        <v>42</v>
      </c>
      <c r="B2781" s="1">
        <v>44440</v>
      </c>
      <c r="C2781" s="2">
        <v>48424</v>
      </c>
      <c r="D2781" s="2" t="s">
        <v>3</v>
      </c>
      <c r="E2781" s="2">
        <v>33381</v>
      </c>
      <c r="F2781" s="2" t="s">
        <v>3</v>
      </c>
      <c r="G2781" s="2" t="s">
        <v>3</v>
      </c>
      <c r="H2781" s="2">
        <v>15043</v>
      </c>
      <c r="I2781" s="2">
        <v>1365</v>
      </c>
    </row>
    <row r="2782" spans="1:9" hidden="1" x14ac:dyDescent="0.3">
      <c r="A2782" t="s">
        <v>42</v>
      </c>
      <c r="B2782" s="1">
        <v>44409</v>
      </c>
      <c r="C2782" s="2">
        <v>50724</v>
      </c>
      <c r="D2782" s="2" t="s">
        <v>3</v>
      </c>
      <c r="E2782" s="2">
        <v>37046</v>
      </c>
      <c r="F2782" s="2" t="s">
        <v>3</v>
      </c>
      <c r="G2782" s="2" t="s">
        <v>3</v>
      </c>
      <c r="H2782" s="2">
        <v>13678</v>
      </c>
      <c r="I2782" s="2">
        <v>491</v>
      </c>
    </row>
    <row r="2783" spans="1:9" hidden="1" x14ac:dyDescent="0.3">
      <c r="A2783" t="s">
        <v>42</v>
      </c>
      <c r="B2783" s="1">
        <v>44378</v>
      </c>
      <c r="C2783" s="2">
        <v>50132</v>
      </c>
      <c r="D2783" s="2" t="s">
        <v>3</v>
      </c>
      <c r="E2783" s="2">
        <v>36945</v>
      </c>
      <c r="F2783" s="2" t="s">
        <v>3</v>
      </c>
      <c r="G2783" s="2" t="s">
        <v>3</v>
      </c>
      <c r="H2783" s="2">
        <v>13187</v>
      </c>
      <c r="I2783" s="2">
        <v>-250</v>
      </c>
    </row>
    <row r="2784" spans="1:9" hidden="1" x14ac:dyDescent="0.3">
      <c r="A2784" t="s">
        <v>42</v>
      </c>
      <c r="B2784" s="1">
        <v>44348</v>
      </c>
      <c r="C2784" s="2">
        <v>49584</v>
      </c>
      <c r="D2784" s="2" t="s">
        <v>3</v>
      </c>
      <c r="E2784" s="2">
        <v>36147</v>
      </c>
      <c r="F2784" s="2" t="s">
        <v>3</v>
      </c>
      <c r="G2784" s="2" t="s">
        <v>3</v>
      </c>
      <c r="H2784" s="2">
        <v>13437</v>
      </c>
      <c r="I2784" s="2">
        <v>653</v>
      </c>
    </row>
    <row r="2785" spans="1:9" hidden="1" x14ac:dyDescent="0.3">
      <c r="A2785" t="s">
        <v>42</v>
      </c>
      <c r="B2785" s="1">
        <v>44317</v>
      </c>
      <c r="C2785" s="2">
        <v>49094</v>
      </c>
      <c r="D2785" s="2" t="s">
        <v>3</v>
      </c>
      <c r="E2785" s="2">
        <v>36310</v>
      </c>
      <c r="F2785" s="2" t="s">
        <v>3</v>
      </c>
      <c r="G2785" s="2" t="s">
        <v>3</v>
      </c>
      <c r="H2785" s="2">
        <v>12784</v>
      </c>
      <c r="I2785" s="2">
        <v>678</v>
      </c>
    </row>
    <row r="2786" spans="1:9" hidden="1" x14ac:dyDescent="0.3">
      <c r="A2786" t="s">
        <v>42</v>
      </c>
      <c r="B2786" s="1">
        <v>44287</v>
      </c>
      <c r="C2786" s="2">
        <v>48390</v>
      </c>
      <c r="D2786" s="2" t="s">
        <v>3</v>
      </c>
      <c r="E2786" s="2">
        <v>36284</v>
      </c>
      <c r="F2786" s="2" t="s">
        <v>3</v>
      </c>
      <c r="G2786" s="2" t="s">
        <v>3</v>
      </c>
      <c r="H2786" s="2">
        <v>12106</v>
      </c>
      <c r="I2786" s="2">
        <v>-824</v>
      </c>
    </row>
    <row r="2787" spans="1:9" hidden="1" x14ac:dyDescent="0.3">
      <c r="A2787" t="s">
        <v>42</v>
      </c>
      <c r="B2787" s="1">
        <v>44256</v>
      </c>
      <c r="C2787" s="2">
        <v>48043</v>
      </c>
      <c r="D2787" s="2" t="s">
        <v>3</v>
      </c>
      <c r="E2787" s="2">
        <v>35113</v>
      </c>
      <c r="F2787" s="2" t="s">
        <v>3</v>
      </c>
      <c r="G2787" s="2" t="s">
        <v>3</v>
      </c>
      <c r="H2787" s="2">
        <v>12930</v>
      </c>
      <c r="I2787" s="2">
        <v>1001</v>
      </c>
    </row>
    <row r="2788" spans="1:9" hidden="1" x14ac:dyDescent="0.3">
      <c r="A2788" t="s">
        <v>42</v>
      </c>
      <c r="B2788" s="1">
        <v>44228</v>
      </c>
      <c r="C2788" s="2">
        <v>49351</v>
      </c>
      <c r="D2788" s="2" t="s">
        <v>3</v>
      </c>
      <c r="E2788" s="2">
        <v>37422</v>
      </c>
      <c r="F2788" s="2" t="s">
        <v>3</v>
      </c>
      <c r="G2788" s="2" t="s">
        <v>3</v>
      </c>
      <c r="H2788" s="2">
        <v>11929</v>
      </c>
      <c r="I2788" s="2">
        <v>-1196</v>
      </c>
    </row>
    <row r="2789" spans="1:9" hidden="1" x14ac:dyDescent="0.3">
      <c r="A2789" t="s">
        <v>42</v>
      </c>
      <c r="B2789" s="1">
        <v>44197</v>
      </c>
      <c r="C2789" s="2">
        <v>49773</v>
      </c>
      <c r="D2789" s="2" t="s">
        <v>3</v>
      </c>
      <c r="E2789" s="2">
        <v>36648</v>
      </c>
      <c r="F2789" s="2" t="s">
        <v>3</v>
      </c>
      <c r="G2789" s="2" t="s">
        <v>3</v>
      </c>
      <c r="H2789" s="2">
        <v>13125</v>
      </c>
      <c r="I2789" s="2">
        <v>297</v>
      </c>
    </row>
    <row r="2790" spans="1:9" hidden="1" x14ac:dyDescent="0.3">
      <c r="A2790" t="s">
        <v>42</v>
      </c>
      <c r="B2790" s="1">
        <v>44166</v>
      </c>
      <c r="C2790" s="2">
        <v>49399</v>
      </c>
      <c r="D2790" s="2" t="s">
        <v>3</v>
      </c>
      <c r="E2790" s="2">
        <v>36571</v>
      </c>
      <c r="F2790" s="2" t="s">
        <v>3</v>
      </c>
      <c r="G2790" s="2" t="s">
        <v>3</v>
      </c>
      <c r="H2790" s="2">
        <v>12828</v>
      </c>
      <c r="I2790" s="2">
        <v>-2467</v>
      </c>
    </row>
    <row r="2791" spans="1:9" hidden="1" x14ac:dyDescent="0.3">
      <c r="A2791" t="s">
        <v>42</v>
      </c>
      <c r="B2791" s="1">
        <v>44136</v>
      </c>
      <c r="C2791" s="2">
        <v>52702</v>
      </c>
      <c r="D2791" s="2" t="s">
        <v>3</v>
      </c>
      <c r="E2791" s="2">
        <v>37407</v>
      </c>
      <c r="F2791" s="2" t="s">
        <v>3</v>
      </c>
      <c r="G2791" s="2" t="s">
        <v>3</v>
      </c>
      <c r="H2791" s="2">
        <v>15295</v>
      </c>
      <c r="I2791" s="2">
        <v>3084</v>
      </c>
    </row>
    <row r="2792" spans="1:9" hidden="1" x14ac:dyDescent="0.3">
      <c r="A2792" t="s">
        <v>42</v>
      </c>
      <c r="B2792" s="1">
        <v>44105</v>
      </c>
      <c r="C2792" s="2">
        <v>48840</v>
      </c>
      <c r="D2792" s="2" t="s">
        <v>3</v>
      </c>
      <c r="E2792" s="2">
        <v>36629</v>
      </c>
      <c r="F2792" s="2" t="s">
        <v>3</v>
      </c>
      <c r="G2792" s="2" t="s">
        <v>3</v>
      </c>
      <c r="H2792" s="2">
        <v>12211</v>
      </c>
      <c r="I2792" s="2">
        <v>322</v>
      </c>
    </row>
    <row r="2793" spans="1:9" hidden="1" x14ac:dyDescent="0.3">
      <c r="A2793" t="s">
        <v>42</v>
      </c>
      <c r="B2793" s="1">
        <v>44075</v>
      </c>
      <c r="C2793" s="2">
        <v>49165</v>
      </c>
      <c r="D2793" s="2" t="s">
        <v>3</v>
      </c>
      <c r="E2793" s="2">
        <v>37276</v>
      </c>
      <c r="F2793" s="2" t="s">
        <v>3</v>
      </c>
      <c r="G2793" s="2" t="s">
        <v>3</v>
      </c>
      <c r="H2793" s="2">
        <v>11889</v>
      </c>
      <c r="I2793" s="2">
        <v>-1269</v>
      </c>
    </row>
    <row r="2794" spans="1:9" hidden="1" x14ac:dyDescent="0.3">
      <c r="A2794" t="s">
        <v>42</v>
      </c>
      <c r="B2794" s="1">
        <v>44044</v>
      </c>
      <c r="C2794" s="2">
        <v>49502</v>
      </c>
      <c r="D2794" s="2" t="s">
        <v>3</v>
      </c>
      <c r="E2794" s="2">
        <v>36344</v>
      </c>
      <c r="F2794" s="2" t="s">
        <v>3</v>
      </c>
      <c r="G2794" s="2" t="s">
        <v>3</v>
      </c>
      <c r="H2794" s="2">
        <v>13158</v>
      </c>
      <c r="I2794" s="2">
        <v>518</v>
      </c>
    </row>
    <row r="2795" spans="1:9" hidden="1" x14ac:dyDescent="0.3">
      <c r="A2795" t="s">
        <v>42</v>
      </c>
      <c r="B2795" s="1">
        <v>44013</v>
      </c>
      <c r="C2795" s="2">
        <v>47608</v>
      </c>
      <c r="D2795" s="2" t="s">
        <v>3</v>
      </c>
      <c r="E2795" s="2">
        <v>34968</v>
      </c>
      <c r="F2795" s="2" t="s">
        <v>3</v>
      </c>
      <c r="G2795" s="2" t="s">
        <v>3</v>
      </c>
      <c r="H2795" s="2">
        <v>12640</v>
      </c>
      <c r="I2795" s="2">
        <v>-69</v>
      </c>
    </row>
    <row r="2796" spans="1:9" hidden="1" x14ac:dyDescent="0.3">
      <c r="A2796" t="s">
        <v>42</v>
      </c>
      <c r="B2796" s="1">
        <v>43983</v>
      </c>
      <c r="C2796" s="2">
        <v>47029</v>
      </c>
      <c r="D2796" s="2" t="s">
        <v>3</v>
      </c>
      <c r="E2796" s="2">
        <v>34320</v>
      </c>
      <c r="F2796" s="2" t="s">
        <v>3</v>
      </c>
      <c r="G2796" s="2" t="s">
        <v>3</v>
      </c>
      <c r="H2796" s="2">
        <v>12709</v>
      </c>
      <c r="I2796" s="2">
        <v>-978</v>
      </c>
    </row>
    <row r="2797" spans="1:9" hidden="1" x14ac:dyDescent="0.3">
      <c r="A2797" t="s">
        <v>42</v>
      </c>
      <c r="B2797" s="1">
        <v>43952</v>
      </c>
      <c r="C2797" s="2">
        <v>47424</v>
      </c>
      <c r="D2797" s="2" t="s">
        <v>3</v>
      </c>
      <c r="E2797" s="2">
        <v>33737</v>
      </c>
      <c r="F2797" s="2" t="s">
        <v>3</v>
      </c>
      <c r="G2797" s="2" t="s">
        <v>3</v>
      </c>
      <c r="H2797" s="2">
        <v>13687</v>
      </c>
      <c r="I2797" s="2">
        <v>-1233</v>
      </c>
    </row>
    <row r="2798" spans="1:9" hidden="1" x14ac:dyDescent="0.3">
      <c r="A2798" t="s">
        <v>42</v>
      </c>
      <c r="B2798" s="1">
        <v>43922</v>
      </c>
      <c r="C2798" s="2">
        <v>45423</v>
      </c>
      <c r="D2798" s="2" t="s">
        <v>3</v>
      </c>
      <c r="E2798" s="2">
        <v>30503</v>
      </c>
      <c r="F2798" s="2" t="s">
        <v>3</v>
      </c>
      <c r="G2798" s="2" t="s">
        <v>3</v>
      </c>
      <c r="H2798" s="2">
        <v>14920</v>
      </c>
      <c r="I2798" s="2">
        <v>3883</v>
      </c>
    </row>
    <row r="2799" spans="1:9" hidden="1" x14ac:dyDescent="0.3">
      <c r="A2799" t="s">
        <v>42</v>
      </c>
      <c r="B2799" s="1">
        <v>43891</v>
      </c>
      <c r="C2799" s="2">
        <v>40863</v>
      </c>
      <c r="D2799" s="2" t="s">
        <v>3</v>
      </c>
      <c r="E2799" s="2">
        <v>29826</v>
      </c>
      <c r="F2799" s="2" t="s">
        <v>3</v>
      </c>
      <c r="G2799" s="2" t="s">
        <v>3</v>
      </c>
      <c r="H2799" s="2">
        <v>11037</v>
      </c>
      <c r="I2799" s="2">
        <v>3975</v>
      </c>
    </row>
    <row r="2800" spans="1:9" hidden="1" x14ac:dyDescent="0.3">
      <c r="A2800" t="s">
        <v>42</v>
      </c>
      <c r="B2800" s="1">
        <v>43862</v>
      </c>
      <c r="C2800" s="2">
        <v>47489</v>
      </c>
      <c r="D2800" s="2" t="s">
        <v>3</v>
      </c>
      <c r="E2800" s="2">
        <v>40427</v>
      </c>
      <c r="F2800" s="2" t="s">
        <v>3</v>
      </c>
      <c r="G2800" s="2" t="s">
        <v>3</v>
      </c>
      <c r="H2800" s="2">
        <v>7062</v>
      </c>
      <c r="I2800" s="2">
        <v>1294</v>
      </c>
    </row>
    <row r="2801" spans="1:9" hidden="1" x14ac:dyDescent="0.3">
      <c r="A2801" t="s">
        <v>42</v>
      </c>
      <c r="B2801" s="1">
        <v>43831</v>
      </c>
      <c r="C2801" s="2">
        <v>45750</v>
      </c>
      <c r="D2801" s="2" t="s">
        <v>3</v>
      </c>
      <c r="E2801" s="2">
        <v>39982</v>
      </c>
      <c r="F2801" s="2" t="s">
        <v>3</v>
      </c>
      <c r="G2801" s="2" t="s">
        <v>3</v>
      </c>
      <c r="H2801" s="2">
        <v>5768</v>
      </c>
      <c r="I2801" s="2">
        <v>-925</v>
      </c>
    </row>
    <row r="2802" spans="1:9" x14ac:dyDescent="0.3">
      <c r="A2802" t="s">
        <v>43</v>
      </c>
      <c r="B2802" s="1">
        <v>45931</v>
      </c>
      <c r="C2802" s="2">
        <v>8265</v>
      </c>
      <c r="D2802" s="2">
        <v>43</v>
      </c>
      <c r="E2802" s="2">
        <v>4283</v>
      </c>
      <c r="F2802" s="2">
        <v>206</v>
      </c>
      <c r="G2802" s="2">
        <v>-37</v>
      </c>
      <c r="H2802" s="2">
        <v>3982</v>
      </c>
      <c r="I2802" s="2">
        <v>-163</v>
      </c>
    </row>
    <row r="2803" spans="1:9" x14ac:dyDescent="0.3">
      <c r="A2803" t="s">
        <v>43</v>
      </c>
      <c r="B2803" s="1">
        <v>45901</v>
      </c>
      <c r="C2803" s="2">
        <v>8317</v>
      </c>
      <c r="D2803" s="2">
        <v>113</v>
      </c>
      <c r="E2803" s="2">
        <v>4172</v>
      </c>
      <c r="F2803" s="2">
        <v>81</v>
      </c>
      <c r="G2803" s="2">
        <v>-8</v>
      </c>
      <c r="H2803" s="2">
        <v>4145</v>
      </c>
      <c r="I2803" s="2">
        <v>32</v>
      </c>
    </row>
    <row r="2804" spans="1:9" x14ac:dyDescent="0.3">
      <c r="A2804" t="s">
        <v>43</v>
      </c>
      <c r="B2804" s="1">
        <v>45870</v>
      </c>
      <c r="C2804" s="2">
        <v>8491</v>
      </c>
      <c r="D2804" s="2">
        <v>-104</v>
      </c>
      <c r="E2804" s="2">
        <v>4378</v>
      </c>
      <c r="F2804" s="2">
        <v>172</v>
      </c>
      <c r="G2804" s="2">
        <v>11</v>
      </c>
      <c r="H2804" s="2">
        <v>4113</v>
      </c>
      <c r="I2804" s="2">
        <v>-276</v>
      </c>
    </row>
    <row r="2805" spans="1:9" x14ac:dyDescent="0.3">
      <c r="A2805" t="s">
        <v>43</v>
      </c>
      <c r="B2805" s="1">
        <v>45839</v>
      </c>
      <c r="C2805" s="2">
        <v>8626</v>
      </c>
      <c r="D2805" s="2">
        <v>60</v>
      </c>
      <c r="E2805" s="2">
        <v>4237</v>
      </c>
      <c r="F2805" s="2">
        <v>158</v>
      </c>
      <c r="G2805" s="2">
        <v>14</v>
      </c>
      <c r="H2805" s="2">
        <v>4389</v>
      </c>
      <c r="I2805" s="2">
        <v>-98</v>
      </c>
    </row>
    <row r="2806" spans="1:9" x14ac:dyDescent="0.3">
      <c r="A2806" t="s">
        <v>43</v>
      </c>
      <c r="B2806" s="1">
        <v>45809</v>
      </c>
      <c r="C2806" s="2">
        <v>8680</v>
      </c>
      <c r="D2806" s="2">
        <v>55</v>
      </c>
      <c r="E2806" s="2">
        <v>4193</v>
      </c>
      <c r="F2806" s="2">
        <v>-178</v>
      </c>
      <c r="G2806" s="2">
        <v>-26</v>
      </c>
      <c r="H2806" s="2">
        <v>4487</v>
      </c>
      <c r="I2806" s="2">
        <v>233</v>
      </c>
    </row>
    <row r="2807" spans="1:9" x14ac:dyDescent="0.3">
      <c r="A2807" t="s">
        <v>43</v>
      </c>
      <c r="B2807" s="1">
        <v>45778</v>
      </c>
      <c r="C2807" s="2">
        <v>8722</v>
      </c>
      <c r="D2807" s="2">
        <v>-207</v>
      </c>
      <c r="E2807" s="2">
        <v>4468</v>
      </c>
      <c r="F2807" s="2">
        <v>135</v>
      </c>
      <c r="G2807" s="2">
        <v>-36</v>
      </c>
      <c r="H2807" s="2">
        <v>4254</v>
      </c>
      <c r="I2807" s="2">
        <v>-342</v>
      </c>
    </row>
    <row r="2808" spans="1:9" x14ac:dyDescent="0.3">
      <c r="A2808" t="s">
        <v>43</v>
      </c>
      <c r="B2808" s="1">
        <v>45748</v>
      </c>
      <c r="C2808" s="2">
        <v>9284</v>
      </c>
      <c r="D2808" s="2">
        <v>2</v>
      </c>
      <c r="E2808" s="2">
        <v>4688</v>
      </c>
      <c r="F2808" s="2">
        <v>71</v>
      </c>
      <c r="G2808" s="2">
        <v>1</v>
      </c>
      <c r="H2808" s="2">
        <v>4596</v>
      </c>
      <c r="I2808" s="2">
        <v>-69</v>
      </c>
    </row>
    <row r="2809" spans="1:9" x14ac:dyDescent="0.3">
      <c r="A2809" t="s">
        <v>43</v>
      </c>
      <c r="B2809" s="1">
        <v>45717</v>
      </c>
      <c r="C2809" s="2">
        <v>9403</v>
      </c>
      <c r="D2809" s="2">
        <v>191</v>
      </c>
      <c r="E2809" s="2">
        <v>4738</v>
      </c>
      <c r="F2809" s="2">
        <v>281</v>
      </c>
      <c r="G2809" s="2">
        <v>11</v>
      </c>
      <c r="H2809" s="2">
        <v>4665</v>
      </c>
      <c r="I2809" s="2">
        <v>-90</v>
      </c>
    </row>
    <row r="2810" spans="1:9" x14ac:dyDescent="0.3">
      <c r="A2810" t="s">
        <v>43</v>
      </c>
      <c r="B2810" s="1">
        <v>45689</v>
      </c>
      <c r="C2810" s="2">
        <v>9321</v>
      </c>
      <c r="D2810" s="2">
        <v>-207</v>
      </c>
      <c r="E2810" s="2">
        <v>4566</v>
      </c>
      <c r="F2810" s="2">
        <v>-3</v>
      </c>
      <c r="G2810" s="2">
        <v>4</v>
      </c>
      <c r="H2810" s="2">
        <v>4755</v>
      </c>
      <c r="I2810" s="2">
        <v>-204</v>
      </c>
    </row>
    <row r="2811" spans="1:9" x14ac:dyDescent="0.3">
      <c r="A2811" t="s">
        <v>43</v>
      </c>
      <c r="B2811" s="1">
        <v>45658</v>
      </c>
      <c r="C2811" s="2">
        <v>9596</v>
      </c>
      <c r="D2811" s="2">
        <v>223</v>
      </c>
      <c r="E2811" s="2">
        <v>4637</v>
      </c>
      <c r="F2811" s="2">
        <v>89</v>
      </c>
      <c r="G2811" s="2">
        <v>-17</v>
      </c>
      <c r="H2811" s="2">
        <v>4959</v>
      </c>
      <c r="I2811" s="2">
        <v>134</v>
      </c>
    </row>
    <row r="2812" spans="1:9" x14ac:dyDescent="0.3">
      <c r="A2812" t="s">
        <v>43</v>
      </c>
      <c r="B2812" s="1">
        <v>45627</v>
      </c>
      <c r="C2812" s="2">
        <v>9441</v>
      </c>
      <c r="D2812" s="2">
        <v>550</v>
      </c>
      <c r="E2812" s="2">
        <v>4616</v>
      </c>
      <c r="F2812" s="2">
        <v>168</v>
      </c>
      <c r="G2812" s="2">
        <v>23</v>
      </c>
      <c r="H2812" s="2">
        <v>4825</v>
      </c>
      <c r="I2812" s="2">
        <v>382</v>
      </c>
    </row>
    <row r="2813" spans="1:9" x14ac:dyDescent="0.3">
      <c r="A2813" t="s">
        <v>43</v>
      </c>
      <c r="B2813" s="1">
        <v>45597</v>
      </c>
      <c r="C2813" s="2">
        <v>8930</v>
      </c>
      <c r="D2813" s="2">
        <v>162</v>
      </c>
      <c r="E2813" s="2">
        <v>4487</v>
      </c>
      <c r="F2813" s="2">
        <v>143</v>
      </c>
      <c r="G2813" s="2">
        <v>5</v>
      </c>
      <c r="H2813" s="2">
        <v>4443</v>
      </c>
      <c r="I2813" s="2">
        <v>19</v>
      </c>
    </row>
    <row r="2814" spans="1:9" x14ac:dyDescent="0.3">
      <c r="A2814" t="s">
        <v>43</v>
      </c>
      <c r="B2814" s="1">
        <v>45566</v>
      </c>
      <c r="C2814" s="2">
        <v>8790</v>
      </c>
      <c r="D2814" s="2">
        <v>-435</v>
      </c>
      <c r="E2814" s="2">
        <v>4366</v>
      </c>
      <c r="F2814" s="2">
        <v>3</v>
      </c>
      <c r="G2814" s="2">
        <v>-53</v>
      </c>
      <c r="H2814" s="2">
        <v>4424</v>
      </c>
      <c r="I2814" s="2">
        <v>-438</v>
      </c>
    </row>
    <row r="2815" spans="1:9" x14ac:dyDescent="0.3">
      <c r="A2815" t="s">
        <v>43</v>
      </c>
      <c r="B2815" s="1">
        <v>45536</v>
      </c>
      <c r="C2815" s="2">
        <v>9149</v>
      </c>
      <c r="D2815" s="2">
        <v>-397</v>
      </c>
      <c r="E2815" s="2">
        <v>4287</v>
      </c>
      <c r="F2815" s="2">
        <v>-54</v>
      </c>
      <c r="G2815" s="2">
        <v>-3</v>
      </c>
      <c r="H2815" s="2">
        <v>4862</v>
      </c>
      <c r="I2815" s="2">
        <v>-343</v>
      </c>
    </row>
    <row r="2816" spans="1:9" x14ac:dyDescent="0.3">
      <c r="A2816" t="s">
        <v>43</v>
      </c>
      <c r="B2816" s="1">
        <v>45505</v>
      </c>
      <c r="C2816" s="2">
        <v>9704</v>
      </c>
      <c r="D2816" s="2">
        <v>54</v>
      </c>
      <c r="E2816" s="2">
        <v>4499</v>
      </c>
      <c r="F2816" s="2">
        <v>131</v>
      </c>
      <c r="G2816" s="2">
        <v>27</v>
      </c>
      <c r="H2816" s="2">
        <v>5205</v>
      </c>
      <c r="I2816" s="2">
        <v>-77</v>
      </c>
    </row>
    <row r="2817" spans="1:9" x14ac:dyDescent="0.3">
      <c r="A2817" t="s">
        <v>43</v>
      </c>
      <c r="B2817" s="1">
        <v>45474</v>
      </c>
      <c r="C2817" s="2">
        <v>9551</v>
      </c>
      <c r="D2817" s="2">
        <v>59</v>
      </c>
      <c r="E2817" s="2">
        <v>4269</v>
      </c>
      <c r="F2817" s="2">
        <v>78</v>
      </c>
      <c r="G2817" s="2">
        <v>78</v>
      </c>
      <c r="H2817" s="2">
        <v>5282</v>
      </c>
      <c r="I2817" s="2">
        <v>-19</v>
      </c>
    </row>
    <row r="2818" spans="1:9" x14ac:dyDescent="0.3">
      <c r="A2818" t="s">
        <v>43</v>
      </c>
      <c r="B2818" s="1">
        <v>45444</v>
      </c>
      <c r="C2818" s="2">
        <v>9474</v>
      </c>
      <c r="D2818" s="2">
        <v>-372</v>
      </c>
      <c r="E2818" s="2">
        <v>4173</v>
      </c>
      <c r="F2818" s="2">
        <v>79</v>
      </c>
      <c r="G2818" s="2">
        <v>17</v>
      </c>
      <c r="H2818" s="2">
        <v>5301</v>
      </c>
      <c r="I2818" s="2">
        <v>-451</v>
      </c>
    </row>
    <row r="2819" spans="1:9" x14ac:dyDescent="0.3">
      <c r="A2819" t="s">
        <v>43</v>
      </c>
      <c r="B2819" s="1">
        <v>45413</v>
      </c>
      <c r="C2819" s="2">
        <v>9807</v>
      </c>
      <c r="D2819" s="2">
        <v>-905</v>
      </c>
      <c r="E2819" s="2">
        <v>4055</v>
      </c>
      <c r="F2819" s="2">
        <v>-22</v>
      </c>
      <c r="G2819" s="2">
        <v>14</v>
      </c>
      <c r="H2819" s="2">
        <v>5752</v>
      </c>
      <c r="I2819" s="2">
        <v>-883</v>
      </c>
    </row>
    <row r="2820" spans="1:9" x14ac:dyDescent="0.3">
      <c r="A2820" t="s">
        <v>43</v>
      </c>
      <c r="B2820" s="1">
        <v>45383</v>
      </c>
      <c r="C2820" s="2">
        <v>10720</v>
      </c>
      <c r="D2820" s="2">
        <v>-604</v>
      </c>
      <c r="E2820" s="2">
        <v>4085</v>
      </c>
      <c r="F2820" s="2">
        <v>4</v>
      </c>
      <c r="G2820" s="2">
        <v>-7</v>
      </c>
      <c r="H2820" s="2">
        <v>6635</v>
      </c>
      <c r="I2820" s="2">
        <v>-608</v>
      </c>
    </row>
    <row r="2821" spans="1:9" x14ac:dyDescent="0.3">
      <c r="A2821" t="s">
        <v>43</v>
      </c>
      <c r="B2821" s="1">
        <v>45352</v>
      </c>
      <c r="C2821" s="2">
        <v>11344</v>
      </c>
      <c r="D2821" s="2">
        <v>883</v>
      </c>
      <c r="E2821" s="2">
        <v>4101</v>
      </c>
      <c r="F2821" s="2">
        <v>56</v>
      </c>
      <c r="G2821" s="2">
        <v>-33</v>
      </c>
      <c r="H2821" s="2">
        <v>7243</v>
      </c>
      <c r="I2821" s="2">
        <v>827</v>
      </c>
    </row>
    <row r="2822" spans="1:9" x14ac:dyDescent="0.3">
      <c r="A2822" t="s">
        <v>43</v>
      </c>
      <c r="B2822" s="1">
        <v>45323</v>
      </c>
      <c r="C2822" s="2">
        <v>10480</v>
      </c>
      <c r="D2822" s="2">
        <v>146</v>
      </c>
      <c r="E2822" s="2">
        <v>4064</v>
      </c>
      <c r="F2822" s="2">
        <v>119</v>
      </c>
      <c r="G2822" s="2">
        <v>6</v>
      </c>
      <c r="H2822" s="2">
        <v>6416</v>
      </c>
      <c r="I2822" s="2">
        <v>27</v>
      </c>
    </row>
    <row r="2823" spans="1:9" x14ac:dyDescent="0.3">
      <c r="A2823" t="s">
        <v>43</v>
      </c>
      <c r="B2823" s="1">
        <v>45292</v>
      </c>
      <c r="C2823" s="2">
        <v>10416</v>
      </c>
      <c r="D2823" s="2">
        <v>200</v>
      </c>
      <c r="E2823" s="2">
        <v>4027</v>
      </c>
      <c r="F2823" s="2">
        <v>68</v>
      </c>
      <c r="G2823" s="2">
        <v>-76</v>
      </c>
      <c r="H2823" s="2">
        <v>6389</v>
      </c>
      <c r="I2823" s="2">
        <v>132</v>
      </c>
    </row>
    <row r="2824" spans="1:9" x14ac:dyDescent="0.3">
      <c r="A2824" t="s">
        <v>43</v>
      </c>
      <c r="B2824" s="1">
        <v>45261</v>
      </c>
      <c r="C2824" s="2">
        <v>10341</v>
      </c>
      <c r="D2824" s="2">
        <v>533</v>
      </c>
      <c r="E2824" s="2">
        <v>4084</v>
      </c>
      <c r="F2824" s="2">
        <v>339</v>
      </c>
      <c r="G2824" s="2">
        <v>24</v>
      </c>
      <c r="H2824" s="2">
        <v>6257</v>
      </c>
      <c r="I2824" s="2">
        <v>194</v>
      </c>
    </row>
    <row r="2825" spans="1:9" x14ac:dyDescent="0.3">
      <c r="A2825" t="s">
        <v>43</v>
      </c>
      <c r="B2825" s="1">
        <v>45231</v>
      </c>
      <c r="C2825" s="2">
        <v>9777</v>
      </c>
      <c r="D2825" s="2">
        <v>3</v>
      </c>
      <c r="E2825" s="2">
        <v>3714</v>
      </c>
      <c r="F2825" s="2">
        <v>286</v>
      </c>
      <c r="G2825" s="2">
        <v>38</v>
      </c>
      <c r="H2825" s="2">
        <v>6063</v>
      </c>
      <c r="I2825" s="2">
        <v>-283</v>
      </c>
    </row>
    <row r="2826" spans="1:9" x14ac:dyDescent="0.3">
      <c r="A2826" t="s">
        <v>43</v>
      </c>
      <c r="B2826" s="1">
        <v>45200</v>
      </c>
      <c r="C2826" s="2">
        <v>9786</v>
      </c>
      <c r="D2826" s="2">
        <v>244</v>
      </c>
      <c r="E2826" s="2">
        <v>3440</v>
      </c>
      <c r="F2826" s="2">
        <v>-66</v>
      </c>
      <c r="G2826" s="2">
        <v>-18</v>
      </c>
      <c r="H2826" s="2">
        <v>6346</v>
      </c>
      <c r="I2826" s="2">
        <v>310</v>
      </c>
    </row>
    <row r="2827" spans="1:9" x14ac:dyDescent="0.3">
      <c r="A2827" t="s">
        <v>43</v>
      </c>
      <c r="B2827" s="1">
        <v>45170</v>
      </c>
      <c r="C2827" s="2">
        <v>9634</v>
      </c>
      <c r="D2827" s="2">
        <v>31</v>
      </c>
      <c r="E2827" s="2">
        <v>3598</v>
      </c>
      <c r="F2827" s="2">
        <v>46</v>
      </c>
      <c r="G2827" s="2">
        <v>10</v>
      </c>
      <c r="H2827" s="2">
        <v>6036</v>
      </c>
      <c r="I2827" s="2">
        <v>-15</v>
      </c>
    </row>
    <row r="2828" spans="1:9" x14ac:dyDescent="0.3">
      <c r="A2828" t="s">
        <v>43</v>
      </c>
      <c r="B2828" s="1">
        <v>45139</v>
      </c>
      <c r="C2828" s="2">
        <v>9592</v>
      </c>
      <c r="D2828" s="2">
        <v>299</v>
      </c>
      <c r="E2828" s="2">
        <v>3541</v>
      </c>
      <c r="F2828" s="2">
        <v>126</v>
      </c>
      <c r="G2828" s="2">
        <v>-14</v>
      </c>
      <c r="H2828" s="2">
        <v>6051</v>
      </c>
      <c r="I2828" s="2">
        <v>173</v>
      </c>
    </row>
    <row r="2829" spans="1:9" x14ac:dyDescent="0.3">
      <c r="A2829" t="s">
        <v>43</v>
      </c>
      <c r="B2829" s="1">
        <v>45108</v>
      </c>
      <c r="C2829" s="2">
        <v>9370</v>
      </c>
      <c r="D2829" s="2">
        <v>-117</v>
      </c>
      <c r="E2829" s="2">
        <v>3492</v>
      </c>
      <c r="F2829" s="2">
        <v>36</v>
      </c>
      <c r="G2829" s="2">
        <v>10</v>
      </c>
      <c r="H2829" s="2">
        <v>5878</v>
      </c>
      <c r="I2829" s="2">
        <v>-153</v>
      </c>
    </row>
    <row r="2830" spans="1:9" x14ac:dyDescent="0.3">
      <c r="A2830" t="s">
        <v>43</v>
      </c>
      <c r="B2830" s="1">
        <v>45078</v>
      </c>
      <c r="C2830" s="2">
        <v>9521</v>
      </c>
      <c r="D2830" s="2">
        <v>232</v>
      </c>
      <c r="E2830" s="2">
        <v>3490</v>
      </c>
      <c r="F2830" s="2">
        <v>45</v>
      </c>
      <c r="G2830" s="2">
        <v>34</v>
      </c>
      <c r="H2830" s="2">
        <v>6031</v>
      </c>
      <c r="I2830" s="2">
        <v>187</v>
      </c>
    </row>
    <row r="2831" spans="1:9" x14ac:dyDescent="0.3">
      <c r="A2831" t="s">
        <v>43</v>
      </c>
      <c r="B2831" s="1">
        <v>45047</v>
      </c>
      <c r="C2831" s="2">
        <v>9219</v>
      </c>
      <c r="D2831" s="2">
        <v>1132</v>
      </c>
      <c r="E2831" s="2">
        <v>3375</v>
      </c>
      <c r="F2831" s="2">
        <v>302</v>
      </c>
      <c r="G2831" s="2">
        <v>-36</v>
      </c>
      <c r="H2831" s="2">
        <v>5844</v>
      </c>
      <c r="I2831" s="2">
        <v>830</v>
      </c>
    </row>
    <row r="2832" spans="1:9" x14ac:dyDescent="0.3">
      <c r="A2832" t="s">
        <v>43</v>
      </c>
      <c r="B2832" s="1">
        <v>45017</v>
      </c>
      <c r="C2832" s="2">
        <v>8249</v>
      </c>
      <c r="D2832" s="2">
        <v>-283</v>
      </c>
      <c r="E2832" s="2">
        <v>3235</v>
      </c>
      <c r="F2832" s="2">
        <v>185</v>
      </c>
      <c r="G2832" s="2">
        <v>36</v>
      </c>
      <c r="H2832" s="2">
        <v>5014</v>
      </c>
      <c r="I2832" s="2">
        <v>-468</v>
      </c>
    </row>
    <row r="2833" spans="1:9" x14ac:dyDescent="0.3">
      <c r="A2833" t="s">
        <v>43</v>
      </c>
      <c r="B2833" s="1">
        <v>44986</v>
      </c>
      <c r="C2833" s="2">
        <v>8486</v>
      </c>
      <c r="D2833" s="2">
        <v>462</v>
      </c>
      <c r="E2833" s="2">
        <v>3004</v>
      </c>
      <c r="F2833" s="2">
        <v>142</v>
      </c>
      <c r="G2833" s="2">
        <v>37</v>
      </c>
      <c r="H2833" s="2">
        <v>5482</v>
      </c>
      <c r="I2833" s="2">
        <v>320</v>
      </c>
    </row>
    <row r="2834" spans="1:9" x14ac:dyDescent="0.3">
      <c r="A2834" t="s">
        <v>43</v>
      </c>
      <c r="B2834" s="1">
        <v>44958</v>
      </c>
      <c r="C2834" s="2">
        <v>8019</v>
      </c>
      <c r="D2834" s="2">
        <v>138</v>
      </c>
      <c r="E2834" s="2">
        <v>2857</v>
      </c>
      <c r="F2834" s="2">
        <v>91</v>
      </c>
      <c r="G2834" s="2">
        <v>-26</v>
      </c>
      <c r="H2834" s="2">
        <v>5162</v>
      </c>
      <c r="I2834" s="2">
        <v>47</v>
      </c>
    </row>
    <row r="2835" spans="1:9" hidden="1" x14ac:dyDescent="0.3">
      <c r="A2835" t="s">
        <v>43</v>
      </c>
      <c r="B2835" s="1">
        <v>44927</v>
      </c>
      <c r="C2835" s="2">
        <v>7978</v>
      </c>
      <c r="D2835" s="2" t="s">
        <v>3</v>
      </c>
      <c r="E2835" s="2">
        <v>2863</v>
      </c>
      <c r="F2835" s="2" t="s">
        <v>3</v>
      </c>
      <c r="G2835" s="2" t="s">
        <v>3</v>
      </c>
      <c r="H2835" s="2">
        <v>5115</v>
      </c>
      <c r="I2835" s="2">
        <v>997</v>
      </c>
    </row>
    <row r="2836" spans="1:9" hidden="1" x14ac:dyDescent="0.3">
      <c r="A2836" t="s">
        <v>43</v>
      </c>
      <c r="B2836" s="1">
        <v>44896</v>
      </c>
      <c r="C2836" s="2">
        <v>6947</v>
      </c>
      <c r="D2836" s="2" t="s">
        <v>3</v>
      </c>
      <c r="E2836" s="2">
        <v>2829</v>
      </c>
      <c r="F2836" s="2" t="s">
        <v>3</v>
      </c>
      <c r="G2836" s="2" t="s">
        <v>3</v>
      </c>
      <c r="H2836" s="2">
        <v>4118</v>
      </c>
      <c r="I2836" s="2">
        <v>466</v>
      </c>
    </row>
    <row r="2837" spans="1:9" hidden="1" x14ac:dyDescent="0.3">
      <c r="A2837" t="s">
        <v>43</v>
      </c>
      <c r="B2837" s="1">
        <v>44866</v>
      </c>
      <c r="C2837" s="2">
        <v>6352</v>
      </c>
      <c r="D2837" s="2" t="s">
        <v>3</v>
      </c>
      <c r="E2837" s="2">
        <v>2700</v>
      </c>
      <c r="F2837" s="2" t="s">
        <v>3</v>
      </c>
      <c r="G2837" s="2" t="s">
        <v>3</v>
      </c>
      <c r="H2837" s="2">
        <v>3652</v>
      </c>
      <c r="I2837" s="2">
        <v>304</v>
      </c>
    </row>
    <row r="2838" spans="1:9" hidden="1" x14ac:dyDescent="0.3">
      <c r="A2838" t="s">
        <v>43</v>
      </c>
      <c r="B2838" s="1">
        <v>44835</v>
      </c>
      <c r="C2838" s="2">
        <v>6013</v>
      </c>
      <c r="D2838" s="2" t="s">
        <v>3</v>
      </c>
      <c r="E2838" s="2">
        <v>2665</v>
      </c>
      <c r="F2838" s="2" t="s">
        <v>3</v>
      </c>
      <c r="G2838" s="2" t="s">
        <v>3</v>
      </c>
      <c r="H2838" s="2">
        <v>3348</v>
      </c>
      <c r="I2838" s="2">
        <v>105</v>
      </c>
    </row>
    <row r="2839" spans="1:9" hidden="1" x14ac:dyDescent="0.3">
      <c r="A2839" t="s">
        <v>43</v>
      </c>
      <c r="B2839" s="1">
        <v>44805</v>
      </c>
      <c r="C2839" s="2">
        <v>5827</v>
      </c>
      <c r="D2839" s="2" t="s">
        <v>3</v>
      </c>
      <c r="E2839" s="2">
        <v>2584</v>
      </c>
      <c r="F2839" s="2" t="s">
        <v>3</v>
      </c>
      <c r="G2839" s="2" t="s">
        <v>3</v>
      </c>
      <c r="H2839" s="2">
        <v>3243</v>
      </c>
      <c r="I2839" s="2">
        <v>437</v>
      </c>
    </row>
    <row r="2840" spans="1:9" hidden="1" x14ac:dyDescent="0.3">
      <c r="A2840" t="s">
        <v>43</v>
      </c>
      <c r="B2840" s="1">
        <v>44774</v>
      </c>
      <c r="C2840" s="2">
        <v>5145</v>
      </c>
      <c r="D2840" s="2" t="s">
        <v>3</v>
      </c>
      <c r="E2840" s="2">
        <v>2339</v>
      </c>
      <c r="F2840" s="2" t="s">
        <v>3</v>
      </c>
      <c r="G2840" s="2" t="s">
        <v>3</v>
      </c>
      <c r="H2840" s="2">
        <v>2806</v>
      </c>
      <c r="I2840" s="2">
        <v>397</v>
      </c>
    </row>
    <row r="2841" spans="1:9" hidden="1" x14ac:dyDescent="0.3">
      <c r="A2841" t="s">
        <v>43</v>
      </c>
      <c r="B2841" s="1">
        <v>44743</v>
      </c>
      <c r="C2841" s="2">
        <v>4616</v>
      </c>
      <c r="D2841" s="2" t="s">
        <v>3</v>
      </c>
      <c r="E2841" s="2">
        <v>2207</v>
      </c>
      <c r="F2841" s="2" t="s">
        <v>3</v>
      </c>
      <c r="G2841" s="2" t="s">
        <v>3</v>
      </c>
      <c r="H2841" s="2">
        <v>2409</v>
      </c>
      <c r="I2841" s="2">
        <v>20</v>
      </c>
    </row>
    <row r="2842" spans="1:9" hidden="1" x14ac:dyDescent="0.3">
      <c r="A2842" t="s">
        <v>43</v>
      </c>
      <c r="B2842" s="1">
        <v>44713</v>
      </c>
      <c r="C2842" s="2">
        <v>4484</v>
      </c>
      <c r="D2842" s="2" t="s">
        <v>3</v>
      </c>
      <c r="E2842" s="2">
        <v>2095</v>
      </c>
      <c r="F2842" s="2" t="s">
        <v>3</v>
      </c>
      <c r="G2842" s="2" t="s">
        <v>3</v>
      </c>
      <c r="H2842" s="2">
        <v>2389</v>
      </c>
      <c r="I2842" s="2">
        <v>266</v>
      </c>
    </row>
    <row r="2843" spans="1:9" hidden="1" x14ac:dyDescent="0.3">
      <c r="A2843" t="s">
        <v>43</v>
      </c>
      <c r="B2843" s="1">
        <v>44682</v>
      </c>
      <c r="C2843" s="2">
        <v>4124</v>
      </c>
      <c r="D2843" s="2" t="s">
        <v>3</v>
      </c>
      <c r="E2843" s="2">
        <v>2001</v>
      </c>
      <c r="F2843" s="2" t="s">
        <v>3</v>
      </c>
      <c r="G2843" s="2" t="s">
        <v>3</v>
      </c>
      <c r="H2843" s="2">
        <v>2123</v>
      </c>
      <c r="I2843" s="2">
        <v>347</v>
      </c>
    </row>
    <row r="2844" spans="1:9" hidden="1" x14ac:dyDescent="0.3">
      <c r="A2844" t="s">
        <v>43</v>
      </c>
      <c r="B2844" s="1">
        <v>44652</v>
      </c>
      <c r="C2844" s="2">
        <v>3683</v>
      </c>
      <c r="D2844" s="2" t="s">
        <v>3</v>
      </c>
      <c r="E2844" s="2">
        <v>1907</v>
      </c>
      <c r="F2844" s="2" t="s">
        <v>3</v>
      </c>
      <c r="G2844" s="2" t="s">
        <v>3</v>
      </c>
      <c r="H2844" s="2">
        <v>1776</v>
      </c>
      <c r="I2844" s="2">
        <v>-465</v>
      </c>
    </row>
    <row r="2845" spans="1:9" hidden="1" x14ac:dyDescent="0.3">
      <c r="A2845" t="s">
        <v>43</v>
      </c>
      <c r="B2845" s="1">
        <v>44621</v>
      </c>
      <c r="C2845" s="2">
        <v>3966</v>
      </c>
      <c r="D2845" s="2" t="s">
        <v>3</v>
      </c>
      <c r="E2845" s="2">
        <v>1725</v>
      </c>
      <c r="F2845" s="2" t="s">
        <v>3</v>
      </c>
      <c r="G2845" s="2" t="s">
        <v>3</v>
      </c>
      <c r="H2845" s="2">
        <v>2241</v>
      </c>
      <c r="I2845" s="2">
        <v>81</v>
      </c>
    </row>
    <row r="2846" spans="1:9" hidden="1" x14ac:dyDescent="0.3">
      <c r="A2846" t="s">
        <v>43</v>
      </c>
      <c r="B2846" s="1">
        <v>44593</v>
      </c>
      <c r="C2846" s="2">
        <v>3551</v>
      </c>
      <c r="D2846" s="2" t="s">
        <v>3</v>
      </c>
      <c r="E2846" s="2">
        <v>1391</v>
      </c>
      <c r="F2846" s="2" t="s">
        <v>3</v>
      </c>
      <c r="G2846" s="2" t="s">
        <v>3</v>
      </c>
      <c r="H2846" s="2">
        <v>2160</v>
      </c>
      <c r="I2846" s="2">
        <v>277</v>
      </c>
    </row>
    <row r="2847" spans="1:9" hidden="1" x14ac:dyDescent="0.3">
      <c r="A2847" t="s">
        <v>43</v>
      </c>
      <c r="B2847" s="1">
        <v>44562</v>
      </c>
      <c r="C2847" s="2">
        <v>3344</v>
      </c>
      <c r="D2847" s="2" t="s">
        <v>3</v>
      </c>
      <c r="E2847" s="2">
        <v>1461</v>
      </c>
      <c r="F2847" s="2" t="s">
        <v>3</v>
      </c>
      <c r="G2847" s="2" t="s">
        <v>3</v>
      </c>
      <c r="H2847" s="2">
        <v>1883</v>
      </c>
      <c r="I2847" s="2">
        <v>-63</v>
      </c>
    </row>
    <row r="2848" spans="1:9" hidden="1" x14ac:dyDescent="0.3">
      <c r="A2848" t="s">
        <v>43</v>
      </c>
      <c r="B2848" s="1">
        <v>44531</v>
      </c>
      <c r="C2848" s="2">
        <v>3313</v>
      </c>
      <c r="D2848" s="2" t="s">
        <v>3</v>
      </c>
      <c r="E2848" s="2">
        <v>1367</v>
      </c>
      <c r="F2848" s="2" t="s">
        <v>3</v>
      </c>
      <c r="G2848" s="2" t="s">
        <v>3</v>
      </c>
      <c r="H2848" s="2">
        <v>1946</v>
      </c>
      <c r="I2848" s="2">
        <v>486</v>
      </c>
    </row>
    <row r="2849" spans="1:9" hidden="1" x14ac:dyDescent="0.3">
      <c r="A2849" t="s">
        <v>43</v>
      </c>
      <c r="B2849" s="1">
        <v>44501</v>
      </c>
      <c r="C2849" s="2">
        <v>2753</v>
      </c>
      <c r="D2849" s="2" t="s">
        <v>3</v>
      </c>
      <c r="E2849" s="2">
        <v>1293</v>
      </c>
      <c r="F2849" s="2" t="s">
        <v>3</v>
      </c>
      <c r="G2849" s="2" t="s">
        <v>3</v>
      </c>
      <c r="H2849" s="2">
        <v>1460</v>
      </c>
      <c r="I2849" s="2">
        <v>-392</v>
      </c>
    </row>
    <row r="2850" spans="1:9" hidden="1" x14ac:dyDescent="0.3">
      <c r="A2850" t="s">
        <v>43</v>
      </c>
      <c r="B2850" s="1">
        <v>44470</v>
      </c>
      <c r="C2850" s="2">
        <v>3417</v>
      </c>
      <c r="D2850" s="2" t="s">
        <v>3</v>
      </c>
      <c r="E2850" s="2">
        <v>1565</v>
      </c>
      <c r="F2850" s="2" t="s">
        <v>3</v>
      </c>
      <c r="G2850" s="2" t="s">
        <v>3</v>
      </c>
      <c r="H2850" s="2">
        <v>1852</v>
      </c>
      <c r="I2850" s="2">
        <v>102</v>
      </c>
    </row>
    <row r="2851" spans="1:9" hidden="1" x14ac:dyDescent="0.3">
      <c r="A2851" t="s">
        <v>43</v>
      </c>
      <c r="B2851" s="1">
        <v>44440</v>
      </c>
      <c r="C2851" s="2">
        <v>3192</v>
      </c>
      <c r="D2851" s="2" t="s">
        <v>3</v>
      </c>
      <c r="E2851" s="2">
        <v>1442</v>
      </c>
      <c r="F2851" s="2" t="s">
        <v>3</v>
      </c>
      <c r="G2851" s="2" t="s">
        <v>3</v>
      </c>
      <c r="H2851" s="2">
        <v>1750</v>
      </c>
      <c r="I2851" s="2">
        <v>93</v>
      </c>
    </row>
    <row r="2852" spans="1:9" hidden="1" x14ac:dyDescent="0.3">
      <c r="A2852" t="s">
        <v>43</v>
      </c>
      <c r="B2852" s="1">
        <v>44409</v>
      </c>
      <c r="C2852" s="2">
        <v>3074</v>
      </c>
      <c r="D2852" s="2" t="s">
        <v>3</v>
      </c>
      <c r="E2852" s="2">
        <v>1417</v>
      </c>
      <c r="F2852" s="2" t="s">
        <v>3</v>
      </c>
      <c r="G2852" s="2" t="s">
        <v>3</v>
      </c>
      <c r="H2852" s="2">
        <v>1657</v>
      </c>
      <c r="I2852" s="2">
        <v>42</v>
      </c>
    </row>
    <row r="2853" spans="1:9" hidden="1" x14ac:dyDescent="0.3">
      <c r="A2853" t="s">
        <v>43</v>
      </c>
      <c r="B2853" s="1">
        <v>44378</v>
      </c>
      <c r="C2853" s="2">
        <v>3092</v>
      </c>
      <c r="D2853" s="2" t="s">
        <v>3</v>
      </c>
      <c r="E2853" s="2">
        <v>1477</v>
      </c>
      <c r="F2853" s="2" t="s">
        <v>3</v>
      </c>
      <c r="G2853" s="2" t="s">
        <v>3</v>
      </c>
      <c r="H2853" s="2">
        <v>1615</v>
      </c>
      <c r="I2853" s="2">
        <v>-116</v>
      </c>
    </row>
    <row r="2854" spans="1:9" hidden="1" x14ac:dyDescent="0.3">
      <c r="A2854" t="s">
        <v>43</v>
      </c>
      <c r="B2854" s="1">
        <v>44348</v>
      </c>
      <c r="C2854" s="2">
        <v>3261</v>
      </c>
      <c r="D2854" s="2" t="s">
        <v>3</v>
      </c>
      <c r="E2854" s="2">
        <v>1530</v>
      </c>
      <c r="F2854" s="2" t="s">
        <v>3</v>
      </c>
      <c r="G2854" s="2" t="s">
        <v>3</v>
      </c>
      <c r="H2854" s="2">
        <v>1731</v>
      </c>
      <c r="I2854" s="2">
        <v>687</v>
      </c>
    </row>
    <row r="2855" spans="1:9" hidden="1" x14ac:dyDescent="0.3">
      <c r="A2855" t="s">
        <v>43</v>
      </c>
      <c r="B2855" s="1">
        <v>44317</v>
      </c>
      <c r="C2855" s="2">
        <v>2647</v>
      </c>
      <c r="D2855" s="2" t="s">
        <v>3</v>
      </c>
      <c r="E2855" s="2">
        <v>1603</v>
      </c>
      <c r="F2855" s="2" t="s">
        <v>3</v>
      </c>
      <c r="G2855" s="2" t="s">
        <v>3</v>
      </c>
      <c r="H2855" s="2">
        <v>1044</v>
      </c>
      <c r="I2855" s="2">
        <v>133</v>
      </c>
    </row>
    <row r="2856" spans="1:9" hidden="1" x14ac:dyDescent="0.3">
      <c r="A2856" t="s">
        <v>43</v>
      </c>
      <c r="B2856" s="1">
        <v>44287</v>
      </c>
      <c r="C2856" s="2">
        <v>2472</v>
      </c>
      <c r="D2856" s="2" t="s">
        <v>3</v>
      </c>
      <c r="E2856" s="2">
        <v>1561</v>
      </c>
      <c r="F2856" s="2" t="s">
        <v>3</v>
      </c>
      <c r="G2856" s="2" t="s">
        <v>3</v>
      </c>
      <c r="H2856" s="2">
        <v>911</v>
      </c>
      <c r="I2856" s="2">
        <v>-805</v>
      </c>
    </row>
    <row r="2857" spans="1:9" hidden="1" x14ac:dyDescent="0.3">
      <c r="A2857" t="s">
        <v>43</v>
      </c>
      <c r="B2857" s="1">
        <v>44256</v>
      </c>
      <c r="C2857" s="2">
        <v>3244</v>
      </c>
      <c r="D2857" s="2" t="s">
        <v>3</v>
      </c>
      <c r="E2857" s="2">
        <v>1528</v>
      </c>
      <c r="F2857" s="2" t="s">
        <v>3</v>
      </c>
      <c r="G2857" s="2" t="s">
        <v>3</v>
      </c>
      <c r="H2857" s="2">
        <v>1716</v>
      </c>
      <c r="I2857" s="2">
        <v>-420</v>
      </c>
    </row>
    <row r="2858" spans="1:9" hidden="1" x14ac:dyDescent="0.3">
      <c r="A2858" t="s">
        <v>43</v>
      </c>
      <c r="B2858" s="1">
        <v>44228</v>
      </c>
      <c r="C2858" s="2">
        <v>3644</v>
      </c>
      <c r="D2858" s="2" t="s">
        <v>3</v>
      </c>
      <c r="E2858" s="2">
        <v>1508</v>
      </c>
      <c r="F2858" s="2" t="s">
        <v>3</v>
      </c>
      <c r="G2858" s="2" t="s">
        <v>3</v>
      </c>
      <c r="H2858" s="2">
        <v>2136</v>
      </c>
      <c r="I2858" s="2">
        <v>-755</v>
      </c>
    </row>
    <row r="2859" spans="1:9" hidden="1" x14ac:dyDescent="0.3">
      <c r="A2859" t="s">
        <v>43</v>
      </c>
      <c r="B2859" s="1">
        <v>44197</v>
      </c>
      <c r="C2859" s="2">
        <v>4404</v>
      </c>
      <c r="D2859" s="2" t="s">
        <v>3</v>
      </c>
      <c r="E2859" s="2">
        <v>1513</v>
      </c>
      <c r="F2859" s="2" t="s">
        <v>3</v>
      </c>
      <c r="G2859" s="2" t="s">
        <v>3</v>
      </c>
      <c r="H2859" s="2">
        <v>2891</v>
      </c>
      <c r="I2859" s="2">
        <v>-14</v>
      </c>
    </row>
    <row r="2860" spans="1:9" hidden="1" x14ac:dyDescent="0.3">
      <c r="A2860" t="s">
        <v>43</v>
      </c>
      <c r="B2860" s="1">
        <v>44166</v>
      </c>
      <c r="C2860" s="2">
        <v>4404</v>
      </c>
      <c r="D2860" s="2" t="s">
        <v>3</v>
      </c>
      <c r="E2860" s="2">
        <v>1499</v>
      </c>
      <c r="F2860" s="2" t="s">
        <v>3</v>
      </c>
      <c r="G2860" s="2" t="s">
        <v>3</v>
      </c>
      <c r="H2860" s="2">
        <v>2905</v>
      </c>
      <c r="I2860" s="2">
        <v>1388</v>
      </c>
    </row>
    <row r="2861" spans="1:9" hidden="1" x14ac:dyDescent="0.3">
      <c r="A2861" t="s">
        <v>43</v>
      </c>
      <c r="B2861" s="1">
        <v>44136</v>
      </c>
      <c r="C2861" s="2">
        <v>2982</v>
      </c>
      <c r="D2861" s="2" t="s">
        <v>3</v>
      </c>
      <c r="E2861" s="2">
        <v>1465</v>
      </c>
      <c r="F2861" s="2" t="s">
        <v>3</v>
      </c>
      <c r="G2861" s="2" t="s">
        <v>3</v>
      </c>
      <c r="H2861" s="2">
        <v>1517</v>
      </c>
      <c r="I2861" s="2">
        <v>-42</v>
      </c>
    </row>
    <row r="2862" spans="1:9" hidden="1" x14ac:dyDescent="0.3">
      <c r="A2862" t="s">
        <v>43</v>
      </c>
      <c r="B2862" s="1">
        <v>44105</v>
      </c>
      <c r="C2862" s="2">
        <v>3078</v>
      </c>
      <c r="D2862" s="2" t="s">
        <v>3</v>
      </c>
      <c r="E2862" s="2">
        <v>1519</v>
      </c>
      <c r="F2862" s="2" t="s">
        <v>3</v>
      </c>
      <c r="G2862" s="2" t="s">
        <v>3</v>
      </c>
      <c r="H2862" s="2">
        <v>1559</v>
      </c>
      <c r="I2862" s="2">
        <v>-96</v>
      </c>
    </row>
    <row r="2863" spans="1:9" hidden="1" x14ac:dyDescent="0.3">
      <c r="A2863" t="s">
        <v>43</v>
      </c>
      <c r="B2863" s="1">
        <v>44075</v>
      </c>
      <c r="C2863" s="2">
        <v>3151</v>
      </c>
      <c r="D2863" s="2" t="s">
        <v>3</v>
      </c>
      <c r="E2863" s="2">
        <v>1496</v>
      </c>
      <c r="F2863" s="2" t="s">
        <v>3</v>
      </c>
      <c r="G2863" s="2" t="s">
        <v>3</v>
      </c>
      <c r="H2863" s="2">
        <v>1655</v>
      </c>
      <c r="I2863" s="2">
        <v>-161</v>
      </c>
    </row>
    <row r="2864" spans="1:9" hidden="1" x14ac:dyDescent="0.3">
      <c r="A2864" t="s">
        <v>43</v>
      </c>
      <c r="B2864" s="1">
        <v>44044</v>
      </c>
      <c r="C2864" s="2">
        <v>3318</v>
      </c>
      <c r="D2864" s="2" t="s">
        <v>3</v>
      </c>
      <c r="E2864" s="2">
        <v>1502</v>
      </c>
      <c r="F2864" s="2" t="s">
        <v>3</v>
      </c>
      <c r="G2864" s="2" t="s">
        <v>3</v>
      </c>
      <c r="H2864" s="2">
        <v>1816</v>
      </c>
      <c r="I2864" s="2">
        <v>-114</v>
      </c>
    </row>
    <row r="2865" spans="1:9" hidden="1" x14ac:dyDescent="0.3">
      <c r="A2865" t="s">
        <v>43</v>
      </c>
      <c r="B2865" s="1">
        <v>44013</v>
      </c>
      <c r="C2865" s="2">
        <v>3410</v>
      </c>
      <c r="D2865" s="2" t="s">
        <v>3</v>
      </c>
      <c r="E2865" s="2">
        <v>1480</v>
      </c>
      <c r="F2865" s="2" t="s">
        <v>3</v>
      </c>
      <c r="G2865" s="2" t="s">
        <v>3</v>
      </c>
      <c r="H2865" s="2">
        <v>1930</v>
      </c>
      <c r="I2865" s="2">
        <v>-137</v>
      </c>
    </row>
    <row r="2866" spans="1:9" hidden="1" x14ac:dyDescent="0.3">
      <c r="A2866" t="s">
        <v>43</v>
      </c>
      <c r="B2866" s="1">
        <v>43983</v>
      </c>
      <c r="C2866" s="2">
        <v>3646</v>
      </c>
      <c r="D2866" s="2" t="s">
        <v>3</v>
      </c>
      <c r="E2866" s="2">
        <v>1579</v>
      </c>
      <c r="F2866" s="2" t="s">
        <v>3</v>
      </c>
      <c r="G2866" s="2" t="s">
        <v>3</v>
      </c>
      <c r="H2866" s="2">
        <v>2067</v>
      </c>
      <c r="I2866" s="2">
        <v>237</v>
      </c>
    </row>
    <row r="2867" spans="1:9" hidden="1" x14ac:dyDescent="0.3">
      <c r="A2867" t="s">
        <v>43</v>
      </c>
      <c r="B2867" s="1">
        <v>43952</v>
      </c>
      <c r="C2867" s="2">
        <v>3442</v>
      </c>
      <c r="D2867" s="2" t="s">
        <v>3</v>
      </c>
      <c r="E2867" s="2">
        <v>1612</v>
      </c>
      <c r="F2867" s="2" t="s">
        <v>3</v>
      </c>
      <c r="G2867" s="2" t="s">
        <v>3</v>
      </c>
      <c r="H2867" s="2">
        <v>1830</v>
      </c>
      <c r="I2867" s="2">
        <v>165</v>
      </c>
    </row>
    <row r="2868" spans="1:9" hidden="1" x14ac:dyDescent="0.3">
      <c r="A2868" t="s">
        <v>43</v>
      </c>
      <c r="B2868" s="1">
        <v>43922</v>
      </c>
      <c r="C2868" s="2">
        <v>3187</v>
      </c>
      <c r="D2868" s="2" t="s">
        <v>3</v>
      </c>
      <c r="E2868" s="2">
        <v>1522</v>
      </c>
      <c r="F2868" s="2" t="s">
        <v>3</v>
      </c>
      <c r="G2868" s="2" t="s">
        <v>3</v>
      </c>
      <c r="H2868" s="2">
        <v>1665</v>
      </c>
      <c r="I2868" s="2">
        <v>131</v>
      </c>
    </row>
    <row r="2869" spans="1:9" hidden="1" x14ac:dyDescent="0.3">
      <c r="A2869" t="s">
        <v>43</v>
      </c>
      <c r="B2869" s="1">
        <v>43891</v>
      </c>
      <c r="C2869" s="2">
        <v>3205</v>
      </c>
      <c r="D2869" s="2" t="s">
        <v>3</v>
      </c>
      <c r="E2869" s="2">
        <v>1671</v>
      </c>
      <c r="F2869" s="2" t="s">
        <v>3</v>
      </c>
      <c r="G2869" s="2" t="s">
        <v>3</v>
      </c>
      <c r="H2869" s="2">
        <v>1534</v>
      </c>
      <c r="I2869" s="2">
        <v>-437</v>
      </c>
    </row>
    <row r="2870" spans="1:9" hidden="1" x14ac:dyDescent="0.3">
      <c r="A2870" t="s">
        <v>43</v>
      </c>
      <c r="B2870" s="1">
        <v>43862</v>
      </c>
      <c r="C2870" s="2">
        <v>3711</v>
      </c>
      <c r="D2870" s="2" t="s">
        <v>3</v>
      </c>
      <c r="E2870" s="2">
        <v>1740</v>
      </c>
      <c r="F2870" s="2" t="s">
        <v>3</v>
      </c>
      <c r="G2870" s="2" t="s">
        <v>3</v>
      </c>
      <c r="H2870" s="2">
        <v>1971</v>
      </c>
      <c r="I2870" s="2">
        <v>5</v>
      </c>
    </row>
    <row r="2871" spans="1:9" hidden="1" x14ac:dyDescent="0.3">
      <c r="A2871" t="s">
        <v>43</v>
      </c>
      <c r="B2871" s="1">
        <v>43831</v>
      </c>
      <c r="C2871" s="2">
        <v>3675</v>
      </c>
      <c r="D2871" s="2" t="s">
        <v>3</v>
      </c>
      <c r="E2871" s="2">
        <v>1709</v>
      </c>
      <c r="F2871" s="2" t="s">
        <v>3</v>
      </c>
      <c r="G2871" s="2" t="s">
        <v>3</v>
      </c>
      <c r="H2871" s="2">
        <v>1966</v>
      </c>
      <c r="I2871" s="2">
        <v>47</v>
      </c>
    </row>
    <row r="2872" spans="1:9" x14ac:dyDescent="0.3">
      <c r="A2872" t="s">
        <v>44</v>
      </c>
      <c r="B2872" s="1">
        <v>45931</v>
      </c>
      <c r="C2872" s="2">
        <v>41547</v>
      </c>
      <c r="D2872" s="2">
        <v>-1488</v>
      </c>
      <c r="E2872" s="2">
        <v>40812</v>
      </c>
      <c r="F2872" s="2">
        <v>510</v>
      </c>
      <c r="G2872" s="2">
        <v>384</v>
      </c>
      <c r="H2872" s="2">
        <v>735</v>
      </c>
      <c r="I2872" s="2">
        <v>-1998</v>
      </c>
    </row>
    <row r="2873" spans="1:9" x14ac:dyDescent="0.3">
      <c r="A2873" t="s">
        <v>44</v>
      </c>
      <c r="B2873" s="1">
        <v>45901</v>
      </c>
      <c r="C2873" s="2">
        <v>43227</v>
      </c>
      <c r="D2873" s="2">
        <v>2620</v>
      </c>
      <c r="E2873" s="2">
        <v>40494</v>
      </c>
      <c r="F2873" s="2">
        <v>553</v>
      </c>
      <c r="G2873" s="2">
        <v>-268</v>
      </c>
      <c r="H2873" s="2">
        <v>2733</v>
      </c>
      <c r="I2873" s="2">
        <v>2067</v>
      </c>
    </row>
    <row r="2874" spans="1:9" x14ac:dyDescent="0.3">
      <c r="A2874" t="s">
        <v>44</v>
      </c>
      <c r="B2874" s="1">
        <v>45870</v>
      </c>
      <c r="C2874" s="2">
        <v>40633</v>
      </c>
      <c r="D2874" s="2">
        <v>303</v>
      </c>
      <c r="E2874" s="2">
        <v>39967</v>
      </c>
      <c r="F2874" s="2">
        <v>234</v>
      </c>
      <c r="G2874" s="2">
        <v>487</v>
      </c>
      <c r="H2874" s="2">
        <v>666</v>
      </c>
      <c r="I2874" s="2">
        <v>69</v>
      </c>
    </row>
    <row r="2875" spans="1:9" x14ac:dyDescent="0.3">
      <c r="A2875" t="s">
        <v>44</v>
      </c>
      <c r="B2875" s="1">
        <v>45839</v>
      </c>
      <c r="C2875" s="2">
        <v>40060</v>
      </c>
      <c r="D2875" s="2">
        <v>-1511</v>
      </c>
      <c r="E2875" s="2">
        <v>39463</v>
      </c>
      <c r="F2875" s="2">
        <v>382</v>
      </c>
      <c r="G2875" s="2">
        <v>-249</v>
      </c>
      <c r="H2875" s="2">
        <v>597</v>
      </c>
      <c r="I2875" s="2">
        <v>-1893</v>
      </c>
    </row>
    <row r="2876" spans="1:9" x14ac:dyDescent="0.3">
      <c r="A2876" t="s">
        <v>44</v>
      </c>
      <c r="B2876" s="1">
        <v>45809</v>
      </c>
      <c r="C2876" s="2">
        <v>41811</v>
      </c>
      <c r="D2876" s="2">
        <v>1537</v>
      </c>
      <c r="E2876" s="2">
        <v>39321</v>
      </c>
      <c r="F2876" s="2">
        <v>-548</v>
      </c>
      <c r="G2876" s="2">
        <v>288</v>
      </c>
      <c r="H2876" s="2">
        <v>2490</v>
      </c>
      <c r="I2876" s="2">
        <v>2085</v>
      </c>
    </row>
    <row r="2877" spans="1:9" x14ac:dyDescent="0.3">
      <c r="A2877" t="s">
        <v>44</v>
      </c>
      <c r="B2877" s="1">
        <v>45778</v>
      </c>
      <c r="C2877" s="2">
        <v>40103</v>
      </c>
      <c r="D2877" s="2">
        <v>-389</v>
      </c>
      <c r="E2877" s="2">
        <v>39698</v>
      </c>
      <c r="F2877" s="2">
        <v>-459</v>
      </c>
      <c r="G2877" s="2">
        <v>-346</v>
      </c>
      <c r="H2877" s="2">
        <v>405</v>
      </c>
      <c r="I2877" s="2">
        <v>70</v>
      </c>
    </row>
    <row r="2878" spans="1:9" x14ac:dyDescent="0.3">
      <c r="A2878" t="s">
        <v>44</v>
      </c>
      <c r="B2878" s="1">
        <v>45748</v>
      </c>
      <c r="C2878" s="2">
        <v>40708</v>
      </c>
      <c r="D2878" s="2">
        <v>-2316</v>
      </c>
      <c r="E2878" s="2">
        <v>40373</v>
      </c>
      <c r="F2878" s="2">
        <v>-283</v>
      </c>
      <c r="G2878" s="2">
        <v>577</v>
      </c>
      <c r="H2878" s="2">
        <v>335</v>
      </c>
      <c r="I2878" s="2">
        <v>-2033</v>
      </c>
    </row>
    <row r="2879" spans="1:9" x14ac:dyDescent="0.3">
      <c r="A2879" t="s">
        <v>44</v>
      </c>
      <c r="B2879" s="1">
        <v>45717</v>
      </c>
      <c r="C2879" s="2">
        <v>42804</v>
      </c>
      <c r="D2879" s="2">
        <v>1192</v>
      </c>
      <c r="E2879" s="2">
        <v>40436</v>
      </c>
      <c r="F2879" s="2">
        <v>-334</v>
      </c>
      <c r="G2879" s="2">
        <v>298</v>
      </c>
      <c r="H2879" s="2">
        <v>2368</v>
      </c>
      <c r="I2879" s="2">
        <v>1526</v>
      </c>
    </row>
    <row r="2880" spans="1:9" x14ac:dyDescent="0.3">
      <c r="A2880" t="s">
        <v>44</v>
      </c>
      <c r="B2880" s="1">
        <v>45689</v>
      </c>
      <c r="C2880" s="2">
        <v>41563</v>
      </c>
      <c r="D2880" s="2">
        <v>-294</v>
      </c>
      <c r="E2880" s="2">
        <v>40721</v>
      </c>
      <c r="F2880" s="2">
        <v>375</v>
      </c>
      <c r="G2880" s="2">
        <v>-84</v>
      </c>
      <c r="H2880" s="2">
        <v>842</v>
      </c>
      <c r="I2880" s="2">
        <v>-669</v>
      </c>
    </row>
    <row r="2881" spans="1:9" x14ac:dyDescent="0.3">
      <c r="A2881" t="s">
        <v>44</v>
      </c>
      <c r="B2881" s="1">
        <v>45658</v>
      </c>
      <c r="C2881" s="2">
        <v>41666</v>
      </c>
      <c r="D2881" s="2">
        <v>-2117</v>
      </c>
      <c r="E2881" s="2">
        <v>40155</v>
      </c>
      <c r="F2881" s="2">
        <v>-1296</v>
      </c>
      <c r="G2881" s="2">
        <v>457</v>
      </c>
      <c r="H2881" s="2">
        <v>1511</v>
      </c>
      <c r="I2881" s="2">
        <v>-821</v>
      </c>
    </row>
    <row r="2882" spans="1:9" x14ac:dyDescent="0.3">
      <c r="A2882" t="s">
        <v>44</v>
      </c>
      <c r="B2882" s="1">
        <v>45627</v>
      </c>
      <c r="C2882" s="2">
        <v>43735</v>
      </c>
      <c r="D2882" s="2">
        <v>2398</v>
      </c>
      <c r="E2882" s="2">
        <v>41403</v>
      </c>
      <c r="F2882" s="2">
        <v>296</v>
      </c>
      <c r="G2882" s="2">
        <v>-78</v>
      </c>
      <c r="H2882" s="2">
        <v>2332</v>
      </c>
      <c r="I2882" s="2">
        <v>2102</v>
      </c>
    </row>
    <row r="2883" spans="1:9" x14ac:dyDescent="0.3">
      <c r="A2883" t="s">
        <v>44</v>
      </c>
      <c r="B2883" s="1">
        <v>45597</v>
      </c>
      <c r="C2883" s="2">
        <v>41429</v>
      </c>
      <c r="D2883" s="2">
        <v>687</v>
      </c>
      <c r="E2883" s="2">
        <v>41199</v>
      </c>
      <c r="F2883" s="2">
        <v>683</v>
      </c>
      <c r="G2883" s="2">
        <v>67</v>
      </c>
      <c r="H2883" s="2">
        <v>230</v>
      </c>
      <c r="I2883" s="2">
        <v>4</v>
      </c>
    </row>
    <row r="2884" spans="1:9" x14ac:dyDescent="0.3">
      <c r="A2884" t="s">
        <v>44</v>
      </c>
      <c r="B2884" s="1">
        <v>45566</v>
      </c>
      <c r="C2884" s="2">
        <v>40632</v>
      </c>
      <c r="D2884" s="2">
        <v>1117</v>
      </c>
      <c r="E2884" s="2">
        <v>40406</v>
      </c>
      <c r="F2884" s="2">
        <v>2944</v>
      </c>
      <c r="G2884" s="2">
        <v>-78</v>
      </c>
      <c r="H2884" s="2">
        <v>226</v>
      </c>
      <c r="I2884" s="2">
        <v>-1827</v>
      </c>
    </row>
    <row r="2885" spans="1:9" x14ac:dyDescent="0.3">
      <c r="A2885" t="s">
        <v>44</v>
      </c>
      <c r="B2885" s="1">
        <v>45536</v>
      </c>
      <c r="C2885" s="2">
        <v>39965</v>
      </c>
      <c r="D2885" s="2">
        <v>1996</v>
      </c>
      <c r="E2885" s="2">
        <v>37912</v>
      </c>
      <c r="F2885" s="2">
        <v>1456</v>
      </c>
      <c r="G2885" s="2">
        <v>343</v>
      </c>
      <c r="H2885" s="2">
        <v>2053</v>
      </c>
      <c r="I2885" s="2">
        <v>540</v>
      </c>
    </row>
    <row r="2886" spans="1:9" x14ac:dyDescent="0.3">
      <c r="A2886" t="s">
        <v>44</v>
      </c>
      <c r="B2886" s="1">
        <v>45505</v>
      </c>
      <c r="C2886" s="2">
        <v>37829</v>
      </c>
      <c r="D2886" s="2">
        <v>640</v>
      </c>
      <c r="E2886" s="2">
        <v>36316</v>
      </c>
      <c r="F2886" s="2">
        <v>860</v>
      </c>
      <c r="G2886" s="2">
        <v>733</v>
      </c>
      <c r="H2886" s="2">
        <v>1513</v>
      </c>
      <c r="I2886" s="2">
        <v>-220</v>
      </c>
    </row>
    <row r="2887" spans="1:9" x14ac:dyDescent="0.3">
      <c r="A2887" t="s">
        <v>44</v>
      </c>
      <c r="B2887" s="1">
        <v>45474</v>
      </c>
      <c r="C2887" s="2">
        <v>37003</v>
      </c>
      <c r="D2887" s="2">
        <v>-2717</v>
      </c>
      <c r="E2887" s="2">
        <v>35270</v>
      </c>
      <c r="F2887" s="2">
        <v>-2450</v>
      </c>
      <c r="G2887" s="2">
        <v>225</v>
      </c>
      <c r="H2887" s="2">
        <v>1733</v>
      </c>
      <c r="I2887" s="2">
        <v>-267</v>
      </c>
    </row>
    <row r="2888" spans="1:9" x14ac:dyDescent="0.3">
      <c r="A2888" t="s">
        <v>44</v>
      </c>
      <c r="B2888" s="1">
        <v>45444</v>
      </c>
      <c r="C2888" s="2">
        <v>39518</v>
      </c>
      <c r="D2888" s="2">
        <v>485</v>
      </c>
      <c r="E2888" s="2">
        <v>37518</v>
      </c>
      <c r="F2888" s="2">
        <v>-296</v>
      </c>
      <c r="G2888" s="2">
        <v>265</v>
      </c>
      <c r="H2888" s="2">
        <v>2000</v>
      </c>
      <c r="I2888" s="2">
        <v>781</v>
      </c>
    </row>
    <row r="2889" spans="1:9" x14ac:dyDescent="0.3">
      <c r="A2889" t="s">
        <v>44</v>
      </c>
      <c r="B2889" s="1">
        <v>45413</v>
      </c>
      <c r="C2889" s="2">
        <v>38917</v>
      </c>
      <c r="D2889" s="2">
        <v>1125</v>
      </c>
      <c r="E2889" s="2">
        <v>37698</v>
      </c>
      <c r="F2889" s="2">
        <v>1105</v>
      </c>
      <c r="G2889" s="2">
        <v>-118</v>
      </c>
      <c r="H2889" s="2">
        <v>1219</v>
      </c>
      <c r="I2889" s="2">
        <v>20</v>
      </c>
    </row>
    <row r="2890" spans="1:9" x14ac:dyDescent="0.3">
      <c r="A2890" t="s">
        <v>44</v>
      </c>
      <c r="B2890" s="1">
        <v>45383</v>
      </c>
      <c r="C2890" s="2">
        <v>37660</v>
      </c>
      <c r="D2890" s="2">
        <v>874</v>
      </c>
      <c r="E2890" s="2">
        <v>36461</v>
      </c>
      <c r="F2890" s="2">
        <v>1471</v>
      </c>
      <c r="G2890" s="2">
        <v>-253</v>
      </c>
      <c r="H2890" s="2">
        <v>1199</v>
      </c>
      <c r="I2890" s="2">
        <v>-597</v>
      </c>
    </row>
    <row r="2891" spans="1:9" x14ac:dyDescent="0.3">
      <c r="A2891" t="s">
        <v>44</v>
      </c>
      <c r="B2891" s="1">
        <v>45352</v>
      </c>
      <c r="C2891" s="2">
        <v>37093</v>
      </c>
      <c r="D2891" s="2">
        <v>2238</v>
      </c>
      <c r="E2891" s="2">
        <v>35297</v>
      </c>
      <c r="F2891" s="2">
        <v>700</v>
      </c>
      <c r="G2891" s="2">
        <v>222</v>
      </c>
      <c r="H2891" s="2">
        <v>1796</v>
      </c>
      <c r="I2891" s="2">
        <v>1538</v>
      </c>
    </row>
    <row r="2892" spans="1:9" x14ac:dyDescent="0.3">
      <c r="A2892" t="s">
        <v>44</v>
      </c>
      <c r="B2892" s="1">
        <v>45323</v>
      </c>
      <c r="C2892" s="2">
        <v>34791</v>
      </c>
      <c r="D2892" s="2">
        <v>2614</v>
      </c>
      <c r="E2892" s="2">
        <v>34533</v>
      </c>
      <c r="F2892" s="2">
        <v>2626</v>
      </c>
      <c r="G2892" s="2">
        <v>145</v>
      </c>
      <c r="H2892" s="2">
        <v>258</v>
      </c>
      <c r="I2892" s="2">
        <v>-12</v>
      </c>
    </row>
    <row r="2893" spans="1:9" x14ac:dyDescent="0.3">
      <c r="A2893" t="s">
        <v>44</v>
      </c>
      <c r="B2893" s="1">
        <v>45292</v>
      </c>
      <c r="C2893" s="2">
        <v>32394</v>
      </c>
      <c r="D2893" s="2">
        <v>-53</v>
      </c>
      <c r="E2893" s="2">
        <v>32124</v>
      </c>
      <c r="F2893" s="2">
        <v>1434</v>
      </c>
      <c r="G2893" s="2">
        <v>-91</v>
      </c>
      <c r="H2893" s="2">
        <v>270</v>
      </c>
      <c r="I2893" s="2">
        <v>-1487</v>
      </c>
    </row>
    <row r="2894" spans="1:9" x14ac:dyDescent="0.3">
      <c r="A2894" t="s">
        <v>44</v>
      </c>
      <c r="B2894" s="1">
        <v>45261</v>
      </c>
      <c r="C2894" s="2">
        <v>32487</v>
      </c>
      <c r="D2894" s="2">
        <v>1204</v>
      </c>
      <c r="E2894" s="2">
        <v>30730</v>
      </c>
      <c r="F2894" s="2">
        <v>-226</v>
      </c>
      <c r="G2894" s="2">
        <v>254</v>
      </c>
      <c r="H2894" s="2">
        <v>1757</v>
      </c>
      <c r="I2894" s="2">
        <v>1430</v>
      </c>
    </row>
    <row r="2895" spans="1:9" x14ac:dyDescent="0.3">
      <c r="A2895" t="s">
        <v>44</v>
      </c>
      <c r="B2895" s="1">
        <v>45231</v>
      </c>
      <c r="C2895" s="2">
        <v>31054</v>
      </c>
      <c r="D2895" s="2">
        <v>-951</v>
      </c>
      <c r="E2895" s="2">
        <v>30727</v>
      </c>
      <c r="F2895" s="2">
        <v>-991</v>
      </c>
      <c r="G2895" s="2">
        <v>191</v>
      </c>
      <c r="H2895" s="2">
        <v>327</v>
      </c>
      <c r="I2895" s="2">
        <v>40</v>
      </c>
    </row>
    <row r="2896" spans="1:9" x14ac:dyDescent="0.3">
      <c r="A2896" t="s">
        <v>44</v>
      </c>
      <c r="B2896" s="1">
        <v>45200</v>
      </c>
      <c r="C2896" s="2">
        <v>31858</v>
      </c>
      <c r="D2896" s="2">
        <v>-1030</v>
      </c>
      <c r="E2896" s="2">
        <v>31571</v>
      </c>
      <c r="F2896" s="2">
        <v>-698</v>
      </c>
      <c r="G2896" s="2">
        <v>129</v>
      </c>
      <c r="H2896" s="2">
        <v>287</v>
      </c>
      <c r="I2896" s="2">
        <v>-332</v>
      </c>
    </row>
    <row r="2897" spans="1:9" x14ac:dyDescent="0.3">
      <c r="A2897" t="s">
        <v>44</v>
      </c>
      <c r="B2897" s="1">
        <v>45170</v>
      </c>
      <c r="C2897" s="2">
        <v>32744</v>
      </c>
      <c r="D2897" s="2">
        <v>310</v>
      </c>
      <c r="E2897" s="2">
        <v>32125</v>
      </c>
      <c r="F2897" s="2">
        <v>12</v>
      </c>
      <c r="G2897" s="2">
        <v>22</v>
      </c>
      <c r="H2897" s="2">
        <v>619</v>
      </c>
      <c r="I2897" s="2">
        <v>298</v>
      </c>
    </row>
    <row r="2898" spans="1:9" x14ac:dyDescent="0.3">
      <c r="A2898" t="s">
        <v>44</v>
      </c>
      <c r="B2898" s="1">
        <v>45139</v>
      </c>
      <c r="C2898" s="2">
        <v>32588</v>
      </c>
      <c r="D2898" s="2">
        <v>736</v>
      </c>
      <c r="E2898" s="2">
        <v>32267</v>
      </c>
      <c r="F2898" s="2">
        <v>741</v>
      </c>
      <c r="G2898" s="2">
        <v>-96</v>
      </c>
      <c r="H2898" s="2">
        <v>321</v>
      </c>
      <c r="I2898" s="2">
        <v>-5</v>
      </c>
    </row>
    <row r="2899" spans="1:9" x14ac:dyDescent="0.3">
      <c r="A2899" t="s">
        <v>44</v>
      </c>
      <c r="B2899" s="1">
        <v>45108</v>
      </c>
      <c r="C2899" s="2">
        <v>31859</v>
      </c>
      <c r="D2899" s="2">
        <v>-1239</v>
      </c>
      <c r="E2899" s="2">
        <v>31533</v>
      </c>
      <c r="F2899" s="2">
        <v>-937</v>
      </c>
      <c r="G2899" s="2">
        <v>112</v>
      </c>
      <c r="H2899" s="2">
        <v>326</v>
      </c>
      <c r="I2899" s="2">
        <v>-302</v>
      </c>
    </row>
    <row r="2900" spans="1:9" x14ac:dyDescent="0.3">
      <c r="A2900" t="s">
        <v>44</v>
      </c>
      <c r="B2900" s="1">
        <v>45078</v>
      </c>
      <c r="C2900" s="2">
        <v>33043</v>
      </c>
      <c r="D2900" s="2">
        <v>962</v>
      </c>
      <c r="E2900" s="2">
        <v>32415</v>
      </c>
      <c r="F2900" s="2">
        <v>613</v>
      </c>
      <c r="G2900" s="2">
        <v>-130</v>
      </c>
      <c r="H2900" s="2">
        <v>628</v>
      </c>
      <c r="I2900" s="2">
        <v>349</v>
      </c>
    </row>
    <row r="2901" spans="1:9" x14ac:dyDescent="0.3">
      <c r="A2901" t="s">
        <v>44</v>
      </c>
      <c r="B2901" s="1">
        <v>45047</v>
      </c>
      <c r="C2901" s="2">
        <v>32232</v>
      </c>
      <c r="D2901" s="2">
        <v>149</v>
      </c>
      <c r="E2901" s="2">
        <v>31953</v>
      </c>
      <c r="F2901" s="2">
        <v>142</v>
      </c>
      <c r="G2901" s="2">
        <v>277</v>
      </c>
      <c r="H2901" s="2">
        <v>279</v>
      </c>
      <c r="I2901" s="2">
        <v>7</v>
      </c>
    </row>
    <row r="2902" spans="1:9" x14ac:dyDescent="0.3">
      <c r="A2902" t="s">
        <v>44</v>
      </c>
      <c r="B2902" s="1">
        <v>45017</v>
      </c>
      <c r="C2902" s="2">
        <v>32180</v>
      </c>
      <c r="D2902" s="2">
        <v>-1020</v>
      </c>
      <c r="E2902" s="2">
        <v>31908</v>
      </c>
      <c r="F2902" s="2">
        <v>-644</v>
      </c>
      <c r="G2902" s="2">
        <v>-131</v>
      </c>
      <c r="H2902" s="2">
        <v>272</v>
      </c>
      <c r="I2902" s="2">
        <v>-376</v>
      </c>
    </row>
    <row r="2903" spans="1:9" x14ac:dyDescent="0.3">
      <c r="A2903" t="s">
        <v>44</v>
      </c>
      <c r="B2903" s="1">
        <v>44986</v>
      </c>
      <c r="C2903" s="2">
        <v>33116</v>
      </c>
      <c r="D2903" s="2">
        <v>217</v>
      </c>
      <c r="E2903" s="2">
        <v>32468</v>
      </c>
      <c r="F2903" s="2">
        <v>-194</v>
      </c>
      <c r="G2903" s="2">
        <v>274</v>
      </c>
      <c r="H2903" s="2">
        <v>648</v>
      </c>
      <c r="I2903" s="2">
        <v>411</v>
      </c>
    </row>
    <row r="2904" spans="1:9" x14ac:dyDescent="0.3">
      <c r="A2904" t="s">
        <v>44</v>
      </c>
      <c r="B2904" s="1">
        <v>44958</v>
      </c>
      <c r="C2904" s="2">
        <v>32626</v>
      </c>
      <c r="D2904" s="2">
        <v>971</v>
      </c>
      <c r="E2904" s="2">
        <v>32389</v>
      </c>
      <c r="F2904" s="2">
        <v>1025</v>
      </c>
      <c r="G2904" s="2">
        <v>279</v>
      </c>
      <c r="H2904" s="2">
        <v>237</v>
      </c>
      <c r="I2904" s="2">
        <v>-54</v>
      </c>
    </row>
    <row r="2905" spans="1:9" hidden="1" x14ac:dyDescent="0.3">
      <c r="A2905" t="s">
        <v>44</v>
      </c>
      <c r="B2905" s="1">
        <v>44927</v>
      </c>
      <c r="C2905" s="2">
        <v>31811</v>
      </c>
      <c r="D2905" s="2" t="s">
        <v>3</v>
      </c>
      <c r="E2905" s="2">
        <v>31520</v>
      </c>
      <c r="F2905" s="2" t="s">
        <v>3</v>
      </c>
      <c r="G2905" s="2" t="s">
        <v>3</v>
      </c>
      <c r="H2905" s="2">
        <v>291</v>
      </c>
      <c r="I2905" s="2">
        <v>-736</v>
      </c>
    </row>
    <row r="2906" spans="1:9" hidden="1" x14ac:dyDescent="0.3">
      <c r="A2906" t="s">
        <v>44</v>
      </c>
      <c r="B2906" s="1">
        <v>44896</v>
      </c>
      <c r="C2906" s="2">
        <v>32061</v>
      </c>
      <c r="D2906" s="2" t="s">
        <v>3</v>
      </c>
      <c r="E2906" s="2">
        <v>31034</v>
      </c>
      <c r="F2906" s="2" t="s">
        <v>3</v>
      </c>
      <c r="G2906" s="2" t="s">
        <v>3</v>
      </c>
      <c r="H2906" s="2">
        <v>1027</v>
      </c>
      <c r="I2906" s="2">
        <v>702</v>
      </c>
    </row>
    <row r="2907" spans="1:9" hidden="1" x14ac:dyDescent="0.3">
      <c r="A2907" t="s">
        <v>44</v>
      </c>
      <c r="B2907" s="1">
        <v>44866</v>
      </c>
      <c r="C2907" s="2">
        <v>31007</v>
      </c>
      <c r="D2907" s="2" t="s">
        <v>3</v>
      </c>
      <c r="E2907" s="2">
        <v>30682</v>
      </c>
      <c r="F2907" s="2" t="s">
        <v>3</v>
      </c>
      <c r="G2907" s="2" t="s">
        <v>3</v>
      </c>
      <c r="H2907" s="2">
        <v>325</v>
      </c>
      <c r="I2907" s="2">
        <v>51</v>
      </c>
    </row>
    <row r="2908" spans="1:9" hidden="1" x14ac:dyDescent="0.3">
      <c r="A2908" t="s">
        <v>44</v>
      </c>
      <c r="B2908" s="1">
        <v>44835</v>
      </c>
      <c r="C2908" s="2">
        <v>31116</v>
      </c>
      <c r="D2908" s="2" t="s">
        <v>3</v>
      </c>
      <c r="E2908" s="2">
        <v>30842</v>
      </c>
      <c r="F2908" s="2" t="s">
        <v>3</v>
      </c>
      <c r="G2908" s="2" t="s">
        <v>3</v>
      </c>
      <c r="H2908" s="2">
        <v>274</v>
      </c>
      <c r="I2908" s="2">
        <v>-225</v>
      </c>
    </row>
    <row r="2909" spans="1:9" hidden="1" x14ac:dyDescent="0.3">
      <c r="A2909" t="s">
        <v>44</v>
      </c>
      <c r="B2909" s="1">
        <v>44805</v>
      </c>
      <c r="C2909" s="2">
        <v>32248</v>
      </c>
      <c r="D2909" s="2" t="s">
        <v>3</v>
      </c>
      <c r="E2909" s="2">
        <v>31749</v>
      </c>
      <c r="F2909" s="2" t="s">
        <v>3</v>
      </c>
      <c r="G2909" s="2" t="s">
        <v>3</v>
      </c>
      <c r="H2909" s="2">
        <v>499</v>
      </c>
      <c r="I2909" s="2">
        <v>135</v>
      </c>
    </row>
    <row r="2910" spans="1:9" hidden="1" x14ac:dyDescent="0.3">
      <c r="A2910" t="s">
        <v>44</v>
      </c>
      <c r="B2910" s="1">
        <v>44774</v>
      </c>
      <c r="C2910" s="2">
        <v>32427</v>
      </c>
      <c r="D2910" s="2" t="s">
        <v>3</v>
      </c>
      <c r="E2910" s="2">
        <v>32063</v>
      </c>
      <c r="F2910" s="2" t="s">
        <v>3</v>
      </c>
      <c r="G2910" s="2" t="s">
        <v>3</v>
      </c>
      <c r="H2910" s="2">
        <v>364</v>
      </c>
      <c r="I2910" s="2">
        <v>80</v>
      </c>
    </row>
    <row r="2911" spans="1:9" hidden="1" x14ac:dyDescent="0.3">
      <c r="A2911" t="s">
        <v>44</v>
      </c>
      <c r="B2911" s="1">
        <v>44743</v>
      </c>
      <c r="C2911" s="2">
        <v>32029</v>
      </c>
      <c r="D2911" s="2" t="s">
        <v>3</v>
      </c>
      <c r="E2911" s="2">
        <v>31745</v>
      </c>
      <c r="F2911" s="2" t="s">
        <v>3</v>
      </c>
      <c r="G2911" s="2" t="s">
        <v>3</v>
      </c>
      <c r="H2911" s="2">
        <v>284</v>
      </c>
      <c r="I2911" s="2">
        <v>-142</v>
      </c>
    </row>
    <row r="2912" spans="1:9" hidden="1" x14ac:dyDescent="0.3">
      <c r="A2912" t="s">
        <v>44</v>
      </c>
      <c r="B2912" s="1">
        <v>44713</v>
      </c>
      <c r="C2912" s="2">
        <v>30781</v>
      </c>
      <c r="D2912" s="2" t="s">
        <v>3</v>
      </c>
      <c r="E2912" s="2">
        <v>30355</v>
      </c>
      <c r="F2912" s="2" t="s">
        <v>3</v>
      </c>
      <c r="G2912" s="2" t="s">
        <v>3</v>
      </c>
      <c r="H2912" s="2">
        <v>426</v>
      </c>
      <c r="I2912" s="2">
        <v>113</v>
      </c>
    </row>
    <row r="2913" spans="1:9" hidden="1" x14ac:dyDescent="0.3">
      <c r="A2913" t="s">
        <v>44</v>
      </c>
      <c r="B2913" s="1">
        <v>44682</v>
      </c>
      <c r="C2913" s="2">
        <v>29856</v>
      </c>
      <c r="D2913" s="2" t="s">
        <v>3</v>
      </c>
      <c r="E2913" s="2">
        <v>29543</v>
      </c>
      <c r="F2913" s="2" t="s">
        <v>3</v>
      </c>
      <c r="G2913" s="2" t="s">
        <v>3</v>
      </c>
      <c r="H2913" s="2">
        <v>313</v>
      </c>
      <c r="I2913" s="2">
        <v>-36</v>
      </c>
    </row>
    <row r="2914" spans="1:9" hidden="1" x14ac:dyDescent="0.3">
      <c r="A2914" t="s">
        <v>44</v>
      </c>
      <c r="B2914" s="1">
        <v>44652</v>
      </c>
      <c r="C2914" s="2">
        <v>30323</v>
      </c>
      <c r="D2914" s="2" t="s">
        <v>3</v>
      </c>
      <c r="E2914" s="2">
        <v>29974</v>
      </c>
      <c r="F2914" s="2" t="s">
        <v>3</v>
      </c>
      <c r="G2914" s="2" t="s">
        <v>3</v>
      </c>
      <c r="H2914" s="2">
        <v>349</v>
      </c>
      <c r="I2914" s="2">
        <v>-22</v>
      </c>
    </row>
    <row r="2915" spans="1:9" hidden="1" x14ac:dyDescent="0.3">
      <c r="A2915" t="s">
        <v>44</v>
      </c>
      <c r="B2915" s="1">
        <v>44621</v>
      </c>
      <c r="C2915" s="2">
        <v>29900</v>
      </c>
      <c r="D2915" s="2" t="s">
        <v>3</v>
      </c>
      <c r="E2915" s="2">
        <v>29529</v>
      </c>
      <c r="F2915" s="2" t="s">
        <v>3</v>
      </c>
      <c r="G2915" s="2" t="s">
        <v>3</v>
      </c>
      <c r="H2915" s="2">
        <v>371</v>
      </c>
      <c r="I2915" s="2">
        <v>55</v>
      </c>
    </row>
    <row r="2916" spans="1:9" hidden="1" x14ac:dyDescent="0.3">
      <c r="A2916" t="s">
        <v>44</v>
      </c>
      <c r="B2916" s="1">
        <v>44593</v>
      </c>
      <c r="C2916" s="2">
        <v>29513</v>
      </c>
      <c r="D2916" s="2" t="s">
        <v>3</v>
      </c>
      <c r="E2916" s="2">
        <v>29197</v>
      </c>
      <c r="F2916" s="2" t="s">
        <v>3</v>
      </c>
      <c r="G2916" s="2" t="s">
        <v>3</v>
      </c>
      <c r="H2916" s="2">
        <v>316</v>
      </c>
      <c r="I2916" s="2">
        <v>-5</v>
      </c>
    </row>
    <row r="2917" spans="1:9" hidden="1" x14ac:dyDescent="0.3">
      <c r="A2917" t="s">
        <v>44</v>
      </c>
      <c r="B2917" s="1">
        <v>44562</v>
      </c>
      <c r="C2917" s="2">
        <v>28961</v>
      </c>
      <c r="D2917" s="2" t="s">
        <v>3</v>
      </c>
      <c r="E2917" s="2">
        <v>28640</v>
      </c>
      <c r="F2917" s="2" t="s">
        <v>3</v>
      </c>
      <c r="G2917" s="2" t="s">
        <v>3</v>
      </c>
      <c r="H2917" s="2">
        <v>321</v>
      </c>
      <c r="I2917" s="2">
        <v>-40</v>
      </c>
    </row>
    <row r="2918" spans="1:9" hidden="1" x14ac:dyDescent="0.3">
      <c r="A2918" t="s">
        <v>44</v>
      </c>
      <c r="B2918" s="1">
        <v>44531</v>
      </c>
      <c r="C2918" s="2">
        <v>28026</v>
      </c>
      <c r="D2918" s="2" t="s">
        <v>3</v>
      </c>
      <c r="E2918" s="2">
        <v>27665</v>
      </c>
      <c r="F2918" s="2" t="s">
        <v>3</v>
      </c>
      <c r="G2918" s="2" t="s">
        <v>3</v>
      </c>
      <c r="H2918" s="2">
        <v>361</v>
      </c>
      <c r="I2918" s="2">
        <v>32</v>
      </c>
    </row>
    <row r="2919" spans="1:9" hidden="1" x14ac:dyDescent="0.3">
      <c r="A2919" t="s">
        <v>44</v>
      </c>
      <c r="B2919" s="1">
        <v>44501</v>
      </c>
      <c r="C2919" s="2">
        <v>27446</v>
      </c>
      <c r="D2919" s="2" t="s">
        <v>3</v>
      </c>
      <c r="E2919" s="2">
        <v>27117</v>
      </c>
      <c r="F2919" s="2" t="s">
        <v>3</v>
      </c>
      <c r="G2919" s="2" t="s">
        <v>3</v>
      </c>
      <c r="H2919" s="2">
        <v>329</v>
      </c>
      <c r="I2919" s="2">
        <v>-9</v>
      </c>
    </row>
    <row r="2920" spans="1:9" hidden="1" x14ac:dyDescent="0.3">
      <c r="A2920" t="s">
        <v>44</v>
      </c>
      <c r="B2920" s="1">
        <v>44470</v>
      </c>
      <c r="C2920" s="2">
        <v>27473</v>
      </c>
      <c r="D2920" s="2" t="s">
        <v>3</v>
      </c>
      <c r="E2920" s="2">
        <v>27135</v>
      </c>
      <c r="F2920" s="2" t="s">
        <v>3</v>
      </c>
      <c r="G2920" s="2" t="s">
        <v>3</v>
      </c>
      <c r="H2920" s="2">
        <v>338</v>
      </c>
      <c r="I2920" s="2">
        <v>42</v>
      </c>
    </row>
    <row r="2921" spans="1:9" hidden="1" x14ac:dyDescent="0.3">
      <c r="A2921" t="s">
        <v>44</v>
      </c>
      <c r="B2921" s="1">
        <v>44440</v>
      </c>
      <c r="C2921" s="2">
        <v>28139</v>
      </c>
      <c r="D2921" s="2" t="s">
        <v>3</v>
      </c>
      <c r="E2921" s="2">
        <v>27843</v>
      </c>
      <c r="F2921" s="2" t="s">
        <v>3</v>
      </c>
      <c r="G2921" s="2" t="s">
        <v>3</v>
      </c>
      <c r="H2921" s="2">
        <v>296</v>
      </c>
      <c r="I2921" s="2">
        <v>-19</v>
      </c>
    </row>
    <row r="2922" spans="1:9" hidden="1" x14ac:dyDescent="0.3">
      <c r="A2922" t="s">
        <v>44</v>
      </c>
      <c r="B2922" s="1">
        <v>44409</v>
      </c>
      <c r="C2922" s="2">
        <v>27978</v>
      </c>
      <c r="D2922" s="2" t="s">
        <v>3</v>
      </c>
      <c r="E2922" s="2">
        <v>27663</v>
      </c>
      <c r="F2922" s="2" t="s">
        <v>3</v>
      </c>
      <c r="G2922" s="2" t="s">
        <v>3</v>
      </c>
      <c r="H2922" s="2">
        <v>315</v>
      </c>
      <c r="I2922" s="2">
        <v>-19</v>
      </c>
    </row>
    <row r="2923" spans="1:9" hidden="1" x14ac:dyDescent="0.3">
      <c r="A2923" t="s">
        <v>44</v>
      </c>
      <c r="B2923" s="1">
        <v>44378</v>
      </c>
      <c r="C2923" s="2">
        <v>28792</v>
      </c>
      <c r="D2923" s="2" t="s">
        <v>3</v>
      </c>
      <c r="E2923" s="2">
        <v>28458</v>
      </c>
      <c r="F2923" s="2" t="s">
        <v>3</v>
      </c>
      <c r="G2923" s="2" t="s">
        <v>3</v>
      </c>
      <c r="H2923" s="2">
        <v>334</v>
      </c>
      <c r="I2923" s="2">
        <v>-6</v>
      </c>
    </row>
    <row r="2924" spans="1:9" hidden="1" x14ac:dyDescent="0.3">
      <c r="A2924" t="s">
        <v>44</v>
      </c>
      <c r="B2924" s="1">
        <v>44348</v>
      </c>
      <c r="C2924" s="2">
        <v>29410</v>
      </c>
      <c r="D2924" s="2" t="s">
        <v>3</v>
      </c>
      <c r="E2924" s="2">
        <v>29070</v>
      </c>
      <c r="F2924" s="2" t="s">
        <v>3</v>
      </c>
      <c r="G2924" s="2" t="s">
        <v>3</v>
      </c>
      <c r="H2924" s="2">
        <v>340</v>
      </c>
      <c r="I2924" s="2">
        <v>11</v>
      </c>
    </row>
    <row r="2925" spans="1:9" hidden="1" x14ac:dyDescent="0.3">
      <c r="A2925" t="s">
        <v>44</v>
      </c>
      <c r="B2925" s="1">
        <v>44317</v>
      </c>
      <c r="C2925" s="2">
        <v>29038</v>
      </c>
      <c r="D2925" s="2" t="s">
        <v>3</v>
      </c>
      <c r="E2925" s="2">
        <v>28709</v>
      </c>
      <c r="F2925" s="2" t="s">
        <v>3</v>
      </c>
      <c r="G2925" s="2" t="s">
        <v>3</v>
      </c>
      <c r="H2925" s="2">
        <v>329</v>
      </c>
      <c r="I2925" s="2">
        <v>-5</v>
      </c>
    </row>
    <row r="2926" spans="1:9" hidden="1" x14ac:dyDescent="0.3">
      <c r="A2926" t="s">
        <v>44</v>
      </c>
      <c r="B2926" s="1">
        <v>44287</v>
      </c>
      <c r="C2926" s="2">
        <v>28707</v>
      </c>
      <c r="D2926" s="2" t="s">
        <v>3</v>
      </c>
      <c r="E2926" s="2">
        <v>28373</v>
      </c>
      <c r="F2926" s="2" t="s">
        <v>3</v>
      </c>
      <c r="G2926" s="2" t="s">
        <v>3</v>
      </c>
      <c r="H2926" s="2">
        <v>334</v>
      </c>
      <c r="I2926" s="2">
        <v>-38</v>
      </c>
    </row>
    <row r="2927" spans="1:9" hidden="1" x14ac:dyDescent="0.3">
      <c r="A2927" t="s">
        <v>44</v>
      </c>
      <c r="B2927" s="1">
        <v>44256</v>
      </c>
      <c r="C2927" s="2">
        <v>28771</v>
      </c>
      <c r="D2927" s="2" t="s">
        <v>3</v>
      </c>
      <c r="E2927" s="2">
        <v>28399</v>
      </c>
      <c r="F2927" s="2" t="s">
        <v>3</v>
      </c>
      <c r="G2927" s="2" t="s">
        <v>3</v>
      </c>
      <c r="H2927" s="2">
        <v>372</v>
      </c>
      <c r="I2927" s="2">
        <v>-6</v>
      </c>
    </row>
    <row r="2928" spans="1:9" hidden="1" x14ac:dyDescent="0.3">
      <c r="A2928" t="s">
        <v>44</v>
      </c>
      <c r="B2928" s="1">
        <v>44228</v>
      </c>
      <c r="C2928" s="2">
        <v>28165</v>
      </c>
      <c r="D2928" s="2" t="s">
        <v>3</v>
      </c>
      <c r="E2928" s="2">
        <v>27787</v>
      </c>
      <c r="F2928" s="2" t="s">
        <v>3</v>
      </c>
      <c r="G2928" s="2" t="s">
        <v>3</v>
      </c>
      <c r="H2928" s="2">
        <v>378</v>
      </c>
      <c r="I2928" s="2">
        <v>50</v>
      </c>
    </row>
    <row r="2929" spans="1:9" hidden="1" x14ac:dyDescent="0.3">
      <c r="A2929" t="s">
        <v>44</v>
      </c>
      <c r="B2929" s="1">
        <v>44197</v>
      </c>
      <c r="C2929" s="2">
        <v>27763</v>
      </c>
      <c r="D2929" s="2" t="s">
        <v>3</v>
      </c>
      <c r="E2929" s="2">
        <v>27435</v>
      </c>
      <c r="F2929" s="2" t="s">
        <v>3</v>
      </c>
      <c r="G2929" s="2" t="s">
        <v>3</v>
      </c>
      <c r="H2929" s="2">
        <v>328</v>
      </c>
      <c r="I2929" s="2">
        <v>-242</v>
      </c>
    </row>
    <row r="2930" spans="1:9" hidden="1" x14ac:dyDescent="0.3">
      <c r="A2930" t="s">
        <v>44</v>
      </c>
      <c r="B2930" s="1">
        <v>44166</v>
      </c>
      <c r="C2930" s="2">
        <v>27437</v>
      </c>
      <c r="D2930" s="2" t="s">
        <v>3</v>
      </c>
      <c r="E2930" s="2">
        <v>26867</v>
      </c>
      <c r="F2930" s="2" t="s">
        <v>3</v>
      </c>
      <c r="G2930" s="2" t="s">
        <v>3</v>
      </c>
      <c r="H2930" s="2">
        <v>570</v>
      </c>
      <c r="I2930" s="2">
        <v>235</v>
      </c>
    </row>
    <row r="2931" spans="1:9" hidden="1" x14ac:dyDescent="0.3">
      <c r="A2931" t="s">
        <v>44</v>
      </c>
      <c r="B2931" s="1">
        <v>44136</v>
      </c>
      <c r="C2931" s="2">
        <v>26431</v>
      </c>
      <c r="D2931" s="2" t="s">
        <v>3</v>
      </c>
      <c r="E2931" s="2">
        <v>26096</v>
      </c>
      <c r="F2931" s="2" t="s">
        <v>3</v>
      </c>
      <c r="G2931" s="2" t="s">
        <v>3</v>
      </c>
      <c r="H2931" s="2">
        <v>335</v>
      </c>
      <c r="I2931" s="2">
        <v>-39</v>
      </c>
    </row>
    <row r="2932" spans="1:9" hidden="1" x14ac:dyDescent="0.3">
      <c r="A2932" t="s">
        <v>44</v>
      </c>
      <c r="B2932" s="1">
        <v>44105</v>
      </c>
      <c r="C2932" s="2">
        <v>26537</v>
      </c>
      <c r="D2932" s="2" t="s">
        <v>3</v>
      </c>
      <c r="E2932" s="2">
        <v>26163</v>
      </c>
      <c r="F2932" s="2" t="s">
        <v>3</v>
      </c>
      <c r="G2932" s="2" t="s">
        <v>3</v>
      </c>
      <c r="H2932" s="2">
        <v>374</v>
      </c>
      <c r="I2932" s="2">
        <v>-172</v>
      </c>
    </row>
    <row r="2933" spans="1:9" hidden="1" x14ac:dyDescent="0.3">
      <c r="A2933" t="s">
        <v>44</v>
      </c>
      <c r="B2933" s="1">
        <v>44075</v>
      </c>
      <c r="C2933" s="2">
        <v>26880</v>
      </c>
      <c r="D2933" s="2" t="s">
        <v>3</v>
      </c>
      <c r="E2933" s="2">
        <v>26334</v>
      </c>
      <c r="F2933" s="2" t="s">
        <v>3</v>
      </c>
      <c r="G2933" s="2" t="s">
        <v>3</v>
      </c>
      <c r="H2933" s="2">
        <v>546</v>
      </c>
      <c r="I2933" s="2">
        <v>265</v>
      </c>
    </row>
    <row r="2934" spans="1:9" hidden="1" x14ac:dyDescent="0.3">
      <c r="A2934" t="s">
        <v>44</v>
      </c>
      <c r="B2934" s="1">
        <v>44044</v>
      </c>
      <c r="C2934" s="2">
        <v>24139</v>
      </c>
      <c r="D2934" s="2" t="s">
        <v>3</v>
      </c>
      <c r="E2934" s="2">
        <v>23858</v>
      </c>
      <c r="F2934" s="2" t="s">
        <v>3</v>
      </c>
      <c r="G2934" s="2" t="s">
        <v>3</v>
      </c>
      <c r="H2934" s="2">
        <v>281</v>
      </c>
      <c r="I2934" s="2">
        <v>-14</v>
      </c>
    </row>
    <row r="2935" spans="1:9" hidden="1" x14ac:dyDescent="0.3">
      <c r="A2935" t="s">
        <v>44</v>
      </c>
      <c r="B2935" s="1">
        <v>44013</v>
      </c>
      <c r="C2935" s="2">
        <v>21579</v>
      </c>
      <c r="D2935" s="2" t="s">
        <v>3</v>
      </c>
      <c r="E2935" s="2">
        <v>21284</v>
      </c>
      <c r="F2935" s="2" t="s">
        <v>3</v>
      </c>
      <c r="G2935" s="2" t="s">
        <v>3</v>
      </c>
      <c r="H2935" s="2">
        <v>295</v>
      </c>
      <c r="I2935" s="2">
        <v>-257</v>
      </c>
    </row>
    <row r="2936" spans="1:9" hidden="1" x14ac:dyDescent="0.3">
      <c r="A2936" t="s">
        <v>44</v>
      </c>
      <c r="B2936" s="1">
        <v>43983</v>
      </c>
      <c r="C2936" s="2">
        <v>20593</v>
      </c>
      <c r="D2936" s="2" t="s">
        <v>3</v>
      </c>
      <c r="E2936" s="2">
        <v>20041</v>
      </c>
      <c r="F2936" s="2" t="s">
        <v>3</v>
      </c>
      <c r="G2936" s="2" t="s">
        <v>3</v>
      </c>
      <c r="H2936" s="2">
        <v>552</v>
      </c>
      <c r="I2936" s="2">
        <v>284</v>
      </c>
    </row>
    <row r="2937" spans="1:9" hidden="1" x14ac:dyDescent="0.3">
      <c r="A2937" t="s">
        <v>44</v>
      </c>
      <c r="B2937" s="1">
        <v>43952</v>
      </c>
      <c r="C2937" s="2">
        <v>19630</v>
      </c>
      <c r="D2937" s="2" t="s">
        <v>3</v>
      </c>
      <c r="E2937" s="2">
        <v>19362</v>
      </c>
      <c r="F2937" s="2" t="s">
        <v>3</v>
      </c>
      <c r="G2937" s="2" t="s">
        <v>3</v>
      </c>
      <c r="H2937" s="2">
        <v>268</v>
      </c>
      <c r="I2937" s="2">
        <v>-32</v>
      </c>
    </row>
    <row r="2938" spans="1:9" hidden="1" x14ac:dyDescent="0.3">
      <c r="A2938" t="s">
        <v>44</v>
      </c>
      <c r="B2938" s="1">
        <v>43922</v>
      </c>
      <c r="C2938" s="2">
        <v>20512</v>
      </c>
      <c r="D2938" s="2" t="s">
        <v>3</v>
      </c>
      <c r="E2938" s="2">
        <v>20212</v>
      </c>
      <c r="F2938" s="2" t="s">
        <v>3</v>
      </c>
      <c r="G2938" s="2" t="s">
        <v>3</v>
      </c>
      <c r="H2938" s="2">
        <v>300</v>
      </c>
      <c r="I2938" s="2">
        <v>-14</v>
      </c>
    </row>
    <row r="2939" spans="1:9" hidden="1" x14ac:dyDescent="0.3">
      <c r="A2939" t="s">
        <v>44</v>
      </c>
      <c r="B2939" s="1">
        <v>43891</v>
      </c>
      <c r="C2939" s="2">
        <v>19904</v>
      </c>
      <c r="D2939" s="2" t="s">
        <v>3</v>
      </c>
      <c r="E2939" s="2">
        <v>19590</v>
      </c>
      <c r="F2939" s="2" t="s">
        <v>3</v>
      </c>
      <c r="G2939" s="2" t="s">
        <v>3</v>
      </c>
      <c r="H2939" s="2">
        <v>314</v>
      </c>
      <c r="I2939" s="2">
        <v>131</v>
      </c>
    </row>
    <row r="2940" spans="1:9" hidden="1" x14ac:dyDescent="0.3">
      <c r="A2940" t="s">
        <v>44</v>
      </c>
      <c r="B2940" s="1">
        <v>43862</v>
      </c>
      <c r="C2940" s="2">
        <v>19447</v>
      </c>
      <c r="D2940" s="2" t="s">
        <v>3</v>
      </c>
      <c r="E2940" s="2">
        <v>19264</v>
      </c>
      <c r="F2940" s="2" t="s">
        <v>3</v>
      </c>
      <c r="G2940" s="2" t="s">
        <v>3</v>
      </c>
      <c r="H2940" s="2">
        <v>183</v>
      </c>
      <c r="I2940" s="2">
        <v>2</v>
      </c>
    </row>
    <row r="2941" spans="1:9" hidden="1" x14ac:dyDescent="0.3">
      <c r="A2941" t="s">
        <v>44</v>
      </c>
      <c r="B2941" s="1">
        <v>43831</v>
      </c>
      <c r="C2941" s="2">
        <v>19787</v>
      </c>
      <c r="D2941" s="2" t="s">
        <v>3</v>
      </c>
      <c r="E2941" s="2">
        <v>19606</v>
      </c>
      <c r="F2941" s="2" t="s">
        <v>3</v>
      </c>
      <c r="G2941" s="2" t="s">
        <v>3</v>
      </c>
      <c r="H2941" s="2">
        <v>181</v>
      </c>
      <c r="I2941" s="2">
        <v>-12</v>
      </c>
    </row>
    <row r="2942" spans="1:9" x14ac:dyDescent="0.3">
      <c r="A2942" t="s">
        <v>45</v>
      </c>
      <c r="B2942" s="1">
        <v>45931</v>
      </c>
      <c r="C2942" s="2">
        <v>19076</v>
      </c>
      <c r="D2942" s="2">
        <v>925</v>
      </c>
      <c r="E2942" s="2">
        <v>12096</v>
      </c>
      <c r="F2942" s="2">
        <v>485</v>
      </c>
      <c r="G2942" s="2">
        <v>559</v>
      </c>
      <c r="H2942" s="2">
        <v>6980</v>
      </c>
      <c r="I2942" s="2">
        <v>440</v>
      </c>
    </row>
    <row r="2943" spans="1:9" x14ac:dyDescent="0.3">
      <c r="A2943" t="s">
        <v>45</v>
      </c>
      <c r="B2943" s="1">
        <v>45901</v>
      </c>
      <c r="C2943" s="2">
        <v>18263</v>
      </c>
      <c r="D2943" s="2">
        <v>-882</v>
      </c>
      <c r="E2943" s="2">
        <v>11723</v>
      </c>
      <c r="F2943" s="2">
        <v>-367</v>
      </c>
      <c r="G2943" s="2">
        <v>-545</v>
      </c>
      <c r="H2943" s="2">
        <v>6540</v>
      </c>
      <c r="I2943" s="2">
        <v>-515</v>
      </c>
    </row>
    <row r="2944" spans="1:9" x14ac:dyDescent="0.3">
      <c r="A2944" t="s">
        <v>45</v>
      </c>
      <c r="B2944" s="1">
        <v>45870</v>
      </c>
      <c r="C2944" s="2">
        <v>19348</v>
      </c>
      <c r="D2944" s="2">
        <v>-94</v>
      </c>
      <c r="E2944" s="2">
        <v>12293</v>
      </c>
      <c r="F2944" s="2">
        <v>-16</v>
      </c>
      <c r="G2944" s="2">
        <v>-13</v>
      </c>
      <c r="H2944" s="2">
        <v>7055</v>
      </c>
      <c r="I2944" s="2">
        <v>-78</v>
      </c>
    </row>
    <row r="2945" spans="1:9" x14ac:dyDescent="0.3">
      <c r="A2945" t="s">
        <v>45</v>
      </c>
      <c r="B2945" s="1">
        <v>45839</v>
      </c>
      <c r="C2945" s="2">
        <v>19388</v>
      </c>
      <c r="D2945" s="2">
        <v>-1006</v>
      </c>
      <c r="E2945" s="2">
        <v>12255</v>
      </c>
      <c r="F2945" s="2">
        <v>-328</v>
      </c>
      <c r="G2945" s="2">
        <v>729</v>
      </c>
      <c r="H2945" s="2">
        <v>7133</v>
      </c>
      <c r="I2945" s="2">
        <v>-678</v>
      </c>
    </row>
    <row r="2946" spans="1:9" x14ac:dyDescent="0.3">
      <c r="A2946" t="s">
        <v>45</v>
      </c>
      <c r="B2946" s="1">
        <v>45809</v>
      </c>
      <c r="C2946" s="2">
        <v>20489</v>
      </c>
      <c r="D2946" s="2">
        <v>61</v>
      </c>
      <c r="E2946" s="2">
        <v>12678</v>
      </c>
      <c r="F2946" s="2">
        <v>-397</v>
      </c>
      <c r="G2946" s="2">
        <v>-254</v>
      </c>
      <c r="H2946" s="2">
        <v>7811</v>
      </c>
      <c r="I2946" s="2">
        <v>458</v>
      </c>
    </row>
    <row r="2947" spans="1:9" x14ac:dyDescent="0.3">
      <c r="A2947" t="s">
        <v>45</v>
      </c>
      <c r="B2947" s="1">
        <v>45778</v>
      </c>
      <c r="C2947" s="2">
        <v>20490</v>
      </c>
      <c r="D2947" s="2">
        <v>394</v>
      </c>
      <c r="E2947" s="2">
        <v>13137</v>
      </c>
      <c r="F2947" s="2">
        <v>827</v>
      </c>
      <c r="G2947" s="2">
        <v>71</v>
      </c>
      <c r="H2947" s="2">
        <v>7353</v>
      </c>
      <c r="I2947" s="2">
        <v>-433</v>
      </c>
    </row>
    <row r="2948" spans="1:9" x14ac:dyDescent="0.3">
      <c r="A2948" t="s">
        <v>45</v>
      </c>
      <c r="B2948" s="1">
        <v>45748</v>
      </c>
      <c r="C2948" s="2">
        <v>20102</v>
      </c>
      <c r="D2948" s="2">
        <v>313</v>
      </c>
      <c r="E2948" s="2">
        <v>12316</v>
      </c>
      <c r="F2948" s="2">
        <v>430</v>
      </c>
      <c r="G2948" s="2">
        <v>325</v>
      </c>
      <c r="H2948" s="2">
        <v>7786</v>
      </c>
      <c r="I2948" s="2">
        <v>-117</v>
      </c>
    </row>
    <row r="2949" spans="1:9" x14ac:dyDescent="0.3">
      <c r="A2949" t="s">
        <v>45</v>
      </c>
      <c r="B2949" s="1">
        <v>45717</v>
      </c>
      <c r="C2949" s="2">
        <v>19793</v>
      </c>
      <c r="D2949" s="2">
        <v>-346</v>
      </c>
      <c r="E2949" s="2">
        <v>11890</v>
      </c>
      <c r="F2949" s="2">
        <v>-908</v>
      </c>
      <c r="G2949" s="2">
        <v>540</v>
      </c>
      <c r="H2949" s="2">
        <v>7903</v>
      </c>
      <c r="I2949" s="2">
        <v>562</v>
      </c>
    </row>
    <row r="2950" spans="1:9" x14ac:dyDescent="0.3">
      <c r="A2950" t="s">
        <v>45</v>
      </c>
      <c r="B2950" s="1">
        <v>45689</v>
      </c>
      <c r="C2950" s="2">
        <v>20166</v>
      </c>
      <c r="D2950" s="2">
        <v>699</v>
      </c>
      <c r="E2950" s="2">
        <v>12825</v>
      </c>
      <c r="F2950" s="2">
        <v>-13</v>
      </c>
      <c r="G2950" s="2">
        <v>911</v>
      </c>
      <c r="H2950" s="2">
        <v>7341</v>
      </c>
      <c r="I2950" s="2">
        <v>712</v>
      </c>
    </row>
    <row r="2951" spans="1:9" x14ac:dyDescent="0.3">
      <c r="A2951" t="s">
        <v>45</v>
      </c>
      <c r="B2951" s="1">
        <v>45658</v>
      </c>
      <c r="C2951" s="2">
        <v>19484</v>
      </c>
      <c r="D2951" s="2">
        <v>511</v>
      </c>
      <c r="E2951" s="2">
        <v>12855</v>
      </c>
      <c r="F2951" s="2">
        <v>322</v>
      </c>
      <c r="G2951" s="2">
        <v>-21</v>
      </c>
      <c r="H2951" s="2">
        <v>6629</v>
      </c>
      <c r="I2951" s="2">
        <v>189</v>
      </c>
    </row>
    <row r="2952" spans="1:9" x14ac:dyDescent="0.3">
      <c r="A2952" t="s">
        <v>45</v>
      </c>
      <c r="B2952" s="1">
        <v>45627</v>
      </c>
      <c r="C2952" s="2">
        <v>19001</v>
      </c>
      <c r="D2952" s="2">
        <v>831</v>
      </c>
      <c r="E2952" s="2">
        <v>12561</v>
      </c>
      <c r="F2952" s="2">
        <v>492</v>
      </c>
      <c r="G2952" s="2">
        <v>392</v>
      </c>
      <c r="H2952" s="2">
        <v>6440</v>
      </c>
      <c r="I2952" s="2">
        <v>339</v>
      </c>
    </row>
    <row r="2953" spans="1:9" x14ac:dyDescent="0.3">
      <c r="A2953" t="s">
        <v>45</v>
      </c>
      <c r="B2953" s="1">
        <v>45597</v>
      </c>
      <c r="C2953" s="2">
        <v>18302</v>
      </c>
      <c r="D2953" s="2">
        <v>994</v>
      </c>
      <c r="E2953" s="2">
        <v>12201</v>
      </c>
      <c r="F2953" s="2">
        <v>234</v>
      </c>
      <c r="G2953" s="2">
        <v>-50</v>
      </c>
      <c r="H2953" s="2">
        <v>6101</v>
      </c>
      <c r="I2953" s="2">
        <v>760</v>
      </c>
    </row>
    <row r="2954" spans="1:9" x14ac:dyDescent="0.3">
      <c r="A2954" t="s">
        <v>45</v>
      </c>
      <c r="B2954" s="1">
        <v>45566</v>
      </c>
      <c r="C2954" s="2">
        <v>17381</v>
      </c>
      <c r="D2954" s="2">
        <v>-1055</v>
      </c>
      <c r="E2954" s="2">
        <v>12040</v>
      </c>
      <c r="F2954" s="2">
        <v>2</v>
      </c>
      <c r="G2954" s="2">
        <v>46</v>
      </c>
      <c r="H2954" s="2">
        <v>5341</v>
      </c>
      <c r="I2954" s="2">
        <v>-1057</v>
      </c>
    </row>
    <row r="2955" spans="1:9" x14ac:dyDescent="0.3">
      <c r="A2955" t="s">
        <v>45</v>
      </c>
      <c r="B2955" s="1">
        <v>45536</v>
      </c>
      <c r="C2955" s="2">
        <v>18643</v>
      </c>
      <c r="D2955" s="2">
        <v>252</v>
      </c>
      <c r="E2955" s="2">
        <v>12245</v>
      </c>
      <c r="F2955" s="2">
        <v>346</v>
      </c>
      <c r="G2955" s="2">
        <v>-208</v>
      </c>
      <c r="H2955" s="2">
        <v>6398</v>
      </c>
      <c r="I2955" s="2">
        <v>-94</v>
      </c>
    </row>
    <row r="2956" spans="1:9" x14ac:dyDescent="0.3">
      <c r="A2956" t="s">
        <v>45</v>
      </c>
      <c r="B2956" s="1">
        <v>45505</v>
      </c>
      <c r="C2956" s="2">
        <v>18527</v>
      </c>
      <c r="D2956" s="2">
        <v>-1072</v>
      </c>
      <c r="E2956" s="2">
        <v>12035</v>
      </c>
      <c r="F2956" s="2">
        <v>304</v>
      </c>
      <c r="G2956" s="2">
        <v>-22</v>
      </c>
      <c r="H2956" s="2">
        <v>6492</v>
      </c>
      <c r="I2956" s="2">
        <v>-1376</v>
      </c>
    </row>
    <row r="2957" spans="1:9" x14ac:dyDescent="0.3">
      <c r="A2957" t="s">
        <v>45</v>
      </c>
      <c r="B2957" s="1">
        <v>45474</v>
      </c>
      <c r="C2957" s="2">
        <v>19585</v>
      </c>
      <c r="D2957" s="2">
        <v>750</v>
      </c>
      <c r="E2957" s="2">
        <v>11717</v>
      </c>
      <c r="F2957" s="2">
        <v>-859</v>
      </c>
      <c r="G2957" s="2">
        <v>99</v>
      </c>
      <c r="H2957" s="2">
        <v>7868</v>
      </c>
      <c r="I2957" s="2">
        <v>1609</v>
      </c>
    </row>
    <row r="2958" spans="1:9" x14ac:dyDescent="0.3">
      <c r="A2958" t="s">
        <v>45</v>
      </c>
      <c r="B2958" s="1">
        <v>45444</v>
      </c>
      <c r="C2958" s="2">
        <v>18563</v>
      </c>
      <c r="D2958" s="2">
        <v>-1058</v>
      </c>
      <c r="E2958" s="2">
        <v>12304</v>
      </c>
      <c r="F2958" s="2">
        <v>-339</v>
      </c>
      <c r="G2958" s="2">
        <v>-161</v>
      </c>
      <c r="H2958" s="2">
        <v>6259</v>
      </c>
      <c r="I2958" s="2">
        <v>-719</v>
      </c>
    </row>
    <row r="2959" spans="1:9" x14ac:dyDescent="0.3">
      <c r="A2959" t="s">
        <v>45</v>
      </c>
      <c r="B2959" s="1">
        <v>45413</v>
      </c>
      <c r="C2959" s="2">
        <v>19710</v>
      </c>
      <c r="D2959" s="2">
        <v>375</v>
      </c>
      <c r="E2959" s="2">
        <v>12732</v>
      </c>
      <c r="F2959" s="2">
        <v>-246</v>
      </c>
      <c r="G2959" s="2">
        <v>-715</v>
      </c>
      <c r="H2959" s="2">
        <v>6978</v>
      </c>
      <c r="I2959" s="2">
        <v>621</v>
      </c>
    </row>
    <row r="2960" spans="1:9" x14ac:dyDescent="0.3">
      <c r="A2960" t="s">
        <v>45</v>
      </c>
      <c r="B2960" s="1">
        <v>45383</v>
      </c>
      <c r="C2960" s="2">
        <v>19546</v>
      </c>
      <c r="D2960" s="2">
        <v>528</v>
      </c>
      <c r="E2960" s="2">
        <v>13189</v>
      </c>
      <c r="F2960" s="2">
        <v>266</v>
      </c>
      <c r="G2960" s="2">
        <v>1195</v>
      </c>
      <c r="H2960" s="2">
        <v>6357</v>
      </c>
      <c r="I2960" s="2">
        <v>262</v>
      </c>
    </row>
    <row r="2961" spans="1:9" x14ac:dyDescent="0.3">
      <c r="A2961" t="s">
        <v>45</v>
      </c>
      <c r="B2961" s="1">
        <v>45352</v>
      </c>
      <c r="C2961" s="2">
        <v>19137</v>
      </c>
      <c r="D2961" s="2">
        <v>577</v>
      </c>
      <c r="E2961" s="2">
        <v>13042</v>
      </c>
      <c r="F2961" s="2">
        <v>154</v>
      </c>
      <c r="G2961" s="2">
        <v>84</v>
      </c>
      <c r="H2961" s="2">
        <v>6095</v>
      </c>
      <c r="I2961" s="2">
        <v>423</v>
      </c>
    </row>
    <row r="2962" spans="1:9" x14ac:dyDescent="0.3">
      <c r="A2962" t="s">
        <v>45</v>
      </c>
      <c r="B2962" s="1">
        <v>45323</v>
      </c>
      <c r="C2962" s="2">
        <v>18501</v>
      </c>
      <c r="D2962" s="2">
        <v>-524</v>
      </c>
      <c r="E2962" s="2">
        <v>12829</v>
      </c>
      <c r="F2962" s="2">
        <v>338</v>
      </c>
      <c r="G2962" s="2">
        <v>-314</v>
      </c>
      <c r="H2962" s="2">
        <v>5672</v>
      </c>
      <c r="I2962" s="2">
        <v>-862</v>
      </c>
    </row>
    <row r="2963" spans="1:9" x14ac:dyDescent="0.3">
      <c r="A2963" t="s">
        <v>45</v>
      </c>
      <c r="B2963" s="1">
        <v>45292</v>
      </c>
      <c r="C2963" s="2">
        <v>19092</v>
      </c>
      <c r="D2963" s="2">
        <v>-1703</v>
      </c>
      <c r="E2963" s="2">
        <v>12558</v>
      </c>
      <c r="F2963" s="2">
        <v>226</v>
      </c>
      <c r="G2963" s="2">
        <v>-859</v>
      </c>
      <c r="H2963" s="2">
        <v>6534</v>
      </c>
      <c r="I2963" s="2">
        <v>-1929</v>
      </c>
    </row>
    <row r="2964" spans="1:9" x14ac:dyDescent="0.3">
      <c r="A2964" t="s">
        <v>45</v>
      </c>
      <c r="B2964" s="1">
        <v>45261</v>
      </c>
      <c r="C2964" s="2">
        <v>20842</v>
      </c>
      <c r="D2964" s="2">
        <v>1425</v>
      </c>
      <c r="E2964" s="2">
        <v>12379</v>
      </c>
      <c r="F2964" s="2">
        <v>1227</v>
      </c>
      <c r="G2964" s="2">
        <v>396</v>
      </c>
      <c r="H2964" s="2">
        <v>8463</v>
      </c>
      <c r="I2964" s="2">
        <v>198</v>
      </c>
    </row>
    <row r="2965" spans="1:9" x14ac:dyDescent="0.3">
      <c r="A2965" t="s">
        <v>45</v>
      </c>
      <c r="B2965" s="1">
        <v>45231</v>
      </c>
      <c r="C2965" s="2">
        <v>19352</v>
      </c>
      <c r="D2965" s="2">
        <v>1396</v>
      </c>
      <c r="E2965" s="2">
        <v>11087</v>
      </c>
      <c r="F2965" s="2">
        <v>463</v>
      </c>
      <c r="G2965" s="2">
        <v>270</v>
      </c>
      <c r="H2965" s="2">
        <v>8265</v>
      </c>
      <c r="I2965" s="2">
        <v>933</v>
      </c>
    </row>
    <row r="2966" spans="1:9" x14ac:dyDescent="0.3">
      <c r="A2966" t="s">
        <v>45</v>
      </c>
      <c r="B2966" s="1">
        <v>45200</v>
      </c>
      <c r="C2966" s="2">
        <v>17892</v>
      </c>
      <c r="D2966" s="2">
        <v>515</v>
      </c>
      <c r="E2966" s="2">
        <v>10560</v>
      </c>
      <c r="F2966" s="2">
        <v>359</v>
      </c>
      <c r="G2966" s="2">
        <v>567</v>
      </c>
      <c r="H2966" s="2">
        <v>7332</v>
      </c>
      <c r="I2966" s="2">
        <v>156</v>
      </c>
    </row>
    <row r="2967" spans="1:9" x14ac:dyDescent="0.3">
      <c r="A2967" t="s">
        <v>45</v>
      </c>
      <c r="B2967" s="1">
        <v>45170</v>
      </c>
      <c r="C2967" s="2">
        <v>17281</v>
      </c>
      <c r="D2967" s="2">
        <v>-71</v>
      </c>
      <c r="E2967" s="2">
        <v>10105</v>
      </c>
      <c r="F2967" s="2">
        <v>518</v>
      </c>
      <c r="G2967" s="2">
        <v>191</v>
      </c>
      <c r="H2967" s="2">
        <v>7176</v>
      </c>
      <c r="I2967" s="2">
        <v>-589</v>
      </c>
    </row>
    <row r="2968" spans="1:9" x14ac:dyDescent="0.3">
      <c r="A2968" t="s">
        <v>45</v>
      </c>
      <c r="B2968" s="1">
        <v>45139</v>
      </c>
      <c r="C2968" s="2">
        <v>17305</v>
      </c>
      <c r="D2968" s="2">
        <v>-50</v>
      </c>
      <c r="E2968" s="2">
        <v>9540</v>
      </c>
      <c r="F2968" s="2">
        <v>490</v>
      </c>
      <c r="G2968" s="2">
        <v>-151</v>
      </c>
      <c r="H2968" s="2">
        <v>7765</v>
      </c>
      <c r="I2968" s="2">
        <v>-540</v>
      </c>
    </row>
    <row r="2969" spans="1:9" x14ac:dyDescent="0.3">
      <c r="A2969" t="s">
        <v>45</v>
      </c>
      <c r="B2969" s="1">
        <v>45108</v>
      </c>
      <c r="C2969" s="2">
        <v>17337</v>
      </c>
      <c r="D2969" s="2">
        <v>1081</v>
      </c>
      <c r="E2969" s="2">
        <v>9032</v>
      </c>
      <c r="F2969" s="2">
        <v>603</v>
      </c>
      <c r="G2969" s="2">
        <v>200</v>
      </c>
      <c r="H2969" s="2">
        <v>8305</v>
      </c>
      <c r="I2969" s="2">
        <v>478</v>
      </c>
    </row>
    <row r="2970" spans="1:9" x14ac:dyDescent="0.3">
      <c r="A2970" t="s">
        <v>45</v>
      </c>
      <c r="B2970" s="1">
        <v>45078</v>
      </c>
      <c r="C2970" s="2">
        <v>16254</v>
      </c>
      <c r="D2970" s="2">
        <v>-31</v>
      </c>
      <c r="E2970" s="2">
        <v>8427</v>
      </c>
      <c r="F2970" s="2">
        <v>918</v>
      </c>
      <c r="G2970" s="2">
        <v>552</v>
      </c>
      <c r="H2970" s="2">
        <v>7827</v>
      </c>
      <c r="I2970" s="2">
        <v>-949</v>
      </c>
    </row>
    <row r="2971" spans="1:9" x14ac:dyDescent="0.3">
      <c r="A2971" t="s">
        <v>45</v>
      </c>
      <c r="B2971" s="1">
        <v>45047</v>
      </c>
      <c r="C2971" s="2">
        <v>16276</v>
      </c>
      <c r="D2971" s="2">
        <v>-199</v>
      </c>
      <c r="E2971" s="2">
        <v>7500</v>
      </c>
      <c r="F2971" s="2">
        <v>747</v>
      </c>
      <c r="G2971" s="2">
        <v>257</v>
      </c>
      <c r="H2971" s="2">
        <v>8776</v>
      </c>
      <c r="I2971" s="2">
        <v>-946</v>
      </c>
    </row>
    <row r="2972" spans="1:9" x14ac:dyDescent="0.3">
      <c r="A2972" t="s">
        <v>45</v>
      </c>
      <c r="B2972" s="1">
        <v>45017</v>
      </c>
      <c r="C2972" s="2">
        <v>16512</v>
      </c>
      <c r="D2972" s="2">
        <v>-18</v>
      </c>
      <c r="E2972" s="2">
        <v>6790</v>
      </c>
      <c r="F2972" s="2">
        <v>589</v>
      </c>
      <c r="G2972" s="2">
        <v>40</v>
      </c>
      <c r="H2972" s="2">
        <v>9722</v>
      </c>
      <c r="I2972" s="2">
        <v>-607</v>
      </c>
    </row>
    <row r="2973" spans="1:9" x14ac:dyDescent="0.3">
      <c r="A2973" t="s">
        <v>45</v>
      </c>
      <c r="B2973" s="1">
        <v>44986</v>
      </c>
      <c r="C2973" s="2">
        <v>16441</v>
      </c>
      <c r="D2973" s="2">
        <v>239</v>
      </c>
      <c r="E2973" s="2">
        <v>6112</v>
      </c>
      <c r="F2973" s="2">
        <v>645</v>
      </c>
      <c r="G2973" s="2">
        <v>83</v>
      </c>
      <c r="H2973" s="2">
        <v>10329</v>
      </c>
      <c r="I2973" s="2">
        <v>-406</v>
      </c>
    </row>
    <row r="2974" spans="1:9" x14ac:dyDescent="0.3">
      <c r="A2974" t="s">
        <v>45</v>
      </c>
      <c r="B2974" s="1">
        <v>44958</v>
      </c>
      <c r="C2974" s="2">
        <v>16241</v>
      </c>
      <c r="D2974" s="2">
        <v>438</v>
      </c>
      <c r="E2974" s="2">
        <v>5506</v>
      </c>
      <c r="F2974" s="2">
        <v>440</v>
      </c>
      <c r="G2974" s="2">
        <v>34</v>
      </c>
      <c r="H2974" s="2">
        <v>10735</v>
      </c>
      <c r="I2974" s="2">
        <v>-2</v>
      </c>
    </row>
    <row r="2975" spans="1:9" hidden="1" x14ac:dyDescent="0.3">
      <c r="A2975" t="s">
        <v>45</v>
      </c>
      <c r="B2975" s="1">
        <v>44927</v>
      </c>
      <c r="C2975" s="2">
        <v>15836</v>
      </c>
      <c r="D2975" s="2" t="s">
        <v>3</v>
      </c>
      <c r="E2975" s="2">
        <v>5099</v>
      </c>
      <c r="F2975" s="2" t="s">
        <v>3</v>
      </c>
      <c r="G2975" s="2" t="s">
        <v>3</v>
      </c>
      <c r="H2975" s="2">
        <v>10737</v>
      </c>
      <c r="I2975" s="2">
        <v>-2595</v>
      </c>
    </row>
    <row r="2976" spans="1:9" hidden="1" x14ac:dyDescent="0.3">
      <c r="A2976" t="s">
        <v>45</v>
      </c>
      <c r="B2976" s="1">
        <v>44896</v>
      </c>
      <c r="C2976" s="2">
        <v>17866</v>
      </c>
      <c r="D2976" s="2" t="s">
        <v>3</v>
      </c>
      <c r="E2976" s="2">
        <v>4534</v>
      </c>
      <c r="F2976" s="2" t="s">
        <v>3</v>
      </c>
      <c r="G2976" s="2" t="s">
        <v>3</v>
      </c>
      <c r="H2976" s="2">
        <v>13332</v>
      </c>
      <c r="I2976" s="2">
        <v>1406</v>
      </c>
    </row>
    <row r="2977" spans="1:9" hidden="1" x14ac:dyDescent="0.3">
      <c r="A2977" t="s">
        <v>45</v>
      </c>
      <c r="B2977" s="1">
        <v>44866</v>
      </c>
      <c r="C2977" s="2">
        <v>15922</v>
      </c>
      <c r="D2977" s="2" t="s">
        <v>3</v>
      </c>
      <c r="E2977" s="2">
        <v>3996</v>
      </c>
      <c r="F2977" s="2" t="s">
        <v>3</v>
      </c>
      <c r="G2977" s="2" t="s">
        <v>3</v>
      </c>
      <c r="H2977" s="2">
        <v>11926</v>
      </c>
      <c r="I2977" s="2">
        <v>2437</v>
      </c>
    </row>
    <row r="2978" spans="1:9" hidden="1" x14ac:dyDescent="0.3">
      <c r="A2978" t="s">
        <v>45</v>
      </c>
      <c r="B2978" s="1">
        <v>44835</v>
      </c>
      <c r="C2978" s="2">
        <v>13218</v>
      </c>
      <c r="D2978" s="2" t="s">
        <v>3</v>
      </c>
      <c r="E2978" s="2">
        <v>3729</v>
      </c>
      <c r="F2978" s="2" t="s">
        <v>3</v>
      </c>
      <c r="G2978" s="2" t="s">
        <v>3</v>
      </c>
      <c r="H2978" s="2">
        <v>9489</v>
      </c>
      <c r="I2978" s="2">
        <v>789</v>
      </c>
    </row>
    <row r="2979" spans="1:9" hidden="1" x14ac:dyDescent="0.3">
      <c r="A2979" t="s">
        <v>45</v>
      </c>
      <c r="B2979" s="1">
        <v>44805</v>
      </c>
      <c r="C2979" s="2">
        <v>12244</v>
      </c>
      <c r="D2979" s="2" t="s">
        <v>3</v>
      </c>
      <c r="E2979" s="2">
        <v>3544</v>
      </c>
      <c r="F2979" s="2" t="s">
        <v>3</v>
      </c>
      <c r="G2979" s="2" t="s">
        <v>3</v>
      </c>
      <c r="H2979" s="2">
        <v>8700</v>
      </c>
      <c r="I2979" s="2">
        <v>419</v>
      </c>
    </row>
    <row r="2980" spans="1:9" hidden="1" x14ac:dyDescent="0.3">
      <c r="A2980" t="s">
        <v>45</v>
      </c>
      <c r="B2980" s="1">
        <v>44774</v>
      </c>
      <c r="C2980" s="2">
        <v>11665</v>
      </c>
      <c r="D2980" s="2" t="s">
        <v>3</v>
      </c>
      <c r="E2980" s="2">
        <v>3384</v>
      </c>
      <c r="F2980" s="2" t="s">
        <v>3</v>
      </c>
      <c r="G2980" s="2" t="s">
        <v>3</v>
      </c>
      <c r="H2980" s="2">
        <v>8281</v>
      </c>
      <c r="I2980" s="2">
        <v>-603</v>
      </c>
    </row>
    <row r="2981" spans="1:9" hidden="1" x14ac:dyDescent="0.3">
      <c r="A2981" t="s">
        <v>45</v>
      </c>
      <c r="B2981" s="1">
        <v>44743</v>
      </c>
      <c r="C2981" s="2">
        <v>12108</v>
      </c>
      <c r="D2981" s="2" t="s">
        <v>3</v>
      </c>
      <c r="E2981" s="2">
        <v>3224</v>
      </c>
      <c r="F2981" s="2" t="s">
        <v>3</v>
      </c>
      <c r="G2981" s="2" t="s">
        <v>3</v>
      </c>
      <c r="H2981" s="2">
        <v>8884</v>
      </c>
      <c r="I2981" s="2">
        <v>-267</v>
      </c>
    </row>
    <row r="2982" spans="1:9" hidden="1" x14ac:dyDescent="0.3">
      <c r="A2982" t="s">
        <v>45</v>
      </c>
      <c r="B2982" s="1">
        <v>44713</v>
      </c>
      <c r="C2982" s="2">
        <v>12269</v>
      </c>
      <c r="D2982" s="2" t="s">
        <v>3</v>
      </c>
      <c r="E2982" s="2">
        <v>3118</v>
      </c>
      <c r="F2982" s="2" t="s">
        <v>3</v>
      </c>
      <c r="G2982" s="2" t="s">
        <v>3</v>
      </c>
      <c r="H2982" s="2">
        <v>9151</v>
      </c>
      <c r="I2982" s="2">
        <v>282</v>
      </c>
    </row>
    <row r="2983" spans="1:9" hidden="1" x14ac:dyDescent="0.3">
      <c r="A2983" t="s">
        <v>45</v>
      </c>
      <c r="B2983" s="1">
        <v>44682</v>
      </c>
      <c r="C2983" s="2">
        <v>11897</v>
      </c>
      <c r="D2983" s="2" t="s">
        <v>3</v>
      </c>
      <c r="E2983" s="2">
        <v>3028</v>
      </c>
      <c r="F2983" s="2" t="s">
        <v>3</v>
      </c>
      <c r="G2983" s="2" t="s">
        <v>3</v>
      </c>
      <c r="H2983" s="2">
        <v>8869</v>
      </c>
      <c r="I2983" s="2">
        <v>35</v>
      </c>
    </row>
    <row r="2984" spans="1:9" hidden="1" x14ac:dyDescent="0.3">
      <c r="A2984" t="s">
        <v>45</v>
      </c>
      <c r="B2984" s="1">
        <v>44652</v>
      </c>
      <c r="C2984" s="2">
        <v>11467</v>
      </c>
      <c r="D2984" s="2" t="s">
        <v>3</v>
      </c>
      <c r="E2984" s="2">
        <v>2633</v>
      </c>
      <c r="F2984" s="2" t="s">
        <v>3</v>
      </c>
      <c r="G2984" s="2" t="s">
        <v>3</v>
      </c>
      <c r="H2984" s="2">
        <v>8834</v>
      </c>
      <c r="I2984" s="2">
        <v>624</v>
      </c>
    </row>
    <row r="2985" spans="1:9" hidden="1" x14ac:dyDescent="0.3">
      <c r="A2985" t="s">
        <v>45</v>
      </c>
      <c r="B2985" s="1">
        <v>44621</v>
      </c>
      <c r="C2985" s="2">
        <v>10749</v>
      </c>
      <c r="D2985" s="2" t="s">
        <v>3</v>
      </c>
      <c r="E2985" s="2">
        <v>2539</v>
      </c>
      <c r="F2985" s="2" t="s">
        <v>3</v>
      </c>
      <c r="G2985" s="2" t="s">
        <v>3</v>
      </c>
      <c r="H2985" s="2">
        <v>8210</v>
      </c>
      <c r="I2985" s="2">
        <v>479</v>
      </c>
    </row>
    <row r="2986" spans="1:9" hidden="1" x14ac:dyDescent="0.3">
      <c r="A2986" t="s">
        <v>45</v>
      </c>
      <c r="B2986" s="1">
        <v>44593</v>
      </c>
      <c r="C2986" s="2">
        <v>10212</v>
      </c>
      <c r="D2986" s="2" t="s">
        <v>3</v>
      </c>
      <c r="E2986" s="2">
        <v>2481</v>
      </c>
      <c r="F2986" s="2" t="s">
        <v>3</v>
      </c>
      <c r="G2986" s="2" t="s">
        <v>3</v>
      </c>
      <c r="H2986" s="2">
        <v>7731</v>
      </c>
      <c r="I2986" s="2">
        <v>-230</v>
      </c>
    </row>
    <row r="2987" spans="1:9" hidden="1" x14ac:dyDescent="0.3">
      <c r="A2987" t="s">
        <v>45</v>
      </c>
      <c r="B2987" s="1">
        <v>44562</v>
      </c>
      <c r="C2987" s="2">
        <v>10352</v>
      </c>
      <c r="D2987" s="2" t="s">
        <v>3</v>
      </c>
      <c r="E2987" s="2">
        <v>2391</v>
      </c>
      <c r="F2987" s="2" t="s">
        <v>3</v>
      </c>
      <c r="G2987" s="2" t="s">
        <v>3</v>
      </c>
      <c r="H2987" s="2">
        <v>7961</v>
      </c>
      <c r="I2987" s="2">
        <v>-1979</v>
      </c>
    </row>
    <row r="2988" spans="1:9" hidden="1" x14ac:dyDescent="0.3">
      <c r="A2988" t="s">
        <v>45</v>
      </c>
      <c r="B2988" s="1">
        <v>44531</v>
      </c>
      <c r="C2988" s="2">
        <v>12328</v>
      </c>
      <c r="D2988" s="2" t="s">
        <v>3</v>
      </c>
      <c r="E2988" s="2">
        <v>2388</v>
      </c>
      <c r="F2988" s="2" t="s">
        <v>3</v>
      </c>
      <c r="G2988" s="2" t="s">
        <v>3</v>
      </c>
      <c r="H2988" s="2">
        <v>9940</v>
      </c>
      <c r="I2988" s="2">
        <v>2549</v>
      </c>
    </row>
    <row r="2989" spans="1:9" hidden="1" x14ac:dyDescent="0.3">
      <c r="A2989" t="s">
        <v>45</v>
      </c>
      <c r="B2989" s="1">
        <v>44501</v>
      </c>
      <c r="C2989" s="2">
        <v>9773</v>
      </c>
      <c r="D2989" s="2" t="s">
        <v>3</v>
      </c>
      <c r="E2989" s="2">
        <v>2382</v>
      </c>
      <c r="F2989" s="2" t="s">
        <v>3</v>
      </c>
      <c r="G2989" s="2" t="s">
        <v>3</v>
      </c>
      <c r="H2989" s="2">
        <v>7391</v>
      </c>
      <c r="I2989" s="2">
        <v>-875</v>
      </c>
    </row>
    <row r="2990" spans="1:9" hidden="1" x14ac:dyDescent="0.3">
      <c r="A2990" t="s">
        <v>45</v>
      </c>
      <c r="B2990" s="1">
        <v>44470</v>
      </c>
      <c r="C2990" s="2">
        <v>10718</v>
      </c>
      <c r="D2990" s="2" t="s">
        <v>3</v>
      </c>
      <c r="E2990" s="2">
        <v>2452</v>
      </c>
      <c r="F2990" s="2" t="s">
        <v>3</v>
      </c>
      <c r="G2990" s="2" t="s">
        <v>3</v>
      </c>
      <c r="H2990" s="2">
        <v>8266</v>
      </c>
      <c r="I2990" s="2">
        <v>694</v>
      </c>
    </row>
    <row r="2991" spans="1:9" hidden="1" x14ac:dyDescent="0.3">
      <c r="A2991" t="s">
        <v>45</v>
      </c>
      <c r="B2991" s="1">
        <v>44440</v>
      </c>
      <c r="C2991" s="2">
        <v>9945</v>
      </c>
      <c r="D2991" s="2" t="s">
        <v>3</v>
      </c>
      <c r="E2991" s="2">
        <v>2373</v>
      </c>
      <c r="F2991" s="2" t="s">
        <v>3</v>
      </c>
      <c r="G2991" s="2" t="s">
        <v>3</v>
      </c>
      <c r="H2991" s="2">
        <v>7572</v>
      </c>
      <c r="I2991" s="2">
        <v>-150</v>
      </c>
    </row>
    <row r="2992" spans="1:9" hidden="1" x14ac:dyDescent="0.3">
      <c r="A2992" t="s">
        <v>45</v>
      </c>
      <c r="B2992" s="1">
        <v>44409</v>
      </c>
      <c r="C2992" s="2">
        <v>10412</v>
      </c>
      <c r="D2992" s="2" t="s">
        <v>3</v>
      </c>
      <c r="E2992" s="2">
        <v>2690</v>
      </c>
      <c r="F2992" s="2" t="s">
        <v>3</v>
      </c>
      <c r="G2992" s="2" t="s">
        <v>3</v>
      </c>
      <c r="H2992" s="2">
        <v>7722</v>
      </c>
      <c r="I2992" s="2">
        <v>-127</v>
      </c>
    </row>
    <row r="2993" spans="1:9" hidden="1" x14ac:dyDescent="0.3">
      <c r="A2993" t="s">
        <v>45</v>
      </c>
      <c r="B2993" s="1">
        <v>44378</v>
      </c>
      <c r="C2993" s="2">
        <v>10474</v>
      </c>
      <c r="D2993" s="2" t="s">
        <v>3</v>
      </c>
      <c r="E2993" s="2">
        <v>2625</v>
      </c>
      <c r="F2993" s="2" t="s">
        <v>3</v>
      </c>
      <c r="G2993" s="2" t="s">
        <v>3</v>
      </c>
      <c r="H2993" s="2">
        <v>7849</v>
      </c>
      <c r="I2993" s="2">
        <v>-466</v>
      </c>
    </row>
    <row r="2994" spans="1:9" hidden="1" x14ac:dyDescent="0.3">
      <c r="A2994" t="s">
        <v>45</v>
      </c>
      <c r="B2994" s="1">
        <v>44348</v>
      </c>
      <c r="C2994" s="2">
        <v>10915</v>
      </c>
      <c r="D2994" s="2" t="s">
        <v>3</v>
      </c>
      <c r="E2994" s="2">
        <v>2600</v>
      </c>
      <c r="F2994" s="2" t="s">
        <v>3</v>
      </c>
      <c r="G2994" s="2" t="s">
        <v>3</v>
      </c>
      <c r="H2994" s="2">
        <v>8315</v>
      </c>
      <c r="I2994" s="2">
        <v>153</v>
      </c>
    </row>
    <row r="2995" spans="1:9" hidden="1" x14ac:dyDescent="0.3">
      <c r="A2995" t="s">
        <v>45</v>
      </c>
      <c r="B2995" s="1">
        <v>44317</v>
      </c>
      <c r="C2995" s="2">
        <v>10785</v>
      </c>
      <c r="D2995" s="2" t="s">
        <v>3</v>
      </c>
      <c r="E2995" s="2">
        <v>2623</v>
      </c>
      <c r="F2995" s="2" t="s">
        <v>3</v>
      </c>
      <c r="G2995" s="2" t="s">
        <v>3</v>
      </c>
      <c r="H2995" s="2">
        <v>8162</v>
      </c>
      <c r="I2995" s="2">
        <v>371</v>
      </c>
    </row>
    <row r="2996" spans="1:9" hidden="1" x14ac:dyDescent="0.3">
      <c r="A2996" t="s">
        <v>45</v>
      </c>
      <c r="B2996" s="1">
        <v>44287</v>
      </c>
      <c r="C2996" s="2">
        <v>10397</v>
      </c>
      <c r="D2996" s="2" t="s">
        <v>3</v>
      </c>
      <c r="E2996" s="2">
        <v>2606</v>
      </c>
      <c r="F2996" s="2" t="s">
        <v>3</v>
      </c>
      <c r="G2996" s="2" t="s">
        <v>3</v>
      </c>
      <c r="H2996" s="2">
        <v>7791</v>
      </c>
      <c r="I2996" s="2">
        <v>-164</v>
      </c>
    </row>
    <row r="2997" spans="1:9" hidden="1" x14ac:dyDescent="0.3">
      <c r="A2997" t="s">
        <v>45</v>
      </c>
      <c r="B2997" s="1">
        <v>44256</v>
      </c>
      <c r="C2997" s="2">
        <v>10509</v>
      </c>
      <c r="D2997" s="2" t="s">
        <v>3</v>
      </c>
      <c r="E2997" s="2">
        <v>2554</v>
      </c>
      <c r="F2997" s="2" t="s">
        <v>3</v>
      </c>
      <c r="G2997" s="2" t="s">
        <v>3</v>
      </c>
      <c r="H2997" s="2">
        <v>7955</v>
      </c>
      <c r="I2997" s="2">
        <v>-370</v>
      </c>
    </row>
    <row r="2998" spans="1:9" hidden="1" x14ac:dyDescent="0.3">
      <c r="A2998" t="s">
        <v>45</v>
      </c>
      <c r="B2998" s="1">
        <v>44228</v>
      </c>
      <c r="C2998" s="2">
        <v>11018</v>
      </c>
      <c r="D2998" s="2" t="s">
        <v>3</v>
      </c>
      <c r="E2998" s="2">
        <v>2693</v>
      </c>
      <c r="F2998" s="2" t="s">
        <v>3</v>
      </c>
      <c r="G2998" s="2" t="s">
        <v>3</v>
      </c>
      <c r="H2998" s="2">
        <v>8325</v>
      </c>
      <c r="I2998" s="2">
        <v>-139</v>
      </c>
    </row>
    <row r="2999" spans="1:9" hidden="1" x14ac:dyDescent="0.3">
      <c r="A2999" t="s">
        <v>45</v>
      </c>
      <c r="B2999" s="1">
        <v>44197</v>
      </c>
      <c r="C2999" s="2">
        <v>11618</v>
      </c>
      <c r="D2999" s="2" t="s">
        <v>3</v>
      </c>
      <c r="E2999" s="2">
        <v>3154</v>
      </c>
      <c r="F2999" s="2" t="s">
        <v>3</v>
      </c>
      <c r="G2999" s="2" t="s">
        <v>3</v>
      </c>
      <c r="H2999" s="2">
        <v>8464</v>
      </c>
      <c r="I2999" s="2">
        <v>-1075</v>
      </c>
    </row>
    <row r="3000" spans="1:9" hidden="1" x14ac:dyDescent="0.3">
      <c r="A3000" t="s">
        <v>45</v>
      </c>
      <c r="B3000" s="1">
        <v>44166</v>
      </c>
      <c r="C3000" s="2">
        <v>12971</v>
      </c>
      <c r="D3000" s="2" t="s">
        <v>3</v>
      </c>
      <c r="E3000" s="2">
        <v>3432</v>
      </c>
      <c r="F3000" s="2" t="s">
        <v>3</v>
      </c>
      <c r="G3000" s="2" t="s">
        <v>3</v>
      </c>
      <c r="H3000" s="2">
        <v>9539</v>
      </c>
      <c r="I3000" s="2">
        <v>1651</v>
      </c>
    </row>
    <row r="3001" spans="1:9" hidden="1" x14ac:dyDescent="0.3">
      <c r="A3001" t="s">
        <v>45</v>
      </c>
      <c r="B3001" s="1">
        <v>44136</v>
      </c>
      <c r="C3001" s="2">
        <v>11268</v>
      </c>
      <c r="D3001" s="2" t="s">
        <v>3</v>
      </c>
      <c r="E3001" s="2">
        <v>3380</v>
      </c>
      <c r="F3001" s="2" t="s">
        <v>3</v>
      </c>
      <c r="G3001" s="2" t="s">
        <v>3</v>
      </c>
      <c r="H3001" s="2">
        <v>7888</v>
      </c>
      <c r="I3001" s="2">
        <v>265</v>
      </c>
    </row>
    <row r="3002" spans="1:9" hidden="1" x14ac:dyDescent="0.3">
      <c r="A3002" t="s">
        <v>45</v>
      </c>
      <c r="B3002" s="1">
        <v>44105</v>
      </c>
      <c r="C3002" s="2">
        <v>11011</v>
      </c>
      <c r="D3002" s="2" t="s">
        <v>3</v>
      </c>
      <c r="E3002" s="2">
        <v>3388</v>
      </c>
      <c r="F3002" s="2" t="s">
        <v>3</v>
      </c>
      <c r="G3002" s="2" t="s">
        <v>3</v>
      </c>
      <c r="H3002" s="2">
        <v>7623</v>
      </c>
      <c r="I3002" s="2">
        <v>66</v>
      </c>
    </row>
    <row r="3003" spans="1:9" hidden="1" x14ac:dyDescent="0.3">
      <c r="A3003" t="s">
        <v>45</v>
      </c>
      <c r="B3003" s="1">
        <v>44075</v>
      </c>
      <c r="C3003" s="2">
        <v>11365</v>
      </c>
      <c r="D3003" s="2" t="s">
        <v>3</v>
      </c>
      <c r="E3003" s="2">
        <v>3808</v>
      </c>
      <c r="F3003" s="2" t="s">
        <v>3</v>
      </c>
      <c r="G3003" s="2" t="s">
        <v>3</v>
      </c>
      <c r="H3003" s="2">
        <v>7557</v>
      </c>
      <c r="I3003" s="2">
        <v>633</v>
      </c>
    </row>
    <row r="3004" spans="1:9" hidden="1" x14ac:dyDescent="0.3">
      <c r="A3004" t="s">
        <v>45</v>
      </c>
      <c r="B3004" s="1">
        <v>44044</v>
      </c>
      <c r="C3004" s="2">
        <v>10543</v>
      </c>
      <c r="D3004" s="2" t="s">
        <v>3</v>
      </c>
      <c r="E3004" s="2">
        <v>3619</v>
      </c>
      <c r="F3004" s="2" t="s">
        <v>3</v>
      </c>
      <c r="G3004" s="2" t="s">
        <v>3</v>
      </c>
      <c r="H3004" s="2">
        <v>6924</v>
      </c>
      <c r="I3004" s="2">
        <v>276</v>
      </c>
    </row>
    <row r="3005" spans="1:9" hidden="1" x14ac:dyDescent="0.3">
      <c r="A3005" t="s">
        <v>45</v>
      </c>
      <c r="B3005" s="1">
        <v>44013</v>
      </c>
      <c r="C3005" s="2">
        <v>10476</v>
      </c>
      <c r="D3005" s="2" t="s">
        <v>3</v>
      </c>
      <c r="E3005" s="2">
        <v>3828</v>
      </c>
      <c r="F3005" s="2" t="s">
        <v>3</v>
      </c>
      <c r="G3005" s="2" t="s">
        <v>3</v>
      </c>
      <c r="H3005" s="2">
        <v>6648</v>
      </c>
      <c r="I3005" s="2">
        <v>1008</v>
      </c>
    </row>
    <row r="3006" spans="1:9" hidden="1" x14ac:dyDescent="0.3">
      <c r="A3006" t="s">
        <v>45</v>
      </c>
      <c r="B3006" s="1">
        <v>43983</v>
      </c>
      <c r="C3006" s="2">
        <v>9532</v>
      </c>
      <c r="D3006" s="2" t="s">
        <v>3</v>
      </c>
      <c r="E3006" s="2">
        <v>3892</v>
      </c>
      <c r="F3006" s="2" t="s">
        <v>3</v>
      </c>
      <c r="G3006" s="2" t="s">
        <v>3</v>
      </c>
      <c r="H3006" s="2">
        <v>5640</v>
      </c>
      <c r="I3006" s="2">
        <v>-819</v>
      </c>
    </row>
    <row r="3007" spans="1:9" hidden="1" x14ac:dyDescent="0.3">
      <c r="A3007" t="s">
        <v>45</v>
      </c>
      <c r="B3007" s="1">
        <v>43952</v>
      </c>
      <c r="C3007" s="2">
        <v>10750</v>
      </c>
      <c r="D3007" s="2" t="s">
        <v>3</v>
      </c>
      <c r="E3007" s="2">
        <v>4291</v>
      </c>
      <c r="F3007" s="2" t="s">
        <v>3</v>
      </c>
      <c r="G3007" s="2" t="s">
        <v>3</v>
      </c>
      <c r="H3007" s="2">
        <v>6459</v>
      </c>
      <c r="I3007" s="2">
        <v>193</v>
      </c>
    </row>
    <row r="3008" spans="1:9" hidden="1" x14ac:dyDescent="0.3">
      <c r="A3008" t="s">
        <v>45</v>
      </c>
      <c r="B3008" s="1">
        <v>43922</v>
      </c>
      <c r="C3008" s="2">
        <v>10991</v>
      </c>
      <c r="D3008" s="2" t="s">
        <v>3</v>
      </c>
      <c r="E3008" s="2">
        <v>4725</v>
      </c>
      <c r="F3008" s="2" t="s">
        <v>3</v>
      </c>
      <c r="G3008" s="2" t="s">
        <v>3</v>
      </c>
      <c r="H3008" s="2">
        <v>6266</v>
      </c>
      <c r="I3008" s="2">
        <v>1385</v>
      </c>
    </row>
    <row r="3009" spans="1:9" hidden="1" x14ac:dyDescent="0.3">
      <c r="A3009" t="s">
        <v>45</v>
      </c>
      <c r="B3009" s="1">
        <v>43891</v>
      </c>
      <c r="C3009" s="2">
        <v>10086</v>
      </c>
      <c r="D3009" s="2" t="s">
        <v>3</v>
      </c>
      <c r="E3009" s="2">
        <v>5205</v>
      </c>
      <c r="F3009" s="2" t="s">
        <v>3</v>
      </c>
      <c r="G3009" s="2" t="s">
        <v>3</v>
      </c>
      <c r="H3009" s="2">
        <v>4881</v>
      </c>
      <c r="I3009" s="2">
        <v>1518</v>
      </c>
    </row>
    <row r="3010" spans="1:9" hidden="1" x14ac:dyDescent="0.3">
      <c r="A3010" t="s">
        <v>45</v>
      </c>
      <c r="B3010" s="1">
        <v>43862</v>
      </c>
      <c r="C3010" s="2">
        <v>9409</v>
      </c>
      <c r="D3010" s="2" t="s">
        <v>3</v>
      </c>
      <c r="E3010" s="2">
        <v>6046</v>
      </c>
      <c r="F3010" s="2" t="s">
        <v>3</v>
      </c>
      <c r="G3010" s="2" t="s">
        <v>3</v>
      </c>
      <c r="H3010" s="2">
        <v>3363</v>
      </c>
      <c r="I3010" s="2">
        <v>-95</v>
      </c>
    </row>
    <row r="3011" spans="1:9" hidden="1" x14ac:dyDescent="0.3">
      <c r="A3011" t="s">
        <v>45</v>
      </c>
      <c r="B3011" s="1">
        <v>43831</v>
      </c>
      <c r="C3011" s="2">
        <v>9384</v>
      </c>
      <c r="D3011" s="2" t="s">
        <v>3</v>
      </c>
      <c r="E3011" s="2">
        <v>5926</v>
      </c>
      <c r="F3011" s="2" t="s">
        <v>3</v>
      </c>
      <c r="G3011" s="2" t="s">
        <v>3</v>
      </c>
      <c r="H3011" s="2">
        <v>3458</v>
      </c>
      <c r="I3011" s="2">
        <v>-218</v>
      </c>
    </row>
    <row r="3012" spans="1:9" x14ac:dyDescent="0.3">
      <c r="A3012" t="s">
        <v>46</v>
      </c>
      <c r="B3012" s="1">
        <v>45931</v>
      </c>
      <c r="C3012" s="2">
        <v>698</v>
      </c>
      <c r="D3012" s="2">
        <v>77</v>
      </c>
      <c r="E3012" s="2">
        <v>396</v>
      </c>
      <c r="F3012" s="2">
        <v>66</v>
      </c>
      <c r="G3012" s="2">
        <v>1</v>
      </c>
      <c r="H3012" s="2">
        <v>302</v>
      </c>
      <c r="I3012" s="2">
        <v>11</v>
      </c>
    </row>
    <row r="3013" spans="1:9" x14ac:dyDescent="0.3">
      <c r="A3013" t="s">
        <v>46</v>
      </c>
      <c r="B3013" s="1">
        <v>45901</v>
      </c>
      <c r="C3013" s="2">
        <v>638</v>
      </c>
      <c r="D3013" s="2">
        <v>-6</v>
      </c>
      <c r="E3013" s="2">
        <v>347</v>
      </c>
      <c r="F3013" s="2">
        <v>20</v>
      </c>
      <c r="G3013" s="2">
        <v>0</v>
      </c>
      <c r="H3013" s="2">
        <v>291</v>
      </c>
      <c r="I3013" s="2">
        <v>-26</v>
      </c>
    </row>
    <row r="3014" spans="1:9" x14ac:dyDescent="0.3">
      <c r="A3014" t="s">
        <v>46</v>
      </c>
      <c r="B3014" s="1">
        <v>45870</v>
      </c>
      <c r="C3014" s="2">
        <v>676</v>
      </c>
      <c r="D3014" s="2">
        <v>43</v>
      </c>
      <c r="E3014" s="2">
        <v>359</v>
      </c>
      <c r="F3014" s="2">
        <v>34</v>
      </c>
      <c r="G3014" s="2">
        <v>4</v>
      </c>
      <c r="H3014" s="2">
        <v>317</v>
      </c>
      <c r="I3014" s="2">
        <v>9</v>
      </c>
    </row>
    <row r="3015" spans="1:9" x14ac:dyDescent="0.3">
      <c r="A3015" t="s">
        <v>46</v>
      </c>
      <c r="B3015" s="1">
        <v>45839</v>
      </c>
      <c r="C3015" s="2">
        <v>645</v>
      </c>
      <c r="D3015" s="2">
        <v>-37</v>
      </c>
      <c r="E3015" s="2">
        <v>337</v>
      </c>
      <c r="F3015" s="2">
        <v>27</v>
      </c>
      <c r="G3015" s="2">
        <v>-1</v>
      </c>
      <c r="H3015" s="2">
        <v>308</v>
      </c>
      <c r="I3015" s="2">
        <v>-64</v>
      </c>
    </row>
    <row r="3016" spans="1:9" x14ac:dyDescent="0.3">
      <c r="A3016" t="s">
        <v>46</v>
      </c>
      <c r="B3016" s="1">
        <v>45809</v>
      </c>
      <c r="C3016" s="2">
        <v>714</v>
      </c>
      <c r="D3016" s="2">
        <v>52</v>
      </c>
      <c r="E3016" s="2">
        <v>342</v>
      </c>
      <c r="F3016" s="2">
        <v>22</v>
      </c>
      <c r="G3016" s="2">
        <v>-1</v>
      </c>
      <c r="H3016" s="2">
        <v>372</v>
      </c>
      <c r="I3016" s="2">
        <v>30</v>
      </c>
    </row>
    <row r="3017" spans="1:9" x14ac:dyDescent="0.3">
      <c r="A3017" t="s">
        <v>46</v>
      </c>
      <c r="B3017" s="1">
        <v>45778</v>
      </c>
      <c r="C3017" s="2">
        <v>693</v>
      </c>
      <c r="D3017" s="2">
        <v>19</v>
      </c>
      <c r="E3017" s="2">
        <v>351</v>
      </c>
      <c r="F3017" s="2">
        <v>21</v>
      </c>
      <c r="G3017" s="2">
        <v>-2</v>
      </c>
      <c r="H3017" s="2">
        <v>342</v>
      </c>
      <c r="I3017" s="2">
        <v>-2</v>
      </c>
    </row>
    <row r="3018" spans="1:9" x14ac:dyDescent="0.3">
      <c r="A3018" t="s">
        <v>46</v>
      </c>
      <c r="B3018" s="1">
        <v>45748</v>
      </c>
      <c r="C3018" s="2">
        <v>687</v>
      </c>
      <c r="D3018" s="2">
        <v>66</v>
      </c>
      <c r="E3018" s="2">
        <v>343</v>
      </c>
      <c r="F3018" s="2">
        <v>55</v>
      </c>
      <c r="G3018" s="2">
        <v>1</v>
      </c>
      <c r="H3018" s="2">
        <v>344</v>
      </c>
      <c r="I3018" s="2">
        <v>11</v>
      </c>
    </row>
    <row r="3019" spans="1:9" x14ac:dyDescent="0.3">
      <c r="A3019" t="s">
        <v>46</v>
      </c>
      <c r="B3019" s="1">
        <v>45717</v>
      </c>
      <c r="C3019" s="2">
        <v>724</v>
      </c>
      <c r="D3019" s="2">
        <v>30</v>
      </c>
      <c r="E3019" s="2">
        <v>391</v>
      </c>
      <c r="F3019" s="2">
        <v>14</v>
      </c>
      <c r="G3019" s="2">
        <v>2</v>
      </c>
      <c r="H3019" s="2">
        <v>333</v>
      </c>
      <c r="I3019" s="2">
        <v>16</v>
      </c>
    </row>
    <row r="3020" spans="1:9" x14ac:dyDescent="0.3">
      <c r="A3020" t="s">
        <v>46</v>
      </c>
      <c r="B3020" s="1">
        <v>45689</v>
      </c>
      <c r="C3020" s="2">
        <v>701</v>
      </c>
      <c r="D3020" s="2">
        <v>39</v>
      </c>
      <c r="E3020" s="2">
        <v>384</v>
      </c>
      <c r="F3020" s="2">
        <v>37</v>
      </c>
      <c r="G3020" s="2">
        <v>3</v>
      </c>
      <c r="H3020" s="2">
        <v>317</v>
      </c>
      <c r="I3020" s="2">
        <v>2</v>
      </c>
    </row>
    <row r="3021" spans="1:9" x14ac:dyDescent="0.3">
      <c r="A3021" t="s">
        <v>46</v>
      </c>
      <c r="B3021" s="1">
        <v>45658</v>
      </c>
      <c r="C3021" s="2">
        <v>698</v>
      </c>
      <c r="D3021" s="2">
        <v>-20</v>
      </c>
      <c r="E3021" s="2">
        <v>383</v>
      </c>
      <c r="F3021" s="2">
        <v>9</v>
      </c>
      <c r="G3021" s="2">
        <v>-2</v>
      </c>
      <c r="H3021" s="2">
        <v>315</v>
      </c>
      <c r="I3021" s="2">
        <v>-29</v>
      </c>
    </row>
    <row r="3022" spans="1:9" x14ac:dyDescent="0.3">
      <c r="A3022" t="s">
        <v>46</v>
      </c>
      <c r="B3022" s="1">
        <v>45627</v>
      </c>
      <c r="C3022" s="2">
        <v>717</v>
      </c>
      <c r="D3022" s="2">
        <v>-19</v>
      </c>
      <c r="E3022" s="2">
        <v>373</v>
      </c>
      <c r="F3022" s="2">
        <v>-1</v>
      </c>
      <c r="G3022" s="2">
        <v>-22</v>
      </c>
      <c r="H3022" s="2">
        <v>344</v>
      </c>
      <c r="I3022" s="2">
        <v>-18</v>
      </c>
    </row>
    <row r="3023" spans="1:9" x14ac:dyDescent="0.3">
      <c r="A3023" t="s">
        <v>46</v>
      </c>
      <c r="B3023" s="1">
        <v>45597</v>
      </c>
      <c r="C3023" s="2">
        <v>761</v>
      </c>
      <c r="D3023" s="2">
        <v>12</v>
      </c>
      <c r="E3023" s="2">
        <v>399</v>
      </c>
      <c r="F3023" s="2">
        <v>23</v>
      </c>
      <c r="G3023" s="2">
        <v>2</v>
      </c>
      <c r="H3023" s="2">
        <v>362</v>
      </c>
      <c r="I3023" s="2">
        <v>-11</v>
      </c>
    </row>
    <row r="3024" spans="1:9" x14ac:dyDescent="0.3">
      <c r="A3024" t="s">
        <v>46</v>
      </c>
      <c r="B3024" s="1">
        <v>45566</v>
      </c>
      <c r="C3024" s="2">
        <v>761</v>
      </c>
      <c r="D3024" s="2">
        <v>-46</v>
      </c>
      <c r="E3024" s="2">
        <v>388</v>
      </c>
      <c r="F3024" s="2">
        <v>7</v>
      </c>
      <c r="G3024" s="2">
        <v>-3</v>
      </c>
      <c r="H3024" s="2">
        <v>373</v>
      </c>
      <c r="I3024" s="2">
        <v>-53</v>
      </c>
    </row>
    <row r="3025" spans="1:9" x14ac:dyDescent="0.3">
      <c r="A3025" t="s">
        <v>46</v>
      </c>
      <c r="B3025" s="1">
        <v>45536</v>
      </c>
      <c r="C3025" s="2">
        <v>801</v>
      </c>
      <c r="D3025" s="2">
        <v>24</v>
      </c>
      <c r="E3025" s="2">
        <v>375</v>
      </c>
      <c r="F3025" s="2">
        <v>13</v>
      </c>
      <c r="G3025" s="2">
        <v>-2</v>
      </c>
      <c r="H3025" s="2">
        <v>426</v>
      </c>
      <c r="I3025" s="2">
        <v>11</v>
      </c>
    </row>
    <row r="3026" spans="1:9" x14ac:dyDescent="0.3">
      <c r="A3026" t="s">
        <v>46</v>
      </c>
      <c r="B3026" s="1">
        <v>45505</v>
      </c>
      <c r="C3026" s="2">
        <v>836</v>
      </c>
      <c r="D3026" s="2">
        <v>33</v>
      </c>
      <c r="E3026" s="2">
        <v>421</v>
      </c>
      <c r="F3026" s="2">
        <v>19</v>
      </c>
      <c r="G3026" s="2">
        <v>812</v>
      </c>
      <c r="H3026" s="2">
        <v>415</v>
      </c>
      <c r="I3026" s="2">
        <v>14</v>
      </c>
    </row>
    <row r="3027" spans="1:9" x14ac:dyDescent="0.3">
      <c r="A3027" t="s">
        <v>46</v>
      </c>
      <c r="B3027" s="1">
        <v>45474</v>
      </c>
      <c r="C3027" s="2">
        <v>805</v>
      </c>
      <c r="D3027" s="2">
        <v>35</v>
      </c>
      <c r="E3027" s="2">
        <v>404</v>
      </c>
      <c r="F3027" s="2">
        <v>28</v>
      </c>
      <c r="G3027" s="2">
        <v>90</v>
      </c>
      <c r="H3027" s="2">
        <v>401</v>
      </c>
      <c r="I3027" s="2">
        <v>7</v>
      </c>
    </row>
    <row r="3028" spans="1:9" x14ac:dyDescent="0.3">
      <c r="A3028" t="s">
        <v>46</v>
      </c>
      <c r="B3028" s="1">
        <v>45444</v>
      </c>
      <c r="C3028" s="2">
        <v>829</v>
      </c>
      <c r="D3028" s="2">
        <v>34</v>
      </c>
      <c r="E3028" s="2">
        <v>435</v>
      </c>
      <c r="F3028" s="2">
        <v>31</v>
      </c>
      <c r="G3028" s="2">
        <v>405</v>
      </c>
      <c r="H3028" s="2">
        <v>394</v>
      </c>
      <c r="I3028" s="2">
        <v>3</v>
      </c>
    </row>
    <row r="3029" spans="1:9" x14ac:dyDescent="0.3">
      <c r="A3029" t="s">
        <v>46</v>
      </c>
      <c r="B3029" s="1">
        <v>45413</v>
      </c>
      <c r="C3029" s="2">
        <v>814</v>
      </c>
      <c r="D3029" s="2">
        <v>16</v>
      </c>
      <c r="E3029" s="2">
        <v>423</v>
      </c>
      <c r="F3029" s="2">
        <v>15</v>
      </c>
      <c r="G3029" s="2">
        <v>-438</v>
      </c>
      <c r="H3029" s="2">
        <v>391</v>
      </c>
      <c r="I3029" s="2">
        <v>1</v>
      </c>
    </row>
    <row r="3030" spans="1:9" x14ac:dyDescent="0.3">
      <c r="A3030" t="s">
        <v>46</v>
      </c>
      <c r="B3030" s="1">
        <v>45383</v>
      </c>
      <c r="C3030" s="2">
        <v>809</v>
      </c>
      <c r="D3030" s="2">
        <v>59</v>
      </c>
      <c r="E3030" s="2">
        <v>419</v>
      </c>
      <c r="F3030" s="2">
        <v>36</v>
      </c>
      <c r="G3030" s="2">
        <v>175</v>
      </c>
      <c r="H3030" s="2">
        <v>390</v>
      </c>
      <c r="I3030" s="2">
        <v>23</v>
      </c>
    </row>
    <row r="3031" spans="1:9" x14ac:dyDescent="0.3">
      <c r="A3031" t="s">
        <v>46</v>
      </c>
      <c r="B3031" s="1">
        <v>45352</v>
      </c>
      <c r="C3031" s="2">
        <v>795</v>
      </c>
      <c r="D3031" s="2">
        <v>55</v>
      </c>
      <c r="E3031" s="2">
        <v>428</v>
      </c>
      <c r="F3031" s="2">
        <v>26</v>
      </c>
      <c r="G3031" s="2">
        <v>435</v>
      </c>
      <c r="H3031" s="2">
        <v>367</v>
      </c>
      <c r="I3031" s="2">
        <v>29</v>
      </c>
    </row>
    <row r="3032" spans="1:9" x14ac:dyDescent="0.3">
      <c r="A3032" t="s">
        <v>46</v>
      </c>
      <c r="B3032" s="1">
        <v>45323</v>
      </c>
      <c r="C3032" s="2">
        <v>734</v>
      </c>
      <c r="D3032" s="2">
        <v>28</v>
      </c>
      <c r="E3032" s="2">
        <v>396</v>
      </c>
      <c r="F3032" s="2">
        <v>35</v>
      </c>
      <c r="G3032" s="2">
        <v>235</v>
      </c>
      <c r="H3032" s="2">
        <v>338</v>
      </c>
      <c r="I3032" s="2">
        <v>-7</v>
      </c>
    </row>
    <row r="3033" spans="1:9" x14ac:dyDescent="0.3">
      <c r="A3033" t="s">
        <v>46</v>
      </c>
      <c r="B3033" s="1">
        <v>45292</v>
      </c>
      <c r="C3033" s="2">
        <v>732</v>
      </c>
      <c r="D3033" s="2">
        <v>-4</v>
      </c>
      <c r="E3033" s="2">
        <v>387</v>
      </c>
      <c r="F3033" s="2">
        <v>25</v>
      </c>
      <c r="G3033" s="2">
        <v>-766</v>
      </c>
      <c r="H3033" s="2">
        <v>345</v>
      </c>
      <c r="I3033" s="2">
        <v>-29</v>
      </c>
    </row>
    <row r="3034" spans="1:9" x14ac:dyDescent="0.3">
      <c r="A3034" t="s">
        <v>46</v>
      </c>
      <c r="B3034" s="1">
        <v>45261</v>
      </c>
      <c r="C3034" s="2">
        <v>785</v>
      </c>
      <c r="D3034" s="2">
        <v>64</v>
      </c>
      <c r="E3034" s="2">
        <v>411</v>
      </c>
      <c r="F3034" s="2">
        <v>22</v>
      </c>
      <c r="G3034" s="2">
        <v>104</v>
      </c>
      <c r="H3034" s="2">
        <v>374</v>
      </c>
      <c r="I3034" s="2">
        <v>42</v>
      </c>
    </row>
    <row r="3035" spans="1:9" x14ac:dyDescent="0.3">
      <c r="A3035" t="s">
        <v>46</v>
      </c>
      <c r="B3035" s="1">
        <v>45231</v>
      </c>
      <c r="C3035" s="2">
        <v>725</v>
      </c>
      <c r="D3035" s="2">
        <v>-8</v>
      </c>
      <c r="E3035" s="2">
        <v>393</v>
      </c>
      <c r="F3035" s="2">
        <v>31</v>
      </c>
      <c r="G3035" s="2">
        <v>195</v>
      </c>
      <c r="H3035" s="2">
        <v>332</v>
      </c>
      <c r="I3035" s="2">
        <v>-39</v>
      </c>
    </row>
    <row r="3036" spans="1:9" x14ac:dyDescent="0.3">
      <c r="A3036" t="s">
        <v>46</v>
      </c>
      <c r="B3036" s="1">
        <v>45200</v>
      </c>
      <c r="C3036" s="2">
        <v>738</v>
      </c>
      <c r="D3036" s="2">
        <v>1</v>
      </c>
      <c r="E3036" s="2">
        <v>367</v>
      </c>
      <c r="F3036" s="2">
        <v>20</v>
      </c>
      <c r="G3036" s="2">
        <v>-12</v>
      </c>
      <c r="H3036" s="2">
        <v>371</v>
      </c>
      <c r="I3036" s="2">
        <v>-19</v>
      </c>
    </row>
    <row r="3037" spans="1:9" x14ac:dyDescent="0.3">
      <c r="A3037" t="s">
        <v>46</v>
      </c>
      <c r="B3037" s="1">
        <v>45170</v>
      </c>
      <c r="C3037" s="2">
        <v>784</v>
      </c>
      <c r="D3037" s="2">
        <v>30</v>
      </c>
      <c r="E3037" s="2">
        <v>394</v>
      </c>
      <c r="F3037" s="2">
        <v>26</v>
      </c>
      <c r="G3037" s="2">
        <v>9</v>
      </c>
      <c r="H3037" s="2">
        <v>390</v>
      </c>
      <c r="I3037" s="2">
        <v>4</v>
      </c>
    </row>
    <row r="3038" spans="1:9" x14ac:dyDescent="0.3">
      <c r="A3038" t="s">
        <v>46</v>
      </c>
      <c r="B3038" s="1">
        <v>45139</v>
      </c>
      <c r="C3038" s="2">
        <v>740</v>
      </c>
      <c r="D3038" s="2">
        <v>15</v>
      </c>
      <c r="E3038" s="2">
        <v>354</v>
      </c>
      <c r="F3038" s="2">
        <v>27</v>
      </c>
      <c r="G3038" s="2">
        <v>-6</v>
      </c>
      <c r="H3038" s="2">
        <v>386</v>
      </c>
      <c r="I3038" s="2">
        <v>-12</v>
      </c>
    </row>
    <row r="3039" spans="1:9" x14ac:dyDescent="0.3">
      <c r="A3039" t="s">
        <v>46</v>
      </c>
      <c r="B3039" s="1">
        <v>45108</v>
      </c>
      <c r="C3039" s="2">
        <v>767</v>
      </c>
      <c r="D3039" s="2">
        <v>9</v>
      </c>
      <c r="E3039" s="2">
        <v>369</v>
      </c>
      <c r="F3039" s="2">
        <v>40</v>
      </c>
      <c r="G3039" s="2">
        <v>-3</v>
      </c>
      <c r="H3039" s="2">
        <v>398</v>
      </c>
      <c r="I3039" s="2">
        <v>-31</v>
      </c>
    </row>
    <row r="3040" spans="1:9" x14ac:dyDescent="0.3">
      <c r="A3040" t="s">
        <v>46</v>
      </c>
      <c r="B3040" s="1">
        <v>45078</v>
      </c>
      <c r="C3040" s="2">
        <v>771</v>
      </c>
      <c r="D3040" s="2">
        <v>105</v>
      </c>
      <c r="E3040" s="2">
        <v>342</v>
      </c>
      <c r="F3040" s="2">
        <v>22</v>
      </c>
      <c r="G3040" s="2">
        <v>0</v>
      </c>
      <c r="H3040" s="2">
        <v>429</v>
      </c>
      <c r="I3040" s="2">
        <v>83</v>
      </c>
    </row>
    <row r="3041" spans="1:9" x14ac:dyDescent="0.3">
      <c r="A3041" t="s">
        <v>46</v>
      </c>
      <c r="B3041" s="1">
        <v>45047</v>
      </c>
      <c r="C3041" s="2">
        <v>672</v>
      </c>
      <c r="D3041" s="2">
        <v>36</v>
      </c>
      <c r="E3041" s="2">
        <v>326</v>
      </c>
      <c r="F3041" s="2">
        <v>14</v>
      </c>
      <c r="G3041" s="2">
        <v>-8</v>
      </c>
      <c r="H3041" s="2">
        <v>346</v>
      </c>
      <c r="I3041" s="2">
        <v>22</v>
      </c>
    </row>
    <row r="3042" spans="1:9" x14ac:dyDescent="0.3">
      <c r="A3042" t="s">
        <v>46</v>
      </c>
      <c r="B3042" s="1">
        <v>45017</v>
      </c>
      <c r="C3042" s="2">
        <v>652</v>
      </c>
      <c r="D3042" s="2">
        <v>15</v>
      </c>
      <c r="E3042" s="2">
        <v>328</v>
      </c>
      <c r="F3042" s="2">
        <v>18</v>
      </c>
      <c r="G3042" s="2">
        <v>-9</v>
      </c>
      <c r="H3042" s="2">
        <v>324</v>
      </c>
      <c r="I3042" s="2">
        <v>-3</v>
      </c>
    </row>
    <row r="3043" spans="1:9" x14ac:dyDescent="0.3">
      <c r="A3043" t="s">
        <v>46</v>
      </c>
      <c r="B3043" s="1">
        <v>44986</v>
      </c>
      <c r="C3043" s="2">
        <v>659</v>
      </c>
      <c r="D3043" s="2">
        <v>58</v>
      </c>
      <c r="E3043" s="2">
        <v>332</v>
      </c>
      <c r="F3043" s="2">
        <v>20</v>
      </c>
      <c r="G3043" s="2">
        <v>6</v>
      </c>
      <c r="H3043" s="2">
        <v>327</v>
      </c>
      <c r="I3043" s="2">
        <v>38</v>
      </c>
    </row>
    <row r="3044" spans="1:9" x14ac:dyDescent="0.3">
      <c r="A3044" t="s">
        <v>46</v>
      </c>
      <c r="B3044" s="1">
        <v>44958</v>
      </c>
      <c r="C3044" s="2">
        <v>592</v>
      </c>
      <c r="D3044" s="2">
        <v>19</v>
      </c>
      <c r="E3044" s="2">
        <v>303</v>
      </c>
      <c r="F3044" s="2">
        <v>34</v>
      </c>
      <c r="G3044" s="2">
        <v>8</v>
      </c>
      <c r="H3044" s="2">
        <v>289</v>
      </c>
      <c r="I3044" s="2">
        <v>-15</v>
      </c>
    </row>
    <row r="3045" spans="1:9" hidden="1" x14ac:dyDescent="0.3">
      <c r="A3045" t="s">
        <v>46</v>
      </c>
      <c r="B3045" s="1">
        <v>44927</v>
      </c>
      <c r="C3045" s="2">
        <v>561</v>
      </c>
      <c r="D3045" s="2" t="s">
        <v>3</v>
      </c>
      <c r="E3045" s="2">
        <v>257</v>
      </c>
      <c r="F3045" s="2" t="s">
        <v>3</v>
      </c>
      <c r="G3045" s="2" t="s">
        <v>3</v>
      </c>
      <c r="H3045" s="2">
        <v>304</v>
      </c>
      <c r="I3045" s="2">
        <v>22</v>
      </c>
    </row>
    <row r="3046" spans="1:9" hidden="1" x14ac:dyDescent="0.3">
      <c r="A3046" t="s">
        <v>46</v>
      </c>
      <c r="B3046" s="1">
        <v>44896</v>
      </c>
      <c r="C3046" s="2">
        <v>531</v>
      </c>
      <c r="D3046" s="2" t="s">
        <v>3</v>
      </c>
      <c r="E3046" s="2">
        <v>249</v>
      </c>
      <c r="F3046" s="2" t="s">
        <v>3</v>
      </c>
      <c r="G3046" s="2" t="s">
        <v>3</v>
      </c>
      <c r="H3046" s="2">
        <v>282</v>
      </c>
      <c r="I3046" s="2">
        <v>70</v>
      </c>
    </row>
    <row r="3047" spans="1:9" hidden="1" x14ac:dyDescent="0.3">
      <c r="A3047" t="s">
        <v>46</v>
      </c>
      <c r="B3047" s="1">
        <v>44866</v>
      </c>
      <c r="C3047" s="2">
        <v>432</v>
      </c>
      <c r="D3047" s="2" t="s">
        <v>3</v>
      </c>
      <c r="E3047" s="2">
        <v>220</v>
      </c>
      <c r="F3047" s="2" t="s">
        <v>3</v>
      </c>
      <c r="G3047" s="2" t="s">
        <v>3</v>
      </c>
      <c r="H3047" s="2">
        <v>212</v>
      </c>
      <c r="I3047" s="2">
        <v>21</v>
      </c>
    </row>
    <row r="3048" spans="1:9" hidden="1" x14ac:dyDescent="0.3">
      <c r="A3048" t="s">
        <v>46</v>
      </c>
      <c r="B3048" s="1">
        <v>44835</v>
      </c>
      <c r="C3048" s="2">
        <v>362</v>
      </c>
      <c r="D3048" s="2" t="s">
        <v>3</v>
      </c>
      <c r="E3048" s="2">
        <v>171</v>
      </c>
      <c r="F3048" s="2" t="s">
        <v>3</v>
      </c>
      <c r="G3048" s="2" t="s">
        <v>3</v>
      </c>
      <c r="H3048" s="2">
        <v>191</v>
      </c>
      <c r="I3048" s="2">
        <v>43</v>
      </c>
    </row>
    <row r="3049" spans="1:9" hidden="1" x14ac:dyDescent="0.3">
      <c r="A3049" t="s">
        <v>46</v>
      </c>
      <c r="B3049" s="1">
        <v>44805</v>
      </c>
      <c r="C3049" s="2">
        <v>301</v>
      </c>
      <c r="D3049" s="2" t="s">
        <v>3</v>
      </c>
      <c r="E3049" s="2">
        <v>153</v>
      </c>
      <c r="F3049" s="2" t="s">
        <v>3</v>
      </c>
      <c r="G3049" s="2" t="s">
        <v>3</v>
      </c>
      <c r="H3049" s="2">
        <v>148</v>
      </c>
      <c r="I3049" s="2">
        <v>25</v>
      </c>
    </row>
    <row r="3050" spans="1:9" hidden="1" x14ac:dyDescent="0.3">
      <c r="A3050" t="s">
        <v>46</v>
      </c>
      <c r="B3050" s="1">
        <v>44774</v>
      </c>
      <c r="C3050" s="2">
        <v>258</v>
      </c>
      <c r="D3050" s="2" t="s">
        <v>3</v>
      </c>
      <c r="E3050" s="2">
        <v>135</v>
      </c>
      <c r="F3050" s="2" t="s">
        <v>3</v>
      </c>
      <c r="G3050" s="2" t="s">
        <v>3</v>
      </c>
      <c r="H3050" s="2">
        <v>123</v>
      </c>
      <c r="I3050" s="2">
        <v>37</v>
      </c>
    </row>
    <row r="3051" spans="1:9" hidden="1" x14ac:dyDescent="0.3">
      <c r="A3051" t="s">
        <v>46</v>
      </c>
      <c r="B3051" s="1">
        <v>44743</v>
      </c>
      <c r="C3051" s="2">
        <v>170</v>
      </c>
      <c r="D3051" s="2" t="s">
        <v>3</v>
      </c>
      <c r="E3051" s="2">
        <v>84</v>
      </c>
      <c r="F3051" s="2" t="s">
        <v>3</v>
      </c>
      <c r="G3051" s="2" t="s">
        <v>3</v>
      </c>
      <c r="H3051" s="2">
        <v>86</v>
      </c>
      <c r="I3051" s="2">
        <v>-6</v>
      </c>
    </row>
    <row r="3052" spans="1:9" hidden="1" x14ac:dyDescent="0.3">
      <c r="A3052" t="s">
        <v>46</v>
      </c>
      <c r="B3052" s="1">
        <v>44713</v>
      </c>
      <c r="C3052" s="2">
        <v>165</v>
      </c>
      <c r="D3052" s="2" t="s">
        <v>3</v>
      </c>
      <c r="E3052" s="2">
        <v>73</v>
      </c>
      <c r="F3052" s="2" t="s">
        <v>3</v>
      </c>
      <c r="G3052" s="2" t="s">
        <v>3</v>
      </c>
      <c r="H3052" s="2">
        <v>92</v>
      </c>
      <c r="I3052" s="2">
        <v>16</v>
      </c>
    </row>
    <row r="3053" spans="1:9" hidden="1" x14ac:dyDescent="0.3">
      <c r="A3053" t="s">
        <v>46</v>
      </c>
      <c r="B3053" s="1">
        <v>44682</v>
      </c>
      <c r="C3053" s="2">
        <v>132</v>
      </c>
      <c r="D3053" s="2" t="s">
        <v>3</v>
      </c>
      <c r="E3053" s="2">
        <v>56</v>
      </c>
      <c r="F3053" s="2" t="s">
        <v>3</v>
      </c>
      <c r="G3053" s="2" t="s">
        <v>3</v>
      </c>
      <c r="H3053" s="2">
        <v>76</v>
      </c>
      <c r="I3053" s="2">
        <v>4</v>
      </c>
    </row>
    <row r="3054" spans="1:9" hidden="1" x14ac:dyDescent="0.3">
      <c r="A3054" t="s">
        <v>46</v>
      </c>
      <c r="B3054" s="1">
        <v>44652</v>
      </c>
      <c r="C3054" s="2">
        <v>119</v>
      </c>
      <c r="D3054" s="2" t="s">
        <v>3</v>
      </c>
      <c r="E3054" s="2">
        <v>47</v>
      </c>
      <c r="F3054" s="2" t="s">
        <v>3</v>
      </c>
      <c r="G3054" s="2" t="s">
        <v>3</v>
      </c>
      <c r="H3054" s="2">
        <v>72</v>
      </c>
      <c r="I3054" s="2">
        <v>5</v>
      </c>
    </row>
    <row r="3055" spans="1:9" hidden="1" x14ac:dyDescent="0.3">
      <c r="A3055" t="s">
        <v>46</v>
      </c>
      <c r="B3055" s="1">
        <v>44621</v>
      </c>
      <c r="C3055" s="2">
        <v>111</v>
      </c>
      <c r="D3055" s="2" t="s">
        <v>3</v>
      </c>
      <c r="E3055" s="2">
        <v>44</v>
      </c>
      <c r="F3055" s="2" t="s">
        <v>3</v>
      </c>
      <c r="G3055" s="2" t="s">
        <v>3</v>
      </c>
      <c r="H3055" s="2">
        <v>67</v>
      </c>
      <c r="I3055" s="2">
        <v>25</v>
      </c>
    </row>
    <row r="3056" spans="1:9" hidden="1" x14ac:dyDescent="0.3">
      <c r="A3056" t="s">
        <v>46</v>
      </c>
      <c r="B3056" s="1">
        <v>44593</v>
      </c>
      <c r="C3056" s="2">
        <v>81</v>
      </c>
      <c r="D3056" s="2" t="s">
        <v>3</v>
      </c>
      <c r="E3056" s="2">
        <v>39</v>
      </c>
      <c r="F3056" s="2" t="s">
        <v>3</v>
      </c>
      <c r="G3056" s="2" t="s">
        <v>3</v>
      </c>
      <c r="H3056" s="2">
        <v>42</v>
      </c>
      <c r="I3056" s="2">
        <v>13</v>
      </c>
    </row>
    <row r="3057" spans="1:9" hidden="1" x14ac:dyDescent="0.3">
      <c r="A3057" t="s">
        <v>46</v>
      </c>
      <c r="B3057" s="1">
        <v>44562</v>
      </c>
      <c r="C3057" s="2">
        <v>69</v>
      </c>
      <c r="D3057" s="2" t="s">
        <v>3</v>
      </c>
      <c r="E3057" s="2">
        <v>40</v>
      </c>
      <c r="F3057" s="2" t="s">
        <v>3</v>
      </c>
      <c r="G3057" s="2" t="s">
        <v>3</v>
      </c>
      <c r="H3057" s="2">
        <v>29</v>
      </c>
      <c r="I3057" s="2">
        <v>-8</v>
      </c>
    </row>
    <row r="3058" spans="1:9" hidden="1" x14ac:dyDescent="0.3">
      <c r="A3058" t="s">
        <v>46</v>
      </c>
      <c r="B3058" s="1">
        <v>44531</v>
      </c>
      <c r="C3058" s="2">
        <v>78</v>
      </c>
      <c r="D3058" s="2" t="s">
        <v>3</v>
      </c>
      <c r="E3058" s="2">
        <v>41</v>
      </c>
      <c r="F3058" s="2" t="s">
        <v>3</v>
      </c>
      <c r="G3058" s="2" t="s">
        <v>3</v>
      </c>
      <c r="H3058" s="2">
        <v>37</v>
      </c>
      <c r="I3058" s="2">
        <v>-1</v>
      </c>
    </row>
    <row r="3059" spans="1:9" hidden="1" x14ac:dyDescent="0.3">
      <c r="A3059" t="s">
        <v>46</v>
      </c>
      <c r="B3059" s="1">
        <v>44501</v>
      </c>
      <c r="C3059" s="2">
        <v>79</v>
      </c>
      <c r="D3059" s="2" t="s">
        <v>3</v>
      </c>
      <c r="E3059" s="2">
        <v>41</v>
      </c>
      <c r="F3059" s="2" t="s">
        <v>3</v>
      </c>
      <c r="G3059" s="2" t="s">
        <v>3</v>
      </c>
      <c r="H3059" s="2">
        <v>38</v>
      </c>
      <c r="I3059" s="2">
        <v>-12</v>
      </c>
    </row>
    <row r="3060" spans="1:9" hidden="1" x14ac:dyDescent="0.3">
      <c r="A3060" t="s">
        <v>46</v>
      </c>
      <c r="B3060" s="1">
        <v>44470</v>
      </c>
      <c r="C3060" s="2">
        <v>98</v>
      </c>
      <c r="D3060" s="2" t="s">
        <v>3</v>
      </c>
      <c r="E3060" s="2">
        <v>48</v>
      </c>
      <c r="F3060" s="2" t="s">
        <v>3</v>
      </c>
      <c r="G3060" s="2" t="s">
        <v>3</v>
      </c>
      <c r="H3060" s="2">
        <v>50</v>
      </c>
      <c r="I3060" s="2">
        <v>10</v>
      </c>
    </row>
    <row r="3061" spans="1:9" hidden="1" x14ac:dyDescent="0.3">
      <c r="A3061" t="s">
        <v>46</v>
      </c>
      <c r="B3061" s="1">
        <v>44440</v>
      </c>
      <c r="C3061" s="2">
        <v>86</v>
      </c>
      <c r="D3061" s="2" t="s">
        <v>3</v>
      </c>
      <c r="E3061" s="2">
        <v>46</v>
      </c>
      <c r="F3061" s="2" t="s">
        <v>3</v>
      </c>
      <c r="G3061" s="2" t="s">
        <v>3</v>
      </c>
      <c r="H3061" s="2">
        <v>40</v>
      </c>
      <c r="I3061" s="2">
        <v>-35</v>
      </c>
    </row>
    <row r="3062" spans="1:9" hidden="1" x14ac:dyDescent="0.3">
      <c r="A3062" t="s">
        <v>46</v>
      </c>
      <c r="B3062" s="1">
        <v>44409</v>
      </c>
      <c r="C3062" s="2">
        <v>126</v>
      </c>
      <c r="D3062" s="2" t="s">
        <v>3</v>
      </c>
      <c r="E3062" s="2">
        <v>51</v>
      </c>
      <c r="F3062" s="2" t="s">
        <v>3</v>
      </c>
      <c r="G3062" s="2" t="s">
        <v>3</v>
      </c>
      <c r="H3062" s="2">
        <v>75</v>
      </c>
      <c r="I3062" s="2">
        <v>35</v>
      </c>
    </row>
    <row r="3063" spans="1:9" hidden="1" x14ac:dyDescent="0.3">
      <c r="A3063" t="s">
        <v>46</v>
      </c>
      <c r="B3063" s="1">
        <v>44378</v>
      </c>
      <c r="C3063" s="2">
        <v>92</v>
      </c>
      <c r="D3063" s="2" t="s">
        <v>3</v>
      </c>
      <c r="E3063" s="2">
        <v>52</v>
      </c>
      <c r="F3063" s="2" t="s">
        <v>3</v>
      </c>
      <c r="G3063" s="2" t="s">
        <v>3</v>
      </c>
      <c r="H3063" s="2">
        <v>40</v>
      </c>
      <c r="I3063" s="2">
        <v>-1</v>
      </c>
    </row>
    <row r="3064" spans="1:9" hidden="1" x14ac:dyDescent="0.3">
      <c r="A3064" t="s">
        <v>46</v>
      </c>
      <c r="B3064" s="1">
        <v>44348</v>
      </c>
      <c r="C3064" s="2">
        <v>93</v>
      </c>
      <c r="D3064" s="2" t="s">
        <v>3</v>
      </c>
      <c r="E3064" s="2">
        <v>52</v>
      </c>
      <c r="F3064" s="2" t="s">
        <v>3</v>
      </c>
      <c r="G3064" s="2" t="s">
        <v>3</v>
      </c>
      <c r="H3064" s="2">
        <v>41</v>
      </c>
      <c r="I3064" s="2">
        <v>3</v>
      </c>
    </row>
    <row r="3065" spans="1:9" hidden="1" x14ac:dyDescent="0.3">
      <c r="A3065" t="s">
        <v>46</v>
      </c>
      <c r="B3065" s="1">
        <v>44317</v>
      </c>
      <c r="C3065" s="2">
        <v>95</v>
      </c>
      <c r="D3065" s="2" t="s">
        <v>3</v>
      </c>
      <c r="E3065" s="2">
        <v>57</v>
      </c>
      <c r="F3065" s="2" t="s">
        <v>3</v>
      </c>
      <c r="G3065" s="2" t="s">
        <v>3</v>
      </c>
      <c r="H3065" s="2">
        <v>38</v>
      </c>
      <c r="I3065" s="2">
        <v>-13</v>
      </c>
    </row>
    <row r="3066" spans="1:9" hidden="1" x14ac:dyDescent="0.3">
      <c r="A3066" t="s">
        <v>46</v>
      </c>
      <c r="B3066" s="1">
        <v>44287</v>
      </c>
      <c r="C3066" s="2">
        <v>107</v>
      </c>
      <c r="D3066" s="2" t="s">
        <v>3</v>
      </c>
      <c r="E3066" s="2">
        <v>56</v>
      </c>
      <c r="F3066" s="2" t="s">
        <v>3</v>
      </c>
      <c r="G3066" s="2" t="s">
        <v>3</v>
      </c>
      <c r="H3066" s="2">
        <v>51</v>
      </c>
      <c r="I3066" s="2">
        <v>-6</v>
      </c>
    </row>
    <row r="3067" spans="1:9" hidden="1" x14ac:dyDescent="0.3">
      <c r="A3067" t="s">
        <v>46</v>
      </c>
      <c r="B3067" s="1">
        <v>44256</v>
      </c>
      <c r="C3067" s="2">
        <v>115</v>
      </c>
      <c r="D3067" s="2" t="s">
        <v>3</v>
      </c>
      <c r="E3067" s="2">
        <v>58</v>
      </c>
      <c r="F3067" s="2" t="s">
        <v>3</v>
      </c>
      <c r="G3067" s="2" t="s">
        <v>3</v>
      </c>
      <c r="H3067" s="2">
        <v>57</v>
      </c>
      <c r="I3067" s="2">
        <v>10</v>
      </c>
    </row>
    <row r="3068" spans="1:9" hidden="1" x14ac:dyDescent="0.3">
      <c r="A3068" t="s">
        <v>46</v>
      </c>
      <c r="B3068" s="1">
        <v>44228</v>
      </c>
      <c r="C3068" s="2">
        <v>105</v>
      </c>
      <c r="D3068" s="2" t="s">
        <v>3</v>
      </c>
      <c r="E3068" s="2">
        <v>58</v>
      </c>
      <c r="F3068" s="2" t="s">
        <v>3</v>
      </c>
      <c r="G3068" s="2" t="s">
        <v>3</v>
      </c>
      <c r="H3068" s="2">
        <v>47</v>
      </c>
      <c r="I3068" s="2">
        <v>-17</v>
      </c>
    </row>
    <row r="3069" spans="1:9" hidden="1" x14ac:dyDescent="0.3">
      <c r="A3069" t="s">
        <v>46</v>
      </c>
      <c r="B3069" s="1">
        <v>44197</v>
      </c>
      <c r="C3069" s="2">
        <v>129</v>
      </c>
      <c r="D3069" s="2" t="s">
        <v>3</v>
      </c>
      <c r="E3069" s="2">
        <v>65</v>
      </c>
      <c r="F3069" s="2" t="s">
        <v>3</v>
      </c>
      <c r="G3069" s="2" t="s">
        <v>3</v>
      </c>
      <c r="H3069" s="2">
        <v>64</v>
      </c>
      <c r="I3069" s="2">
        <v>2</v>
      </c>
    </row>
    <row r="3070" spans="1:9" hidden="1" x14ac:dyDescent="0.3">
      <c r="A3070" t="s">
        <v>46</v>
      </c>
      <c r="B3070" s="1">
        <v>44166</v>
      </c>
      <c r="C3070" s="2">
        <v>129</v>
      </c>
      <c r="D3070" s="2" t="s">
        <v>3</v>
      </c>
      <c r="E3070" s="2">
        <v>67</v>
      </c>
      <c r="F3070" s="2" t="s">
        <v>3</v>
      </c>
      <c r="G3070" s="2" t="s">
        <v>3</v>
      </c>
      <c r="H3070" s="2">
        <v>62</v>
      </c>
      <c r="I3070" s="2">
        <v>1</v>
      </c>
    </row>
    <row r="3071" spans="1:9" hidden="1" x14ac:dyDescent="0.3">
      <c r="A3071" t="s">
        <v>46</v>
      </c>
      <c r="B3071" s="1">
        <v>44136</v>
      </c>
      <c r="C3071" s="2">
        <v>134</v>
      </c>
      <c r="D3071" s="2" t="s">
        <v>3</v>
      </c>
      <c r="E3071" s="2">
        <v>73</v>
      </c>
      <c r="F3071" s="2" t="s">
        <v>3</v>
      </c>
      <c r="G3071" s="2" t="s">
        <v>3</v>
      </c>
      <c r="H3071" s="2">
        <v>61</v>
      </c>
      <c r="I3071" s="2">
        <v>-8</v>
      </c>
    </row>
    <row r="3072" spans="1:9" hidden="1" x14ac:dyDescent="0.3">
      <c r="A3072" t="s">
        <v>46</v>
      </c>
      <c r="B3072" s="1">
        <v>44105</v>
      </c>
      <c r="C3072" s="2">
        <v>153</v>
      </c>
      <c r="D3072" s="2" t="s">
        <v>3</v>
      </c>
      <c r="E3072" s="2">
        <v>84</v>
      </c>
      <c r="F3072" s="2" t="s">
        <v>3</v>
      </c>
      <c r="G3072" s="2" t="s">
        <v>3</v>
      </c>
      <c r="H3072" s="2">
        <v>69</v>
      </c>
      <c r="I3072" s="2">
        <v>-10</v>
      </c>
    </row>
    <row r="3073" spans="1:9" hidden="1" x14ac:dyDescent="0.3">
      <c r="A3073" t="s">
        <v>46</v>
      </c>
      <c r="B3073" s="1">
        <v>44075</v>
      </c>
      <c r="C3073" s="2">
        <v>159</v>
      </c>
      <c r="D3073" s="2" t="s">
        <v>3</v>
      </c>
      <c r="E3073" s="2">
        <v>80</v>
      </c>
      <c r="F3073" s="2" t="s">
        <v>3</v>
      </c>
      <c r="G3073" s="2" t="s">
        <v>3</v>
      </c>
      <c r="H3073" s="2">
        <v>79</v>
      </c>
      <c r="I3073" s="2">
        <v>17</v>
      </c>
    </row>
    <row r="3074" spans="1:9" hidden="1" x14ac:dyDescent="0.3">
      <c r="A3074" t="s">
        <v>46</v>
      </c>
      <c r="B3074" s="1">
        <v>44044</v>
      </c>
      <c r="C3074" s="2">
        <v>143</v>
      </c>
      <c r="D3074" s="2" t="s">
        <v>3</v>
      </c>
      <c r="E3074" s="2">
        <v>81</v>
      </c>
      <c r="F3074" s="2" t="s">
        <v>3</v>
      </c>
      <c r="G3074" s="2" t="s">
        <v>3</v>
      </c>
      <c r="H3074" s="2">
        <v>62</v>
      </c>
      <c r="I3074" s="2">
        <v>-6</v>
      </c>
    </row>
    <row r="3075" spans="1:9" hidden="1" x14ac:dyDescent="0.3">
      <c r="A3075" t="s">
        <v>46</v>
      </c>
      <c r="B3075" s="1">
        <v>44013</v>
      </c>
      <c r="C3075" s="2">
        <v>151</v>
      </c>
      <c r="D3075" s="2" t="s">
        <v>3</v>
      </c>
      <c r="E3075" s="2">
        <v>83</v>
      </c>
      <c r="F3075" s="2" t="s">
        <v>3</v>
      </c>
      <c r="G3075" s="2" t="s">
        <v>3</v>
      </c>
      <c r="H3075" s="2">
        <v>68</v>
      </c>
      <c r="I3075" s="2">
        <v>-19</v>
      </c>
    </row>
    <row r="3076" spans="1:9" hidden="1" x14ac:dyDescent="0.3">
      <c r="A3076" t="s">
        <v>46</v>
      </c>
      <c r="B3076" s="1">
        <v>43983</v>
      </c>
      <c r="C3076" s="2">
        <v>166</v>
      </c>
      <c r="D3076" s="2" t="s">
        <v>3</v>
      </c>
      <c r="E3076" s="2">
        <v>79</v>
      </c>
      <c r="F3076" s="2" t="s">
        <v>3</v>
      </c>
      <c r="G3076" s="2" t="s">
        <v>3</v>
      </c>
      <c r="H3076" s="2">
        <v>87</v>
      </c>
      <c r="I3076" s="2">
        <v>-43</v>
      </c>
    </row>
    <row r="3077" spans="1:9" hidden="1" x14ac:dyDescent="0.3">
      <c r="A3077" t="s">
        <v>46</v>
      </c>
      <c r="B3077" s="1">
        <v>43952</v>
      </c>
      <c r="C3077" s="2">
        <v>217</v>
      </c>
      <c r="D3077" s="2" t="s">
        <v>3</v>
      </c>
      <c r="E3077" s="2">
        <v>87</v>
      </c>
      <c r="F3077" s="2" t="s">
        <v>3</v>
      </c>
      <c r="G3077" s="2" t="s">
        <v>3</v>
      </c>
      <c r="H3077" s="2">
        <v>130</v>
      </c>
      <c r="I3077" s="2">
        <v>5</v>
      </c>
    </row>
    <row r="3078" spans="1:9" hidden="1" x14ac:dyDescent="0.3">
      <c r="A3078" t="s">
        <v>46</v>
      </c>
      <c r="B3078" s="1">
        <v>43922</v>
      </c>
      <c r="C3078" s="2">
        <v>221</v>
      </c>
      <c r="D3078" s="2" t="s">
        <v>3</v>
      </c>
      <c r="E3078" s="2">
        <v>96</v>
      </c>
      <c r="F3078" s="2" t="s">
        <v>3</v>
      </c>
      <c r="G3078" s="2" t="s">
        <v>3</v>
      </c>
      <c r="H3078" s="2">
        <v>125</v>
      </c>
      <c r="I3078" s="2">
        <v>-23</v>
      </c>
    </row>
    <row r="3079" spans="1:9" hidden="1" x14ac:dyDescent="0.3">
      <c r="A3079" t="s">
        <v>46</v>
      </c>
      <c r="B3079" s="1">
        <v>43891</v>
      </c>
      <c r="C3079" s="2">
        <v>251</v>
      </c>
      <c r="D3079" s="2" t="s">
        <v>3</v>
      </c>
      <c r="E3079" s="2">
        <v>103</v>
      </c>
      <c r="F3079" s="2" t="s">
        <v>3</v>
      </c>
      <c r="G3079" s="2" t="s">
        <v>3</v>
      </c>
      <c r="H3079" s="2">
        <v>148</v>
      </c>
      <c r="I3079" s="2">
        <v>-34</v>
      </c>
    </row>
    <row r="3080" spans="1:9" hidden="1" x14ac:dyDescent="0.3">
      <c r="A3080" t="s">
        <v>46</v>
      </c>
      <c r="B3080" s="1">
        <v>43862</v>
      </c>
      <c r="C3080" s="2">
        <v>287</v>
      </c>
      <c r="D3080" s="2" t="s">
        <v>3</v>
      </c>
      <c r="E3080" s="2">
        <v>105</v>
      </c>
      <c r="F3080" s="2" t="s">
        <v>3</v>
      </c>
      <c r="G3080" s="2" t="s">
        <v>3</v>
      </c>
      <c r="H3080" s="2">
        <v>182</v>
      </c>
      <c r="I3080" s="2">
        <v>7</v>
      </c>
    </row>
    <row r="3081" spans="1:9" hidden="1" x14ac:dyDescent="0.3">
      <c r="A3081" t="s">
        <v>46</v>
      </c>
      <c r="B3081" s="1">
        <v>43831</v>
      </c>
      <c r="C3081" s="2">
        <v>294</v>
      </c>
      <c r="D3081" s="2" t="s">
        <v>3</v>
      </c>
      <c r="E3081" s="2">
        <v>119</v>
      </c>
      <c r="F3081" s="2" t="s">
        <v>3</v>
      </c>
      <c r="G3081" s="2" t="s">
        <v>3</v>
      </c>
      <c r="H3081" s="2">
        <v>175</v>
      </c>
      <c r="I3081" s="2">
        <v>11</v>
      </c>
    </row>
    <row r="3082" spans="1:9" x14ac:dyDescent="0.3">
      <c r="A3082" t="s">
        <v>47</v>
      </c>
      <c r="B3082" s="1">
        <v>45931</v>
      </c>
      <c r="C3082" s="2">
        <v>546367</v>
      </c>
      <c r="D3082" s="2">
        <v>-487</v>
      </c>
      <c r="E3082" s="2">
        <v>411146</v>
      </c>
      <c r="F3082" s="2">
        <v>-2482</v>
      </c>
      <c r="G3082" s="2">
        <v>2082</v>
      </c>
      <c r="H3082" s="2">
        <v>135221</v>
      </c>
      <c r="I3082" s="2">
        <v>1995</v>
      </c>
    </row>
    <row r="3083" spans="1:9" x14ac:dyDescent="0.3">
      <c r="A3083" t="s">
        <v>47</v>
      </c>
      <c r="B3083" s="1">
        <v>45901</v>
      </c>
      <c r="C3083" s="2">
        <v>546296</v>
      </c>
      <c r="D3083" s="2">
        <v>-9444</v>
      </c>
      <c r="E3083" s="2">
        <v>413070</v>
      </c>
      <c r="F3083" s="2">
        <v>-13175</v>
      </c>
      <c r="G3083" s="2">
        <v>708</v>
      </c>
      <c r="H3083" s="2">
        <v>133226</v>
      </c>
      <c r="I3083" s="2">
        <v>3731</v>
      </c>
    </row>
    <row r="3084" spans="1:9" x14ac:dyDescent="0.3">
      <c r="A3084" t="s">
        <v>47</v>
      </c>
      <c r="B3084" s="1">
        <v>45870</v>
      </c>
      <c r="C3084" s="2">
        <v>556852</v>
      </c>
      <c r="D3084" s="2">
        <v>-18586</v>
      </c>
      <c r="E3084" s="2">
        <v>427357</v>
      </c>
      <c r="F3084" s="2">
        <v>-15373</v>
      </c>
      <c r="G3084" s="2">
        <v>2272</v>
      </c>
      <c r="H3084" s="2">
        <v>129495</v>
      </c>
      <c r="I3084" s="2">
        <v>-3213</v>
      </c>
    </row>
    <row r="3085" spans="1:9" x14ac:dyDescent="0.3">
      <c r="A3085" t="s">
        <v>47</v>
      </c>
      <c r="B3085" s="1">
        <v>45839</v>
      </c>
      <c r="C3085" s="2">
        <v>573135</v>
      </c>
      <c r="D3085" s="2">
        <v>-19448</v>
      </c>
      <c r="E3085" s="2">
        <v>440427</v>
      </c>
      <c r="F3085" s="2">
        <v>-9986</v>
      </c>
      <c r="G3085" s="2">
        <v>-651</v>
      </c>
      <c r="H3085" s="2">
        <v>132708</v>
      </c>
      <c r="I3085" s="2">
        <v>-9462</v>
      </c>
    </row>
    <row r="3086" spans="1:9" x14ac:dyDescent="0.3">
      <c r="A3086" t="s">
        <v>47</v>
      </c>
      <c r="B3086" s="1">
        <v>45809</v>
      </c>
      <c r="C3086" s="2">
        <v>595132</v>
      </c>
      <c r="D3086" s="2">
        <v>909</v>
      </c>
      <c r="E3086" s="2">
        <v>452962</v>
      </c>
      <c r="F3086" s="2">
        <v>-1299</v>
      </c>
      <c r="G3086" s="2">
        <v>2949</v>
      </c>
      <c r="H3086" s="2">
        <v>142170</v>
      </c>
      <c r="I3086" s="2">
        <v>2208</v>
      </c>
    </row>
    <row r="3087" spans="1:9" x14ac:dyDescent="0.3">
      <c r="A3087" t="s">
        <v>47</v>
      </c>
      <c r="B3087" s="1">
        <v>45778</v>
      </c>
      <c r="C3087" s="2">
        <v>591744</v>
      </c>
      <c r="D3087" s="2">
        <v>9624</v>
      </c>
      <c r="E3087" s="2">
        <v>451782</v>
      </c>
      <c r="F3087" s="2">
        <v>8698</v>
      </c>
      <c r="G3087" s="2">
        <v>-2782</v>
      </c>
      <c r="H3087" s="2">
        <v>139962</v>
      </c>
      <c r="I3087" s="2">
        <v>926</v>
      </c>
    </row>
    <row r="3088" spans="1:9" x14ac:dyDescent="0.3">
      <c r="A3088" t="s">
        <v>47</v>
      </c>
      <c r="B3088" s="1">
        <v>45748</v>
      </c>
      <c r="C3088" s="2">
        <v>585378</v>
      </c>
      <c r="D3088" s="2">
        <v>2630</v>
      </c>
      <c r="E3088" s="2">
        <v>446342</v>
      </c>
      <c r="F3088" s="2">
        <v>587</v>
      </c>
      <c r="G3088" s="2">
        <v>2144</v>
      </c>
      <c r="H3088" s="2">
        <v>139036</v>
      </c>
      <c r="I3088" s="2">
        <v>2043</v>
      </c>
    </row>
    <row r="3089" spans="1:9" x14ac:dyDescent="0.3">
      <c r="A3089" t="s">
        <v>47</v>
      </c>
      <c r="B3089" s="1">
        <v>45717</v>
      </c>
      <c r="C3089" s="2">
        <v>581473</v>
      </c>
      <c r="D3089" s="2">
        <v>76605</v>
      </c>
      <c r="E3089" s="2">
        <v>444480</v>
      </c>
      <c r="F3089" s="2">
        <v>-11038</v>
      </c>
      <c r="G3089" s="2">
        <v>1443</v>
      </c>
      <c r="H3089" s="2">
        <v>136993</v>
      </c>
      <c r="I3089" s="2">
        <v>87643</v>
      </c>
    </row>
    <row r="3090" spans="1:9" x14ac:dyDescent="0.3">
      <c r="A3090" t="s">
        <v>47</v>
      </c>
      <c r="B3090" s="1">
        <v>45689</v>
      </c>
      <c r="C3090" s="2">
        <v>503683</v>
      </c>
      <c r="D3090" s="2">
        <v>9354</v>
      </c>
      <c r="E3090" s="2">
        <v>454333</v>
      </c>
      <c r="F3090" s="2">
        <v>5778</v>
      </c>
      <c r="G3090" s="2">
        <v>5662</v>
      </c>
      <c r="H3090" s="2">
        <v>49350</v>
      </c>
      <c r="I3090" s="2">
        <v>3576</v>
      </c>
    </row>
    <row r="3091" spans="1:9" x14ac:dyDescent="0.3">
      <c r="A3091" t="s">
        <v>47</v>
      </c>
      <c r="B3091" s="1">
        <v>45658</v>
      </c>
      <c r="C3091" s="2">
        <v>490072</v>
      </c>
      <c r="D3091" s="2">
        <v>-8081</v>
      </c>
      <c r="E3091" s="2">
        <v>444298</v>
      </c>
      <c r="F3091" s="2">
        <v>-4585</v>
      </c>
      <c r="G3091" s="2">
        <v>388</v>
      </c>
      <c r="H3091" s="2">
        <v>45774</v>
      </c>
      <c r="I3091" s="2">
        <v>-3496</v>
      </c>
    </row>
    <row r="3092" spans="1:9" x14ac:dyDescent="0.3">
      <c r="A3092" t="s">
        <v>47</v>
      </c>
      <c r="B3092" s="1">
        <v>45627</v>
      </c>
      <c r="C3092" s="2">
        <v>496477</v>
      </c>
      <c r="D3092" s="2">
        <v>-18507</v>
      </c>
      <c r="E3092" s="2">
        <v>447207</v>
      </c>
      <c r="F3092" s="2">
        <v>-21922</v>
      </c>
      <c r="G3092" s="2">
        <v>-329</v>
      </c>
      <c r="H3092" s="2">
        <v>49270</v>
      </c>
      <c r="I3092" s="2">
        <v>3415</v>
      </c>
    </row>
    <row r="3093" spans="1:9" x14ac:dyDescent="0.3">
      <c r="A3093" t="s">
        <v>47</v>
      </c>
      <c r="B3093" s="1">
        <v>45597</v>
      </c>
      <c r="C3093" s="2">
        <v>519433</v>
      </c>
      <c r="D3093" s="2">
        <v>3020</v>
      </c>
      <c r="E3093" s="2">
        <v>473578</v>
      </c>
      <c r="F3093" s="2">
        <v>2777</v>
      </c>
      <c r="G3093" s="2">
        <v>3389</v>
      </c>
      <c r="H3093" s="2">
        <v>45855</v>
      </c>
      <c r="I3093" s="2">
        <v>243</v>
      </c>
    </row>
    <row r="3094" spans="1:9" x14ac:dyDescent="0.3">
      <c r="A3094" t="s">
        <v>47</v>
      </c>
      <c r="B3094" s="1">
        <v>45566</v>
      </c>
      <c r="C3094" s="2">
        <v>515298</v>
      </c>
      <c r="D3094" s="2">
        <v>-114</v>
      </c>
      <c r="E3094" s="2">
        <v>469686</v>
      </c>
      <c r="F3094" s="2">
        <v>6652</v>
      </c>
      <c r="G3094" s="2">
        <v>-4837</v>
      </c>
      <c r="H3094" s="2">
        <v>45612</v>
      </c>
      <c r="I3094" s="2">
        <v>-6766</v>
      </c>
    </row>
    <row r="3095" spans="1:9" x14ac:dyDescent="0.3">
      <c r="A3095" t="s">
        <v>47</v>
      </c>
      <c r="B3095" s="1">
        <v>45536</v>
      </c>
      <c r="C3095" s="2">
        <v>521157</v>
      </c>
      <c r="D3095" s="2">
        <v>1946</v>
      </c>
      <c r="E3095" s="2">
        <v>468779</v>
      </c>
      <c r="F3095" s="2">
        <v>2832</v>
      </c>
      <c r="G3095" s="2">
        <v>2790</v>
      </c>
      <c r="H3095" s="2">
        <v>52378</v>
      </c>
      <c r="I3095" s="2">
        <v>-886</v>
      </c>
    </row>
    <row r="3096" spans="1:9" x14ac:dyDescent="0.3">
      <c r="A3096" t="s">
        <v>47</v>
      </c>
      <c r="B3096" s="1">
        <v>45505</v>
      </c>
      <c r="C3096" s="2">
        <v>516228</v>
      </c>
      <c r="D3096" s="2">
        <v>3432</v>
      </c>
      <c r="E3096" s="2">
        <v>462964</v>
      </c>
      <c r="F3096" s="2">
        <v>5541</v>
      </c>
      <c r="G3096" s="2">
        <v>4406</v>
      </c>
      <c r="H3096" s="2">
        <v>53264</v>
      </c>
      <c r="I3096" s="2">
        <v>-2109</v>
      </c>
    </row>
    <row r="3097" spans="1:9" x14ac:dyDescent="0.3">
      <c r="A3097" t="s">
        <v>47</v>
      </c>
      <c r="B3097" s="1">
        <v>45474</v>
      </c>
      <c r="C3097" s="2">
        <v>510141</v>
      </c>
      <c r="D3097" s="2">
        <v>-2432</v>
      </c>
      <c r="E3097" s="2">
        <v>454768</v>
      </c>
      <c r="F3097" s="2">
        <v>-4468</v>
      </c>
      <c r="G3097" s="2">
        <v>3855</v>
      </c>
      <c r="H3097" s="2">
        <v>55373</v>
      </c>
      <c r="I3097" s="2">
        <v>2036</v>
      </c>
    </row>
    <row r="3098" spans="1:9" x14ac:dyDescent="0.3">
      <c r="A3098" t="s">
        <v>47</v>
      </c>
      <c r="B3098" s="1">
        <v>45444</v>
      </c>
      <c r="C3098" s="2">
        <v>508810</v>
      </c>
      <c r="D3098" s="2">
        <v>-1791</v>
      </c>
      <c r="E3098" s="2">
        <v>455473</v>
      </c>
      <c r="F3098" s="2">
        <v>-3045</v>
      </c>
      <c r="G3098" s="2">
        <v>1545</v>
      </c>
      <c r="H3098" s="2">
        <v>53337</v>
      </c>
      <c r="I3098" s="2">
        <v>1254</v>
      </c>
    </row>
    <row r="3099" spans="1:9" x14ac:dyDescent="0.3">
      <c r="A3099" t="s">
        <v>47</v>
      </c>
      <c r="B3099" s="1">
        <v>45413</v>
      </c>
      <c r="C3099" s="2">
        <v>509001</v>
      </c>
      <c r="D3099" s="2">
        <v>5931</v>
      </c>
      <c r="E3099" s="2">
        <v>456918</v>
      </c>
      <c r="F3099" s="2">
        <v>9826</v>
      </c>
      <c r="G3099" s="2">
        <v>717</v>
      </c>
      <c r="H3099" s="2">
        <v>52083</v>
      </c>
      <c r="I3099" s="2">
        <v>-3895</v>
      </c>
    </row>
    <row r="3100" spans="1:9" x14ac:dyDescent="0.3">
      <c r="A3100" t="s">
        <v>47</v>
      </c>
      <c r="B3100" s="1">
        <v>45383</v>
      </c>
      <c r="C3100" s="2">
        <v>500013</v>
      </c>
      <c r="D3100" s="2">
        <v>3154</v>
      </c>
      <c r="E3100" s="2">
        <v>444035</v>
      </c>
      <c r="F3100" s="2">
        <v>2200</v>
      </c>
      <c r="G3100" s="2">
        <v>-543</v>
      </c>
      <c r="H3100" s="2">
        <v>55978</v>
      </c>
      <c r="I3100" s="2">
        <v>954</v>
      </c>
    </row>
    <row r="3101" spans="1:9" x14ac:dyDescent="0.3">
      <c r="A3101" t="s">
        <v>47</v>
      </c>
      <c r="B3101" s="1">
        <v>45352</v>
      </c>
      <c r="C3101" s="2">
        <v>505317</v>
      </c>
      <c r="D3101" s="2">
        <v>13572</v>
      </c>
      <c r="E3101" s="2">
        <v>450293</v>
      </c>
      <c r="F3101" s="2">
        <v>9896</v>
      </c>
      <c r="G3101" s="2">
        <v>3476</v>
      </c>
      <c r="H3101" s="2">
        <v>55024</v>
      </c>
      <c r="I3101" s="2">
        <v>3676</v>
      </c>
    </row>
    <row r="3102" spans="1:9" x14ac:dyDescent="0.3">
      <c r="A3102" t="s">
        <v>47</v>
      </c>
      <c r="B3102" s="1">
        <v>45323</v>
      </c>
      <c r="C3102" s="2">
        <v>490858</v>
      </c>
      <c r="D3102" s="2">
        <v>7926</v>
      </c>
      <c r="E3102" s="2">
        <v>439510</v>
      </c>
      <c r="F3102" s="2">
        <v>8895</v>
      </c>
      <c r="G3102" s="2">
        <v>-2509</v>
      </c>
      <c r="H3102" s="2">
        <v>51348</v>
      </c>
      <c r="I3102" s="2">
        <v>-969</v>
      </c>
    </row>
    <row r="3103" spans="1:9" x14ac:dyDescent="0.3">
      <c r="A3103" t="s">
        <v>47</v>
      </c>
      <c r="B3103" s="1">
        <v>45292</v>
      </c>
      <c r="C3103" s="2">
        <v>487147</v>
      </c>
      <c r="D3103" s="2">
        <v>-3496</v>
      </c>
      <c r="E3103" s="2">
        <v>434830</v>
      </c>
      <c r="F3103" s="2">
        <v>-230</v>
      </c>
      <c r="G3103" s="2">
        <v>-3383</v>
      </c>
      <c r="H3103" s="2">
        <v>52317</v>
      </c>
      <c r="I3103" s="2">
        <v>-3266</v>
      </c>
    </row>
    <row r="3104" spans="1:9" x14ac:dyDescent="0.3">
      <c r="A3104" t="s">
        <v>47</v>
      </c>
      <c r="B3104" s="1">
        <v>45261</v>
      </c>
      <c r="C3104" s="2">
        <v>492979</v>
      </c>
      <c r="D3104" s="2">
        <v>7535</v>
      </c>
      <c r="E3104" s="2">
        <v>437396</v>
      </c>
      <c r="F3104" s="2">
        <v>3750</v>
      </c>
      <c r="G3104" s="2">
        <v>8795</v>
      </c>
      <c r="H3104" s="2">
        <v>55583</v>
      </c>
      <c r="I3104" s="2">
        <v>3785</v>
      </c>
    </row>
    <row r="3105" spans="1:9" x14ac:dyDescent="0.3">
      <c r="A3105" t="s">
        <v>47</v>
      </c>
      <c r="B3105" s="1">
        <v>45231</v>
      </c>
      <c r="C3105" s="2">
        <v>478551</v>
      </c>
      <c r="D3105" s="2">
        <v>5483</v>
      </c>
      <c r="E3105" s="2">
        <v>426753</v>
      </c>
      <c r="F3105" s="2">
        <v>3443</v>
      </c>
      <c r="G3105" s="2">
        <v>6624</v>
      </c>
      <c r="H3105" s="2">
        <v>51798</v>
      </c>
      <c r="I3105" s="2">
        <v>2040</v>
      </c>
    </row>
    <row r="3106" spans="1:9" x14ac:dyDescent="0.3">
      <c r="A3106" t="s">
        <v>47</v>
      </c>
      <c r="B3106" s="1">
        <v>45200</v>
      </c>
      <c r="C3106" s="2">
        <v>466862</v>
      </c>
      <c r="D3106" s="2">
        <v>-3300</v>
      </c>
      <c r="E3106" s="2">
        <v>417104</v>
      </c>
      <c r="F3106" s="2">
        <v>-3317</v>
      </c>
      <c r="G3106" s="2">
        <v>-58</v>
      </c>
      <c r="H3106" s="2">
        <v>49758</v>
      </c>
      <c r="I3106" s="2">
        <v>17</v>
      </c>
    </row>
    <row r="3107" spans="1:9" x14ac:dyDescent="0.3">
      <c r="A3107" t="s">
        <v>47</v>
      </c>
      <c r="B3107" s="1">
        <v>45170</v>
      </c>
      <c r="C3107" s="2">
        <v>472567</v>
      </c>
      <c r="D3107" s="2">
        <v>3508</v>
      </c>
      <c r="E3107" s="2">
        <v>422826</v>
      </c>
      <c r="F3107" s="2">
        <v>3686</v>
      </c>
      <c r="G3107" s="2">
        <v>-3537</v>
      </c>
      <c r="H3107" s="2">
        <v>49741</v>
      </c>
      <c r="I3107" s="2">
        <v>-178</v>
      </c>
    </row>
    <row r="3108" spans="1:9" x14ac:dyDescent="0.3">
      <c r="A3108" t="s">
        <v>47</v>
      </c>
      <c r="B3108" s="1">
        <v>45139</v>
      </c>
      <c r="C3108" s="2">
        <v>474635</v>
      </c>
      <c r="D3108" s="2">
        <v>-1023</v>
      </c>
      <c r="E3108" s="2">
        <v>424716</v>
      </c>
      <c r="F3108" s="2">
        <v>2440</v>
      </c>
      <c r="G3108" s="2">
        <v>-1576</v>
      </c>
      <c r="H3108" s="2">
        <v>49919</v>
      </c>
      <c r="I3108" s="2">
        <v>-3463</v>
      </c>
    </row>
    <row r="3109" spans="1:9" x14ac:dyDescent="0.3">
      <c r="A3109" t="s">
        <v>47</v>
      </c>
      <c r="B3109" s="1">
        <v>45108</v>
      </c>
      <c r="C3109" s="2">
        <v>477608</v>
      </c>
      <c r="D3109" s="2">
        <v>5039</v>
      </c>
      <c r="E3109" s="2">
        <v>424226</v>
      </c>
      <c r="F3109" s="2">
        <v>722</v>
      </c>
      <c r="G3109" s="2">
        <v>400</v>
      </c>
      <c r="H3109" s="2">
        <v>53382</v>
      </c>
      <c r="I3109" s="2">
        <v>4317</v>
      </c>
    </row>
    <row r="3110" spans="1:9" x14ac:dyDescent="0.3">
      <c r="A3110" t="s">
        <v>47</v>
      </c>
      <c r="B3110" s="1">
        <v>45078</v>
      </c>
      <c r="C3110" s="2">
        <v>473129</v>
      </c>
      <c r="D3110" s="2">
        <v>5042</v>
      </c>
      <c r="E3110" s="2">
        <v>424064</v>
      </c>
      <c r="F3110" s="2">
        <v>4595</v>
      </c>
      <c r="G3110" s="2">
        <v>-2359</v>
      </c>
      <c r="H3110" s="2">
        <v>49065</v>
      </c>
      <c r="I3110" s="2">
        <v>447</v>
      </c>
    </row>
    <row r="3111" spans="1:9" x14ac:dyDescent="0.3">
      <c r="A3111" t="s">
        <v>47</v>
      </c>
      <c r="B3111" s="1">
        <v>45047</v>
      </c>
      <c r="C3111" s="2">
        <v>470973</v>
      </c>
      <c r="D3111" s="2">
        <v>8700</v>
      </c>
      <c r="E3111" s="2">
        <v>422355</v>
      </c>
      <c r="F3111" s="2">
        <v>6625</v>
      </c>
      <c r="G3111" s="2">
        <v>-1937</v>
      </c>
      <c r="H3111" s="2">
        <v>48618</v>
      </c>
      <c r="I3111" s="2">
        <v>2075</v>
      </c>
    </row>
    <row r="3112" spans="1:9" x14ac:dyDescent="0.3">
      <c r="A3112" t="s">
        <v>47</v>
      </c>
      <c r="B3112" s="1">
        <v>45017</v>
      </c>
      <c r="C3112" s="2">
        <v>466453</v>
      </c>
      <c r="D3112" s="2">
        <v>10900</v>
      </c>
      <c r="E3112" s="2">
        <v>419910</v>
      </c>
      <c r="F3112" s="2">
        <v>10981</v>
      </c>
      <c r="G3112" s="2">
        <v>837</v>
      </c>
      <c r="H3112" s="2">
        <v>46543</v>
      </c>
      <c r="I3112" s="2">
        <v>-81</v>
      </c>
    </row>
    <row r="3113" spans="1:9" x14ac:dyDescent="0.3">
      <c r="A3113" t="s">
        <v>47</v>
      </c>
      <c r="B3113" s="1">
        <v>44986</v>
      </c>
      <c r="C3113" s="2">
        <v>455759</v>
      </c>
      <c r="D3113" s="2">
        <v>10089</v>
      </c>
      <c r="E3113" s="2">
        <v>409135</v>
      </c>
      <c r="F3113" s="2">
        <v>6753</v>
      </c>
      <c r="G3113" s="2">
        <v>6099</v>
      </c>
      <c r="H3113" s="2">
        <v>46624</v>
      </c>
      <c r="I3113" s="2">
        <v>3336</v>
      </c>
    </row>
    <row r="3114" spans="1:9" x14ac:dyDescent="0.3">
      <c r="A3114" t="s">
        <v>47</v>
      </c>
      <c r="B3114" s="1">
        <v>44958</v>
      </c>
      <c r="C3114" s="2">
        <v>439352</v>
      </c>
      <c r="D3114" s="2">
        <v>12042</v>
      </c>
      <c r="E3114" s="2">
        <v>396064</v>
      </c>
      <c r="F3114" s="2">
        <v>10596</v>
      </c>
      <c r="G3114" s="2">
        <v>-3725</v>
      </c>
      <c r="H3114" s="2">
        <v>43288</v>
      </c>
      <c r="I3114" s="2">
        <v>1446</v>
      </c>
    </row>
    <row r="3115" spans="1:9" hidden="1" x14ac:dyDescent="0.3">
      <c r="A3115" t="s">
        <v>47</v>
      </c>
      <c r="B3115" s="1">
        <v>44927</v>
      </c>
      <c r="C3115" s="2">
        <v>432767</v>
      </c>
      <c r="D3115" s="2" t="s">
        <v>3</v>
      </c>
      <c r="E3115" s="2">
        <v>390925</v>
      </c>
      <c r="F3115" s="2" t="s">
        <v>3</v>
      </c>
      <c r="G3115" s="2" t="s">
        <v>3</v>
      </c>
      <c r="H3115" s="2">
        <v>41842</v>
      </c>
      <c r="I3115" s="2">
        <v>-1522</v>
      </c>
    </row>
    <row r="3116" spans="1:9" hidden="1" x14ac:dyDescent="0.3">
      <c r="A3116" t="s">
        <v>47</v>
      </c>
      <c r="B3116" s="1">
        <v>44896</v>
      </c>
      <c r="C3116" s="2">
        <v>436432</v>
      </c>
      <c r="D3116" s="2" t="s">
        <v>3</v>
      </c>
      <c r="E3116" s="2">
        <v>393068</v>
      </c>
      <c r="F3116" s="2" t="s">
        <v>3</v>
      </c>
      <c r="G3116" s="2" t="s">
        <v>3</v>
      </c>
      <c r="H3116" s="2">
        <v>43364</v>
      </c>
      <c r="I3116" s="2">
        <v>3447</v>
      </c>
    </row>
    <row r="3117" spans="1:9" hidden="1" x14ac:dyDescent="0.3">
      <c r="A3117" t="s">
        <v>47</v>
      </c>
      <c r="B3117" s="1">
        <v>44866</v>
      </c>
      <c r="C3117" s="2">
        <v>436523</v>
      </c>
      <c r="D3117" s="2" t="s">
        <v>3</v>
      </c>
      <c r="E3117" s="2">
        <v>396606</v>
      </c>
      <c r="F3117" s="2" t="s">
        <v>3</v>
      </c>
      <c r="G3117" s="2" t="s">
        <v>3</v>
      </c>
      <c r="H3117" s="2">
        <v>39917</v>
      </c>
      <c r="I3117" s="2">
        <v>1527</v>
      </c>
    </row>
    <row r="3118" spans="1:9" hidden="1" x14ac:dyDescent="0.3">
      <c r="A3118" t="s">
        <v>47</v>
      </c>
      <c r="B3118" s="1">
        <v>44835</v>
      </c>
      <c r="C3118" s="2">
        <v>422974</v>
      </c>
      <c r="D3118" s="2" t="s">
        <v>3</v>
      </c>
      <c r="E3118" s="2">
        <v>384584</v>
      </c>
      <c r="F3118" s="2" t="s">
        <v>3</v>
      </c>
      <c r="G3118" s="2" t="s">
        <v>3</v>
      </c>
      <c r="H3118" s="2">
        <v>38390</v>
      </c>
      <c r="I3118" s="2">
        <v>1176</v>
      </c>
    </row>
    <row r="3119" spans="1:9" hidden="1" x14ac:dyDescent="0.3">
      <c r="A3119" t="s">
        <v>47</v>
      </c>
      <c r="B3119" s="1">
        <v>44805</v>
      </c>
      <c r="C3119" s="2">
        <v>421773</v>
      </c>
      <c r="D3119" s="2" t="s">
        <v>3</v>
      </c>
      <c r="E3119" s="2">
        <v>384559</v>
      </c>
      <c r="F3119" s="2" t="s">
        <v>3</v>
      </c>
      <c r="G3119" s="2" t="s">
        <v>3</v>
      </c>
      <c r="H3119" s="2">
        <v>37214</v>
      </c>
      <c r="I3119" s="2">
        <v>-577</v>
      </c>
    </row>
    <row r="3120" spans="1:9" hidden="1" x14ac:dyDescent="0.3">
      <c r="A3120" t="s">
        <v>47</v>
      </c>
      <c r="B3120" s="1">
        <v>44774</v>
      </c>
      <c r="C3120" s="2">
        <v>426943</v>
      </c>
      <c r="D3120" s="2" t="s">
        <v>3</v>
      </c>
      <c r="E3120" s="2">
        <v>389152</v>
      </c>
      <c r="F3120" s="2" t="s">
        <v>3</v>
      </c>
      <c r="G3120" s="2" t="s">
        <v>3</v>
      </c>
      <c r="H3120" s="2">
        <v>37791</v>
      </c>
      <c r="I3120" s="2">
        <v>1438</v>
      </c>
    </row>
    <row r="3121" spans="1:9" hidden="1" x14ac:dyDescent="0.3">
      <c r="A3121" t="s">
        <v>47</v>
      </c>
      <c r="B3121" s="1">
        <v>44743</v>
      </c>
      <c r="C3121" s="2">
        <v>431259</v>
      </c>
      <c r="D3121" s="2" t="s">
        <v>3</v>
      </c>
      <c r="E3121" s="2">
        <v>394906</v>
      </c>
      <c r="F3121" s="2" t="s">
        <v>3</v>
      </c>
      <c r="G3121" s="2" t="s">
        <v>3</v>
      </c>
      <c r="H3121" s="2">
        <v>36353</v>
      </c>
      <c r="I3121" s="2">
        <v>-2344</v>
      </c>
    </row>
    <row r="3122" spans="1:9" hidden="1" x14ac:dyDescent="0.3">
      <c r="A3122" t="s">
        <v>47</v>
      </c>
      <c r="B3122" s="1">
        <v>44713</v>
      </c>
      <c r="C3122" s="2">
        <v>422802</v>
      </c>
      <c r="D3122" s="2" t="s">
        <v>3</v>
      </c>
      <c r="E3122" s="2">
        <v>384105</v>
      </c>
      <c r="F3122" s="2" t="s">
        <v>3</v>
      </c>
      <c r="G3122" s="2" t="s">
        <v>3</v>
      </c>
      <c r="H3122" s="2">
        <v>38697</v>
      </c>
      <c r="I3122" s="2">
        <v>2056</v>
      </c>
    </row>
    <row r="3123" spans="1:9" hidden="1" x14ac:dyDescent="0.3">
      <c r="A3123" t="s">
        <v>47</v>
      </c>
      <c r="B3123" s="1">
        <v>44682</v>
      </c>
      <c r="C3123" s="2">
        <v>420277</v>
      </c>
      <c r="D3123" s="2" t="s">
        <v>3</v>
      </c>
      <c r="E3123" s="2">
        <v>383636</v>
      </c>
      <c r="F3123" s="2" t="s">
        <v>3</v>
      </c>
      <c r="G3123" s="2" t="s">
        <v>3</v>
      </c>
      <c r="H3123" s="2">
        <v>36641</v>
      </c>
      <c r="I3123" s="2">
        <v>1571</v>
      </c>
    </row>
    <row r="3124" spans="1:9" hidden="1" x14ac:dyDescent="0.3">
      <c r="A3124" t="s">
        <v>47</v>
      </c>
      <c r="B3124" s="1">
        <v>44652</v>
      </c>
      <c r="C3124" s="2">
        <v>418298</v>
      </c>
      <c r="D3124" s="2" t="s">
        <v>3</v>
      </c>
      <c r="E3124" s="2">
        <v>383228</v>
      </c>
      <c r="F3124" s="2" t="s">
        <v>3</v>
      </c>
      <c r="G3124" s="2" t="s">
        <v>3</v>
      </c>
      <c r="H3124" s="2">
        <v>35070</v>
      </c>
      <c r="I3124" s="2">
        <v>823</v>
      </c>
    </row>
    <row r="3125" spans="1:9" hidden="1" x14ac:dyDescent="0.3">
      <c r="A3125" t="s">
        <v>47</v>
      </c>
      <c r="B3125" s="1">
        <v>44621</v>
      </c>
      <c r="C3125" s="2">
        <v>421228</v>
      </c>
      <c r="D3125" s="2" t="s">
        <v>3</v>
      </c>
      <c r="E3125" s="2">
        <v>386981</v>
      </c>
      <c r="F3125" s="2" t="s">
        <v>3</v>
      </c>
      <c r="G3125" s="2" t="s">
        <v>3</v>
      </c>
      <c r="H3125" s="2">
        <v>34247</v>
      </c>
      <c r="I3125" s="2">
        <v>2786</v>
      </c>
    </row>
    <row r="3126" spans="1:9" hidden="1" x14ac:dyDescent="0.3">
      <c r="A3126" t="s">
        <v>47</v>
      </c>
      <c r="B3126" s="1">
        <v>44593</v>
      </c>
      <c r="C3126" s="2">
        <v>422224</v>
      </c>
      <c r="D3126" s="2" t="s">
        <v>3</v>
      </c>
      <c r="E3126" s="2">
        <v>390763</v>
      </c>
      <c r="F3126" s="2" t="s">
        <v>3</v>
      </c>
      <c r="G3126" s="2" t="s">
        <v>3</v>
      </c>
      <c r="H3126" s="2">
        <v>31461</v>
      </c>
      <c r="I3126" s="2">
        <v>550</v>
      </c>
    </row>
    <row r="3127" spans="1:9" hidden="1" x14ac:dyDescent="0.3">
      <c r="A3127" t="s">
        <v>47</v>
      </c>
      <c r="B3127" s="1">
        <v>44562</v>
      </c>
      <c r="C3127" s="2">
        <v>414983</v>
      </c>
      <c r="D3127" s="2" t="s">
        <v>3</v>
      </c>
      <c r="E3127" s="2">
        <v>384072</v>
      </c>
      <c r="F3127" s="2" t="s">
        <v>3</v>
      </c>
      <c r="G3127" s="2" t="s">
        <v>3</v>
      </c>
      <c r="H3127" s="2">
        <v>30911</v>
      </c>
      <c r="I3127" s="2">
        <v>-1530</v>
      </c>
    </row>
    <row r="3128" spans="1:9" hidden="1" x14ac:dyDescent="0.3">
      <c r="A3128" t="s">
        <v>47</v>
      </c>
      <c r="B3128" s="1">
        <v>44531</v>
      </c>
      <c r="C3128" s="2">
        <v>422271</v>
      </c>
      <c r="D3128" s="2" t="s">
        <v>3</v>
      </c>
      <c r="E3128" s="2">
        <v>389830</v>
      </c>
      <c r="F3128" s="2" t="s">
        <v>3</v>
      </c>
      <c r="G3128" s="2" t="s">
        <v>3</v>
      </c>
      <c r="H3128" s="2">
        <v>32441</v>
      </c>
      <c r="I3128" s="2">
        <v>843</v>
      </c>
    </row>
    <row r="3129" spans="1:9" hidden="1" x14ac:dyDescent="0.3">
      <c r="A3129" t="s">
        <v>47</v>
      </c>
      <c r="B3129" s="1">
        <v>44501</v>
      </c>
      <c r="C3129" s="2">
        <v>423618</v>
      </c>
      <c r="D3129" s="2" t="s">
        <v>3</v>
      </c>
      <c r="E3129" s="2">
        <v>392020</v>
      </c>
      <c r="F3129" s="2" t="s">
        <v>3</v>
      </c>
      <c r="G3129" s="2" t="s">
        <v>3</v>
      </c>
      <c r="H3129" s="2">
        <v>31598</v>
      </c>
      <c r="I3129" s="2">
        <v>-2094</v>
      </c>
    </row>
    <row r="3130" spans="1:9" hidden="1" x14ac:dyDescent="0.3">
      <c r="A3130" t="s">
        <v>47</v>
      </c>
      <c r="B3130" s="1">
        <v>44470</v>
      </c>
      <c r="C3130" s="2">
        <v>434134</v>
      </c>
      <c r="D3130" s="2" t="s">
        <v>3</v>
      </c>
      <c r="E3130" s="2">
        <v>400442</v>
      </c>
      <c r="F3130" s="2" t="s">
        <v>3</v>
      </c>
      <c r="G3130" s="2" t="s">
        <v>3</v>
      </c>
      <c r="H3130" s="2">
        <v>33692</v>
      </c>
      <c r="I3130" s="2">
        <v>331</v>
      </c>
    </row>
    <row r="3131" spans="1:9" hidden="1" x14ac:dyDescent="0.3">
      <c r="A3131" t="s">
        <v>47</v>
      </c>
      <c r="B3131" s="1">
        <v>44440</v>
      </c>
      <c r="C3131" s="2">
        <v>433427</v>
      </c>
      <c r="D3131" s="2" t="s">
        <v>3</v>
      </c>
      <c r="E3131" s="2">
        <v>400066</v>
      </c>
      <c r="F3131" s="2" t="s">
        <v>3</v>
      </c>
      <c r="G3131" s="2" t="s">
        <v>3</v>
      </c>
      <c r="H3131" s="2">
        <v>33361</v>
      </c>
      <c r="I3131" s="2">
        <v>1416</v>
      </c>
    </row>
    <row r="3132" spans="1:9" hidden="1" x14ac:dyDescent="0.3">
      <c r="A3132" t="s">
        <v>47</v>
      </c>
      <c r="B3132" s="1">
        <v>44409</v>
      </c>
      <c r="C3132" s="2">
        <v>435158</v>
      </c>
      <c r="D3132" s="2" t="s">
        <v>3</v>
      </c>
      <c r="E3132" s="2">
        <v>403213</v>
      </c>
      <c r="F3132" s="2" t="s">
        <v>3</v>
      </c>
      <c r="G3132" s="2" t="s">
        <v>3</v>
      </c>
      <c r="H3132" s="2">
        <v>31945</v>
      </c>
      <c r="I3132" s="2">
        <v>-2472</v>
      </c>
    </row>
    <row r="3133" spans="1:9" hidden="1" x14ac:dyDescent="0.3">
      <c r="A3133" t="s">
        <v>47</v>
      </c>
      <c r="B3133" s="1">
        <v>44378</v>
      </c>
      <c r="C3133" s="2">
        <v>441147</v>
      </c>
      <c r="D3133" s="2" t="s">
        <v>3</v>
      </c>
      <c r="E3133" s="2">
        <v>406730</v>
      </c>
      <c r="F3133" s="2" t="s">
        <v>3</v>
      </c>
      <c r="G3133" s="2" t="s">
        <v>3</v>
      </c>
      <c r="H3133" s="2">
        <v>34417</v>
      </c>
      <c r="I3133" s="2">
        <v>1583</v>
      </c>
    </row>
    <row r="3134" spans="1:9" hidden="1" x14ac:dyDescent="0.3">
      <c r="A3134" t="s">
        <v>47</v>
      </c>
      <c r="B3134" s="1">
        <v>44348</v>
      </c>
      <c r="C3134" s="2">
        <v>437757</v>
      </c>
      <c r="D3134" s="2" t="s">
        <v>3</v>
      </c>
      <c r="E3134" s="2">
        <v>404923</v>
      </c>
      <c r="F3134" s="2" t="s">
        <v>3</v>
      </c>
      <c r="G3134" s="2" t="s">
        <v>3</v>
      </c>
      <c r="H3134" s="2">
        <v>32834</v>
      </c>
      <c r="I3134" s="2">
        <v>313</v>
      </c>
    </row>
    <row r="3135" spans="1:9" hidden="1" x14ac:dyDescent="0.3">
      <c r="A3135" t="s">
        <v>47</v>
      </c>
      <c r="B3135" s="1">
        <v>44317</v>
      </c>
      <c r="C3135" s="2">
        <v>441432</v>
      </c>
      <c r="D3135" s="2" t="s">
        <v>3</v>
      </c>
      <c r="E3135" s="2">
        <v>408911</v>
      </c>
      <c r="F3135" s="2" t="s">
        <v>3</v>
      </c>
      <c r="G3135" s="2" t="s">
        <v>3</v>
      </c>
      <c r="H3135" s="2">
        <v>32521</v>
      </c>
      <c r="I3135" s="2">
        <v>778</v>
      </c>
    </row>
    <row r="3136" spans="1:9" hidden="1" x14ac:dyDescent="0.3">
      <c r="A3136" t="s">
        <v>47</v>
      </c>
      <c r="B3136" s="1">
        <v>44287</v>
      </c>
      <c r="C3136" s="2">
        <v>440641</v>
      </c>
      <c r="D3136" s="2" t="s">
        <v>3</v>
      </c>
      <c r="E3136" s="2">
        <v>408898</v>
      </c>
      <c r="F3136" s="2" t="s">
        <v>3</v>
      </c>
      <c r="G3136" s="2" t="s">
        <v>3</v>
      </c>
      <c r="H3136" s="2">
        <v>31743</v>
      </c>
      <c r="I3136" s="2">
        <v>-2017</v>
      </c>
    </row>
    <row r="3137" spans="1:9" hidden="1" x14ac:dyDescent="0.3">
      <c r="A3137" t="s">
        <v>47</v>
      </c>
      <c r="B3137" s="1">
        <v>44256</v>
      </c>
      <c r="C3137" s="2">
        <v>442235</v>
      </c>
      <c r="D3137" s="2" t="s">
        <v>3</v>
      </c>
      <c r="E3137" s="2">
        <v>408475</v>
      </c>
      <c r="F3137" s="2" t="s">
        <v>3</v>
      </c>
      <c r="G3137" s="2" t="s">
        <v>3</v>
      </c>
      <c r="H3137" s="2">
        <v>33760</v>
      </c>
      <c r="I3137" s="2">
        <v>-3014</v>
      </c>
    </row>
    <row r="3138" spans="1:9" hidden="1" x14ac:dyDescent="0.3">
      <c r="A3138" t="s">
        <v>47</v>
      </c>
      <c r="B3138" s="1">
        <v>44228</v>
      </c>
      <c r="C3138" s="2">
        <v>443128</v>
      </c>
      <c r="D3138" s="2" t="s">
        <v>3</v>
      </c>
      <c r="E3138" s="2">
        <v>406354</v>
      </c>
      <c r="F3138" s="2" t="s">
        <v>3</v>
      </c>
      <c r="G3138" s="2" t="s">
        <v>3</v>
      </c>
      <c r="H3138" s="2">
        <v>36774</v>
      </c>
      <c r="I3138" s="2">
        <v>-3049</v>
      </c>
    </row>
    <row r="3139" spans="1:9" hidden="1" x14ac:dyDescent="0.3">
      <c r="A3139" t="s">
        <v>47</v>
      </c>
      <c r="B3139" s="1">
        <v>44197</v>
      </c>
      <c r="C3139" s="2">
        <v>439491</v>
      </c>
      <c r="D3139" s="2" t="s">
        <v>3</v>
      </c>
      <c r="E3139" s="2">
        <v>399668</v>
      </c>
      <c r="F3139" s="2" t="s">
        <v>3</v>
      </c>
      <c r="G3139" s="2" t="s">
        <v>3</v>
      </c>
      <c r="H3139" s="2">
        <v>39823</v>
      </c>
      <c r="I3139" s="2">
        <v>1502</v>
      </c>
    </row>
    <row r="3140" spans="1:9" hidden="1" x14ac:dyDescent="0.3">
      <c r="A3140" t="s">
        <v>47</v>
      </c>
      <c r="B3140" s="1">
        <v>44166</v>
      </c>
      <c r="C3140" s="2">
        <v>434078</v>
      </c>
      <c r="D3140" s="2" t="s">
        <v>3</v>
      </c>
      <c r="E3140" s="2">
        <v>395757</v>
      </c>
      <c r="F3140" s="2" t="s">
        <v>3</v>
      </c>
      <c r="G3140" s="2" t="s">
        <v>3</v>
      </c>
      <c r="H3140" s="2">
        <v>38321</v>
      </c>
      <c r="I3140" s="2">
        <v>-4431</v>
      </c>
    </row>
    <row r="3141" spans="1:9" hidden="1" x14ac:dyDescent="0.3">
      <c r="A3141" t="s">
        <v>47</v>
      </c>
      <c r="B3141" s="1">
        <v>44136</v>
      </c>
      <c r="C3141" s="2">
        <v>436739</v>
      </c>
      <c r="D3141" s="2" t="s">
        <v>3</v>
      </c>
      <c r="E3141" s="2">
        <v>393987</v>
      </c>
      <c r="F3141" s="2" t="s">
        <v>3</v>
      </c>
      <c r="G3141" s="2" t="s">
        <v>3</v>
      </c>
      <c r="H3141" s="2">
        <v>42752</v>
      </c>
      <c r="I3141" s="2">
        <v>-3031</v>
      </c>
    </row>
    <row r="3142" spans="1:9" hidden="1" x14ac:dyDescent="0.3">
      <c r="A3142" t="s">
        <v>47</v>
      </c>
      <c r="B3142" s="1">
        <v>44105</v>
      </c>
      <c r="C3142" s="2">
        <v>435222</v>
      </c>
      <c r="D3142" s="2" t="s">
        <v>3</v>
      </c>
      <c r="E3142" s="2">
        <v>389439</v>
      </c>
      <c r="F3142" s="2" t="s">
        <v>3</v>
      </c>
      <c r="G3142" s="2" t="s">
        <v>3</v>
      </c>
      <c r="H3142" s="2">
        <v>45783</v>
      </c>
      <c r="I3142" s="2">
        <v>1129</v>
      </c>
    </row>
    <row r="3143" spans="1:9" hidden="1" x14ac:dyDescent="0.3">
      <c r="A3143" t="s">
        <v>47</v>
      </c>
      <c r="B3143" s="1">
        <v>44075</v>
      </c>
      <c r="C3143" s="2">
        <v>435752</v>
      </c>
      <c r="D3143" s="2" t="s">
        <v>3</v>
      </c>
      <c r="E3143" s="2">
        <v>391098</v>
      </c>
      <c r="F3143" s="2" t="s">
        <v>3</v>
      </c>
      <c r="G3143" s="2" t="s">
        <v>3</v>
      </c>
      <c r="H3143" s="2">
        <v>44654</v>
      </c>
      <c r="I3143" s="2">
        <v>-2774</v>
      </c>
    </row>
    <row r="3144" spans="1:9" hidden="1" x14ac:dyDescent="0.3">
      <c r="A3144" t="s">
        <v>47</v>
      </c>
      <c r="B3144" s="1">
        <v>44044</v>
      </c>
      <c r="C3144" s="2">
        <v>433598</v>
      </c>
      <c r="D3144" s="2" t="s">
        <v>3</v>
      </c>
      <c r="E3144" s="2">
        <v>386170</v>
      </c>
      <c r="F3144" s="2" t="s">
        <v>3</v>
      </c>
      <c r="G3144" s="2" t="s">
        <v>3</v>
      </c>
      <c r="H3144" s="2">
        <v>47428</v>
      </c>
      <c r="I3144" s="2">
        <v>-141</v>
      </c>
    </row>
    <row r="3145" spans="1:9" hidden="1" x14ac:dyDescent="0.3">
      <c r="A3145" t="s">
        <v>47</v>
      </c>
      <c r="B3145" s="1">
        <v>44013</v>
      </c>
      <c r="C3145" s="2">
        <v>429411</v>
      </c>
      <c r="D3145" s="2" t="s">
        <v>3</v>
      </c>
      <c r="E3145" s="2">
        <v>381842</v>
      </c>
      <c r="F3145" s="2" t="s">
        <v>3</v>
      </c>
      <c r="G3145" s="2" t="s">
        <v>3</v>
      </c>
      <c r="H3145" s="2">
        <v>47569</v>
      </c>
      <c r="I3145" s="2">
        <v>-1570</v>
      </c>
    </row>
    <row r="3146" spans="1:9" hidden="1" x14ac:dyDescent="0.3">
      <c r="A3146" t="s">
        <v>47</v>
      </c>
      <c r="B3146" s="1">
        <v>43983</v>
      </c>
      <c r="C3146" s="2">
        <v>424559</v>
      </c>
      <c r="D3146" s="2" t="s">
        <v>3</v>
      </c>
      <c r="E3146" s="2">
        <v>375420</v>
      </c>
      <c r="F3146" s="2" t="s">
        <v>3</v>
      </c>
      <c r="G3146" s="2" t="s">
        <v>3</v>
      </c>
      <c r="H3146" s="2">
        <v>49139</v>
      </c>
      <c r="I3146" s="2">
        <v>5426</v>
      </c>
    </row>
    <row r="3147" spans="1:9" hidden="1" x14ac:dyDescent="0.3">
      <c r="A3147" t="s">
        <v>47</v>
      </c>
      <c r="B3147" s="1">
        <v>43952</v>
      </c>
      <c r="C3147" s="2">
        <v>423923</v>
      </c>
      <c r="D3147" s="2" t="s">
        <v>3</v>
      </c>
      <c r="E3147" s="2">
        <v>380210</v>
      </c>
      <c r="F3147" s="2" t="s">
        <v>3</v>
      </c>
      <c r="G3147" s="2" t="s">
        <v>3</v>
      </c>
      <c r="H3147" s="2">
        <v>43713</v>
      </c>
      <c r="I3147" s="2">
        <v>3702</v>
      </c>
    </row>
    <row r="3148" spans="1:9" hidden="1" x14ac:dyDescent="0.3">
      <c r="A3148" t="s">
        <v>47</v>
      </c>
      <c r="B3148" s="1">
        <v>43922</v>
      </c>
      <c r="C3148" s="2">
        <v>414602</v>
      </c>
      <c r="D3148" s="2" t="s">
        <v>3</v>
      </c>
      <c r="E3148" s="2">
        <v>374591</v>
      </c>
      <c r="F3148" s="2" t="s">
        <v>3</v>
      </c>
      <c r="G3148" s="2" t="s">
        <v>3</v>
      </c>
      <c r="H3148" s="2">
        <v>40011</v>
      </c>
      <c r="I3148" s="2">
        <v>9253</v>
      </c>
    </row>
    <row r="3149" spans="1:9" hidden="1" x14ac:dyDescent="0.3">
      <c r="A3149" t="s">
        <v>47</v>
      </c>
      <c r="B3149" s="1">
        <v>43891</v>
      </c>
      <c r="C3149" s="2">
        <v>418091</v>
      </c>
      <c r="D3149" s="2" t="s">
        <v>3</v>
      </c>
      <c r="E3149" s="2">
        <v>387333</v>
      </c>
      <c r="F3149" s="2" t="s">
        <v>3</v>
      </c>
      <c r="G3149" s="2" t="s">
        <v>3</v>
      </c>
      <c r="H3149" s="2">
        <v>30758</v>
      </c>
      <c r="I3149" s="2">
        <v>-1087</v>
      </c>
    </row>
    <row r="3150" spans="1:9" hidden="1" x14ac:dyDescent="0.3">
      <c r="A3150" t="s">
        <v>47</v>
      </c>
      <c r="B3150" s="1">
        <v>43862</v>
      </c>
      <c r="C3150" s="2">
        <v>449988</v>
      </c>
      <c r="D3150" s="2" t="s">
        <v>3</v>
      </c>
      <c r="E3150" s="2">
        <v>418143</v>
      </c>
      <c r="F3150" s="2" t="s">
        <v>3</v>
      </c>
      <c r="G3150" s="2" t="s">
        <v>3</v>
      </c>
      <c r="H3150" s="2">
        <v>31845</v>
      </c>
      <c r="I3150" s="2">
        <v>1549</v>
      </c>
    </row>
    <row r="3151" spans="1:9" hidden="1" x14ac:dyDescent="0.3">
      <c r="A3151" t="s">
        <v>47</v>
      </c>
      <c r="B3151" s="1">
        <v>43831</v>
      </c>
      <c r="C3151" s="2">
        <v>445023</v>
      </c>
      <c r="D3151" s="2" t="s">
        <v>3</v>
      </c>
      <c r="E3151" s="2">
        <v>414727</v>
      </c>
      <c r="F3151" s="2" t="s">
        <v>3</v>
      </c>
      <c r="G3151" s="2" t="s">
        <v>3</v>
      </c>
      <c r="H3151" s="2">
        <v>30296</v>
      </c>
      <c r="I3151" s="2">
        <v>1121</v>
      </c>
    </row>
    <row r="3152" spans="1:9" x14ac:dyDescent="0.3">
      <c r="A3152" t="s">
        <v>48</v>
      </c>
      <c r="B3152" s="1">
        <v>45931</v>
      </c>
      <c r="C3152" s="2">
        <v>2863</v>
      </c>
      <c r="D3152" s="2">
        <v>-13</v>
      </c>
      <c r="E3152" s="2">
        <v>1767</v>
      </c>
      <c r="F3152" s="2">
        <v>36</v>
      </c>
      <c r="G3152" s="2">
        <v>-128</v>
      </c>
      <c r="H3152" s="2">
        <v>1096</v>
      </c>
      <c r="I3152" s="2">
        <v>-49</v>
      </c>
    </row>
    <row r="3153" spans="1:9" x14ac:dyDescent="0.3">
      <c r="A3153" t="s">
        <v>48</v>
      </c>
      <c r="B3153" s="1">
        <v>45901</v>
      </c>
      <c r="C3153" s="2">
        <v>3037</v>
      </c>
      <c r="D3153" s="2">
        <v>-46</v>
      </c>
      <c r="E3153" s="2">
        <v>1892</v>
      </c>
      <c r="F3153" s="2">
        <v>30</v>
      </c>
      <c r="G3153" s="2">
        <v>133</v>
      </c>
      <c r="H3153" s="2">
        <v>1145</v>
      </c>
      <c r="I3153" s="2">
        <v>-76</v>
      </c>
    </row>
    <row r="3154" spans="1:9" x14ac:dyDescent="0.3">
      <c r="A3154" t="s">
        <v>48</v>
      </c>
      <c r="B3154" s="1">
        <v>45870</v>
      </c>
      <c r="C3154" s="2">
        <v>2948</v>
      </c>
      <c r="D3154" s="2">
        <v>-6</v>
      </c>
      <c r="E3154" s="2">
        <v>1727</v>
      </c>
      <c r="F3154" s="2">
        <v>6</v>
      </c>
      <c r="G3154" s="2">
        <v>-125</v>
      </c>
      <c r="H3154" s="2">
        <v>1221</v>
      </c>
      <c r="I3154" s="2">
        <v>-12</v>
      </c>
    </row>
    <row r="3155" spans="1:9" x14ac:dyDescent="0.3">
      <c r="A3155" t="s">
        <v>48</v>
      </c>
      <c r="B3155" s="1">
        <v>45839</v>
      </c>
      <c r="C3155" s="2">
        <v>3069</v>
      </c>
      <c r="D3155" s="2">
        <v>44</v>
      </c>
      <c r="E3155" s="2">
        <v>1836</v>
      </c>
      <c r="F3155" s="2">
        <v>56</v>
      </c>
      <c r="G3155" s="2">
        <v>128</v>
      </c>
      <c r="H3155" s="2">
        <v>1233</v>
      </c>
      <c r="I3155" s="2">
        <v>-12</v>
      </c>
    </row>
    <row r="3156" spans="1:9" x14ac:dyDescent="0.3">
      <c r="A3156" t="s">
        <v>48</v>
      </c>
      <c r="B3156" s="1">
        <v>45809</v>
      </c>
      <c r="C3156" s="2">
        <v>2778</v>
      </c>
      <c r="D3156" s="2">
        <v>134</v>
      </c>
      <c r="E3156" s="2">
        <v>1533</v>
      </c>
      <c r="F3156" s="2">
        <v>-20</v>
      </c>
      <c r="G3156" s="2">
        <v>-16</v>
      </c>
      <c r="H3156" s="2">
        <v>1245</v>
      </c>
      <c r="I3156" s="2">
        <v>154</v>
      </c>
    </row>
    <row r="3157" spans="1:9" x14ac:dyDescent="0.3">
      <c r="A3157" t="s">
        <v>48</v>
      </c>
      <c r="B3157" s="1">
        <v>45778</v>
      </c>
      <c r="C3157" s="2">
        <v>2667</v>
      </c>
      <c r="D3157" s="2">
        <v>-231</v>
      </c>
      <c r="E3157" s="2">
        <v>1576</v>
      </c>
      <c r="F3157" s="2">
        <v>-23</v>
      </c>
      <c r="G3157" s="2">
        <v>28</v>
      </c>
      <c r="H3157" s="2">
        <v>1091</v>
      </c>
      <c r="I3157" s="2">
        <v>-208</v>
      </c>
    </row>
    <row r="3158" spans="1:9" x14ac:dyDescent="0.3">
      <c r="A3158" t="s">
        <v>48</v>
      </c>
      <c r="B3158" s="1">
        <v>45748</v>
      </c>
      <c r="C3158" s="2">
        <v>2891</v>
      </c>
      <c r="D3158" s="2">
        <v>249</v>
      </c>
      <c r="E3158" s="2">
        <v>1592</v>
      </c>
      <c r="F3158" s="2">
        <v>74</v>
      </c>
      <c r="G3158" s="2">
        <v>-10</v>
      </c>
      <c r="H3158" s="2">
        <v>1299</v>
      </c>
      <c r="I3158" s="2">
        <v>175</v>
      </c>
    </row>
    <row r="3159" spans="1:9" x14ac:dyDescent="0.3">
      <c r="A3159" t="s">
        <v>48</v>
      </c>
      <c r="B3159" s="1">
        <v>45717</v>
      </c>
      <c r="C3159" s="2">
        <v>2644</v>
      </c>
      <c r="D3159" s="2">
        <v>-159</v>
      </c>
      <c r="E3159" s="2">
        <v>1520</v>
      </c>
      <c r="F3159" s="2">
        <v>-189</v>
      </c>
      <c r="G3159" s="2">
        <v>-1</v>
      </c>
      <c r="H3159" s="2">
        <v>1124</v>
      </c>
      <c r="I3159" s="2">
        <v>30</v>
      </c>
    </row>
    <row r="3160" spans="1:9" x14ac:dyDescent="0.3">
      <c r="A3160" t="s">
        <v>48</v>
      </c>
      <c r="B3160" s="1">
        <v>45689</v>
      </c>
      <c r="C3160" s="2">
        <v>2802</v>
      </c>
      <c r="D3160" s="2">
        <v>-340</v>
      </c>
      <c r="E3160" s="2">
        <v>1708</v>
      </c>
      <c r="F3160" s="2">
        <v>-168</v>
      </c>
      <c r="G3160" s="2">
        <v>22</v>
      </c>
      <c r="H3160" s="2">
        <v>1094</v>
      </c>
      <c r="I3160" s="2">
        <v>-172</v>
      </c>
    </row>
    <row r="3161" spans="1:9" x14ac:dyDescent="0.3">
      <c r="A3161" t="s">
        <v>48</v>
      </c>
      <c r="B3161" s="1">
        <v>45658</v>
      </c>
      <c r="C3161" s="2">
        <v>3159</v>
      </c>
      <c r="D3161" s="2">
        <v>-58</v>
      </c>
      <c r="E3161" s="2">
        <v>1893</v>
      </c>
      <c r="F3161" s="2">
        <v>-45</v>
      </c>
      <c r="G3161" s="2">
        <v>-100</v>
      </c>
      <c r="H3161" s="2">
        <v>1266</v>
      </c>
      <c r="I3161" s="2">
        <v>-13</v>
      </c>
    </row>
    <row r="3162" spans="1:9" x14ac:dyDescent="0.3">
      <c r="A3162" t="s">
        <v>48</v>
      </c>
      <c r="B3162" s="1">
        <v>45627</v>
      </c>
      <c r="C3162" s="2">
        <v>3293</v>
      </c>
      <c r="D3162" s="2">
        <v>112</v>
      </c>
      <c r="E3162" s="2">
        <v>2014</v>
      </c>
      <c r="F3162" s="2">
        <v>225</v>
      </c>
      <c r="G3162" s="2">
        <v>-115</v>
      </c>
      <c r="H3162" s="2">
        <v>1279</v>
      </c>
      <c r="I3162" s="2">
        <v>-113</v>
      </c>
    </row>
    <row r="3163" spans="1:9" x14ac:dyDescent="0.3">
      <c r="A3163" t="s">
        <v>48</v>
      </c>
      <c r="B3163" s="1">
        <v>45597</v>
      </c>
      <c r="C3163" s="2">
        <v>3348</v>
      </c>
      <c r="D3163" s="2">
        <v>-11</v>
      </c>
      <c r="E3163" s="2">
        <v>1956</v>
      </c>
      <c r="F3163" s="2">
        <v>-49</v>
      </c>
      <c r="G3163" s="2">
        <v>82</v>
      </c>
      <c r="H3163" s="2">
        <v>1392</v>
      </c>
      <c r="I3163" s="2">
        <v>38</v>
      </c>
    </row>
    <row r="3164" spans="1:9" x14ac:dyDescent="0.3">
      <c r="A3164" t="s">
        <v>48</v>
      </c>
      <c r="B3164" s="1">
        <v>45566</v>
      </c>
      <c r="C3164" s="2">
        <v>3103</v>
      </c>
      <c r="D3164" s="2">
        <v>-144</v>
      </c>
      <c r="E3164" s="2">
        <v>1749</v>
      </c>
      <c r="F3164" s="2">
        <v>186</v>
      </c>
      <c r="G3164" s="2">
        <v>-246</v>
      </c>
      <c r="H3164" s="2">
        <v>1354</v>
      </c>
      <c r="I3164" s="2">
        <v>-330</v>
      </c>
    </row>
    <row r="3165" spans="1:9" x14ac:dyDescent="0.3">
      <c r="A3165" t="s">
        <v>48</v>
      </c>
      <c r="B3165" s="1">
        <v>45536</v>
      </c>
      <c r="C3165" s="2">
        <v>3460</v>
      </c>
      <c r="D3165" s="2">
        <v>-93</v>
      </c>
      <c r="E3165" s="2">
        <v>1776</v>
      </c>
      <c r="F3165" s="2">
        <v>-90</v>
      </c>
      <c r="G3165" s="2">
        <v>267</v>
      </c>
      <c r="H3165" s="2">
        <v>1684</v>
      </c>
      <c r="I3165" s="2">
        <v>-3</v>
      </c>
    </row>
    <row r="3166" spans="1:9" x14ac:dyDescent="0.3">
      <c r="A3166" t="s">
        <v>48</v>
      </c>
      <c r="B3166" s="1">
        <v>45505</v>
      </c>
      <c r="C3166" s="2">
        <v>3287</v>
      </c>
      <c r="D3166" s="2">
        <v>183</v>
      </c>
      <c r="E3166" s="2">
        <v>1600</v>
      </c>
      <c r="F3166" s="2">
        <v>18</v>
      </c>
      <c r="G3166" s="2">
        <v>51</v>
      </c>
      <c r="H3166" s="2">
        <v>1687</v>
      </c>
      <c r="I3166" s="2">
        <v>165</v>
      </c>
    </row>
    <row r="3167" spans="1:9" x14ac:dyDescent="0.3">
      <c r="A3167" t="s">
        <v>48</v>
      </c>
      <c r="B3167" s="1">
        <v>45474</v>
      </c>
      <c r="C3167" s="2">
        <v>3053</v>
      </c>
      <c r="D3167" s="2">
        <v>-45</v>
      </c>
      <c r="E3167" s="2">
        <v>1531</v>
      </c>
      <c r="F3167" s="2">
        <v>-15</v>
      </c>
      <c r="G3167" s="2">
        <v>-240</v>
      </c>
      <c r="H3167" s="2">
        <v>1522</v>
      </c>
      <c r="I3167" s="2">
        <v>-30</v>
      </c>
    </row>
    <row r="3168" spans="1:9" x14ac:dyDescent="0.3">
      <c r="A3168" t="s">
        <v>48</v>
      </c>
      <c r="B3168" s="1">
        <v>45444</v>
      </c>
      <c r="C3168" s="2">
        <v>3348</v>
      </c>
      <c r="D3168" s="2">
        <v>64</v>
      </c>
      <c r="E3168" s="2">
        <v>1796</v>
      </c>
      <c r="F3168" s="2">
        <v>20</v>
      </c>
      <c r="G3168" s="2">
        <v>305</v>
      </c>
      <c r="H3168" s="2">
        <v>1552</v>
      </c>
      <c r="I3168" s="2">
        <v>44</v>
      </c>
    </row>
    <row r="3169" spans="1:9" x14ac:dyDescent="0.3">
      <c r="A3169" t="s">
        <v>48</v>
      </c>
      <c r="B3169" s="1">
        <v>45413</v>
      </c>
      <c r="C3169" s="2">
        <v>2950</v>
      </c>
      <c r="D3169" s="2">
        <v>171</v>
      </c>
      <c r="E3169" s="2">
        <v>1442</v>
      </c>
      <c r="F3169" s="2">
        <v>-1</v>
      </c>
      <c r="G3169" s="2">
        <v>-4</v>
      </c>
      <c r="H3169" s="2">
        <v>1508</v>
      </c>
      <c r="I3169" s="2">
        <v>172</v>
      </c>
    </row>
    <row r="3170" spans="1:9" x14ac:dyDescent="0.3">
      <c r="A3170" t="s">
        <v>48</v>
      </c>
      <c r="B3170" s="1">
        <v>45383</v>
      </c>
      <c r="C3170" s="2">
        <v>2779</v>
      </c>
      <c r="D3170" s="2">
        <v>-33</v>
      </c>
      <c r="E3170" s="2">
        <v>1443</v>
      </c>
      <c r="F3170" s="2">
        <v>-6</v>
      </c>
      <c r="G3170" s="2">
        <v>-28</v>
      </c>
      <c r="H3170" s="2">
        <v>1336</v>
      </c>
      <c r="I3170" s="2">
        <v>-27</v>
      </c>
    </row>
    <row r="3171" spans="1:9" x14ac:dyDescent="0.3">
      <c r="A3171" t="s">
        <v>48</v>
      </c>
      <c r="B3171" s="1">
        <v>45352</v>
      </c>
      <c r="C3171" s="2">
        <v>2847</v>
      </c>
      <c r="D3171" s="2">
        <v>-254</v>
      </c>
      <c r="E3171" s="2">
        <v>1484</v>
      </c>
      <c r="F3171" s="2">
        <v>-24</v>
      </c>
      <c r="G3171" s="2">
        <v>19</v>
      </c>
      <c r="H3171" s="2">
        <v>1363</v>
      </c>
      <c r="I3171" s="2">
        <v>-230</v>
      </c>
    </row>
    <row r="3172" spans="1:9" x14ac:dyDescent="0.3">
      <c r="A3172" t="s">
        <v>48</v>
      </c>
      <c r="B3172" s="1">
        <v>45323</v>
      </c>
      <c r="C3172" s="2">
        <v>3088</v>
      </c>
      <c r="D3172" s="2">
        <v>81</v>
      </c>
      <c r="E3172" s="2">
        <v>1495</v>
      </c>
      <c r="F3172" s="2">
        <v>-34</v>
      </c>
      <c r="G3172" s="2">
        <v>-16</v>
      </c>
      <c r="H3172" s="2">
        <v>1593</v>
      </c>
      <c r="I3172" s="2">
        <v>115</v>
      </c>
    </row>
    <row r="3173" spans="1:9" x14ac:dyDescent="0.3">
      <c r="A3173" t="s">
        <v>48</v>
      </c>
      <c r="B3173" s="1">
        <v>45292</v>
      </c>
      <c r="C3173" s="2">
        <v>3029</v>
      </c>
      <c r="D3173" s="2">
        <v>-53</v>
      </c>
      <c r="E3173" s="2">
        <v>1551</v>
      </c>
      <c r="F3173" s="2">
        <v>-93</v>
      </c>
      <c r="G3173" s="2">
        <v>-3</v>
      </c>
      <c r="H3173" s="2">
        <v>1478</v>
      </c>
      <c r="I3173" s="2">
        <v>40</v>
      </c>
    </row>
    <row r="3174" spans="1:9" x14ac:dyDescent="0.3">
      <c r="A3174" t="s">
        <v>48</v>
      </c>
      <c r="B3174" s="1">
        <v>45261</v>
      </c>
      <c r="C3174" s="2">
        <v>3217</v>
      </c>
      <c r="D3174" s="2">
        <v>-51</v>
      </c>
      <c r="E3174" s="2">
        <v>1779</v>
      </c>
      <c r="F3174" s="2">
        <v>82</v>
      </c>
      <c r="G3174" s="2">
        <v>48</v>
      </c>
      <c r="H3174" s="2">
        <v>1438</v>
      </c>
      <c r="I3174" s="2">
        <v>-133</v>
      </c>
    </row>
    <row r="3175" spans="1:9" x14ac:dyDescent="0.3">
      <c r="A3175" t="s">
        <v>48</v>
      </c>
      <c r="B3175" s="1">
        <v>45231</v>
      </c>
      <c r="C3175" s="2">
        <v>3214</v>
      </c>
      <c r="D3175" s="2">
        <v>117</v>
      </c>
      <c r="E3175" s="2">
        <v>1643</v>
      </c>
      <c r="F3175" s="2">
        <v>156</v>
      </c>
      <c r="G3175" s="2">
        <v>25</v>
      </c>
      <c r="H3175" s="2">
        <v>1571</v>
      </c>
      <c r="I3175" s="2">
        <v>-39</v>
      </c>
    </row>
    <row r="3176" spans="1:9" x14ac:dyDescent="0.3">
      <c r="A3176" t="s">
        <v>48</v>
      </c>
      <c r="B3176" s="1">
        <v>45200</v>
      </c>
      <c r="C3176" s="2">
        <v>3071</v>
      </c>
      <c r="D3176" s="2">
        <v>37</v>
      </c>
      <c r="E3176" s="2">
        <v>1461</v>
      </c>
      <c r="F3176" s="2">
        <v>-43</v>
      </c>
      <c r="G3176" s="2">
        <v>-17</v>
      </c>
      <c r="H3176" s="2">
        <v>1610</v>
      </c>
      <c r="I3176" s="2">
        <v>80</v>
      </c>
    </row>
    <row r="3177" spans="1:9" x14ac:dyDescent="0.3">
      <c r="A3177" t="s">
        <v>48</v>
      </c>
      <c r="B3177" s="1">
        <v>45170</v>
      </c>
      <c r="C3177" s="2">
        <v>3045</v>
      </c>
      <c r="D3177" s="2">
        <v>-28</v>
      </c>
      <c r="E3177" s="2">
        <v>1515</v>
      </c>
      <c r="F3177" s="2">
        <v>31</v>
      </c>
      <c r="G3177" s="2">
        <v>-17</v>
      </c>
      <c r="H3177" s="2">
        <v>1530</v>
      </c>
      <c r="I3177" s="2">
        <v>-59</v>
      </c>
    </row>
    <row r="3178" spans="1:9" x14ac:dyDescent="0.3">
      <c r="A3178" t="s">
        <v>48</v>
      </c>
      <c r="B3178" s="1">
        <v>45139</v>
      </c>
      <c r="C3178" s="2">
        <v>3086</v>
      </c>
      <c r="D3178" s="2">
        <v>69</v>
      </c>
      <c r="E3178" s="2">
        <v>1497</v>
      </c>
      <c r="F3178" s="2">
        <v>22</v>
      </c>
      <c r="G3178" s="2">
        <v>-2</v>
      </c>
      <c r="H3178" s="2">
        <v>1589</v>
      </c>
      <c r="I3178" s="2">
        <v>47</v>
      </c>
    </row>
    <row r="3179" spans="1:9" x14ac:dyDescent="0.3">
      <c r="A3179" t="s">
        <v>48</v>
      </c>
      <c r="B3179" s="1">
        <v>45108</v>
      </c>
      <c r="C3179" s="2">
        <v>3016</v>
      </c>
      <c r="D3179" s="2">
        <v>16</v>
      </c>
      <c r="E3179" s="2">
        <v>1474</v>
      </c>
      <c r="F3179" s="2">
        <v>-54</v>
      </c>
      <c r="G3179" s="2">
        <v>-11</v>
      </c>
      <c r="H3179" s="2">
        <v>1542</v>
      </c>
      <c r="I3179" s="2">
        <v>70</v>
      </c>
    </row>
    <row r="3180" spans="1:9" x14ac:dyDescent="0.3">
      <c r="A3180" t="s">
        <v>48</v>
      </c>
      <c r="B3180" s="1">
        <v>45078</v>
      </c>
      <c r="C3180" s="2">
        <v>3005</v>
      </c>
      <c r="D3180" s="2">
        <v>321</v>
      </c>
      <c r="E3180" s="2">
        <v>1533</v>
      </c>
      <c r="F3180" s="2">
        <v>1</v>
      </c>
      <c r="G3180" s="2">
        <v>-7</v>
      </c>
      <c r="H3180" s="2">
        <v>1472</v>
      </c>
      <c r="I3180" s="2">
        <v>320</v>
      </c>
    </row>
    <row r="3181" spans="1:9" x14ac:dyDescent="0.3">
      <c r="A3181" t="s">
        <v>48</v>
      </c>
      <c r="B3181" s="1">
        <v>45047</v>
      </c>
      <c r="C3181" s="2">
        <v>2667</v>
      </c>
      <c r="D3181" s="2">
        <v>-364</v>
      </c>
      <c r="E3181" s="2">
        <v>1515</v>
      </c>
      <c r="F3181" s="2">
        <v>30</v>
      </c>
      <c r="G3181" s="2">
        <v>-11</v>
      </c>
      <c r="H3181" s="2">
        <v>1152</v>
      </c>
      <c r="I3181" s="2">
        <v>-394</v>
      </c>
    </row>
    <row r="3182" spans="1:9" x14ac:dyDescent="0.3">
      <c r="A3182" t="s">
        <v>48</v>
      </c>
      <c r="B3182" s="1">
        <v>45017</v>
      </c>
      <c r="C3182" s="2">
        <v>2976</v>
      </c>
      <c r="D3182" s="2">
        <v>229</v>
      </c>
      <c r="E3182" s="2">
        <v>1430</v>
      </c>
      <c r="F3182" s="2">
        <v>43</v>
      </c>
      <c r="G3182" s="2">
        <v>6</v>
      </c>
      <c r="H3182" s="2">
        <v>1546</v>
      </c>
      <c r="I3182" s="2">
        <v>186</v>
      </c>
    </row>
    <row r="3183" spans="1:9" x14ac:dyDescent="0.3">
      <c r="A3183" t="s">
        <v>48</v>
      </c>
      <c r="B3183" s="1">
        <v>44986</v>
      </c>
      <c r="C3183" s="2">
        <v>2766</v>
      </c>
      <c r="D3183" s="2">
        <v>175</v>
      </c>
      <c r="E3183" s="2">
        <v>1406</v>
      </c>
      <c r="F3183" s="2">
        <v>-108</v>
      </c>
      <c r="G3183" s="2">
        <v>18</v>
      </c>
      <c r="H3183" s="2">
        <v>1360</v>
      </c>
      <c r="I3183" s="2">
        <v>283</v>
      </c>
    </row>
    <row r="3184" spans="1:9" x14ac:dyDescent="0.3">
      <c r="A3184" t="s">
        <v>48</v>
      </c>
      <c r="B3184" s="1">
        <v>44958</v>
      </c>
      <c r="C3184" s="2">
        <v>2613</v>
      </c>
      <c r="D3184" s="2">
        <v>10</v>
      </c>
      <c r="E3184" s="2">
        <v>1536</v>
      </c>
      <c r="F3184" s="2">
        <v>141</v>
      </c>
      <c r="G3184" s="2">
        <v>-2</v>
      </c>
      <c r="H3184" s="2">
        <v>1077</v>
      </c>
      <c r="I3184" s="2">
        <v>-131</v>
      </c>
    </row>
    <row r="3185" spans="1:9" hidden="1" x14ac:dyDescent="0.3">
      <c r="A3185" t="s">
        <v>48</v>
      </c>
      <c r="B3185" s="1">
        <v>44927</v>
      </c>
      <c r="C3185" s="2">
        <v>2604</v>
      </c>
      <c r="D3185" s="2" t="s">
        <v>3</v>
      </c>
      <c r="E3185" s="2">
        <v>1396</v>
      </c>
      <c r="F3185" s="2" t="s">
        <v>3</v>
      </c>
      <c r="G3185" s="2" t="s">
        <v>3</v>
      </c>
      <c r="H3185" s="2">
        <v>1208</v>
      </c>
      <c r="I3185" s="2">
        <v>8</v>
      </c>
    </row>
    <row r="3186" spans="1:9" hidden="1" x14ac:dyDescent="0.3">
      <c r="A3186" t="s">
        <v>48</v>
      </c>
      <c r="B3186" s="1">
        <v>44896</v>
      </c>
      <c r="C3186" s="2">
        <v>2498</v>
      </c>
      <c r="D3186" s="2" t="s">
        <v>3</v>
      </c>
      <c r="E3186" s="2">
        <v>1298</v>
      </c>
      <c r="F3186" s="2" t="s">
        <v>3</v>
      </c>
      <c r="G3186" s="2" t="s">
        <v>3</v>
      </c>
      <c r="H3186" s="2">
        <v>1200</v>
      </c>
      <c r="I3186" s="2">
        <v>168</v>
      </c>
    </row>
    <row r="3187" spans="1:9" hidden="1" x14ac:dyDescent="0.3">
      <c r="A3187" t="s">
        <v>48</v>
      </c>
      <c r="B3187" s="1">
        <v>44866</v>
      </c>
      <c r="C3187" s="2">
        <v>2303</v>
      </c>
      <c r="D3187" s="2" t="s">
        <v>3</v>
      </c>
      <c r="E3187" s="2">
        <v>1271</v>
      </c>
      <c r="F3187" s="2" t="s">
        <v>3</v>
      </c>
      <c r="G3187" s="2" t="s">
        <v>3</v>
      </c>
      <c r="H3187" s="2">
        <v>1032</v>
      </c>
      <c r="I3187" s="2">
        <v>284</v>
      </c>
    </row>
    <row r="3188" spans="1:9" hidden="1" x14ac:dyDescent="0.3">
      <c r="A3188" t="s">
        <v>48</v>
      </c>
      <c r="B3188" s="1">
        <v>44835</v>
      </c>
      <c r="C3188" s="2">
        <v>1968</v>
      </c>
      <c r="D3188" s="2" t="s">
        <v>3</v>
      </c>
      <c r="E3188" s="2">
        <v>1220</v>
      </c>
      <c r="F3188" s="2" t="s">
        <v>3</v>
      </c>
      <c r="G3188" s="2" t="s">
        <v>3</v>
      </c>
      <c r="H3188" s="2">
        <v>748</v>
      </c>
      <c r="I3188" s="2">
        <v>-15</v>
      </c>
    </row>
    <row r="3189" spans="1:9" hidden="1" x14ac:dyDescent="0.3">
      <c r="A3189" t="s">
        <v>48</v>
      </c>
      <c r="B3189" s="1">
        <v>44805</v>
      </c>
      <c r="C3189" s="2">
        <v>1970</v>
      </c>
      <c r="D3189" s="2" t="s">
        <v>3</v>
      </c>
      <c r="E3189" s="2">
        <v>1207</v>
      </c>
      <c r="F3189" s="2" t="s">
        <v>3</v>
      </c>
      <c r="G3189" s="2" t="s">
        <v>3</v>
      </c>
      <c r="H3189" s="2">
        <v>763</v>
      </c>
      <c r="I3189" s="2">
        <v>157</v>
      </c>
    </row>
    <row r="3190" spans="1:9" hidden="1" x14ac:dyDescent="0.3">
      <c r="A3190" t="s">
        <v>48</v>
      </c>
      <c r="B3190" s="1">
        <v>44774</v>
      </c>
      <c r="C3190" s="2">
        <v>1801</v>
      </c>
      <c r="D3190" s="2" t="s">
        <v>3</v>
      </c>
      <c r="E3190" s="2">
        <v>1195</v>
      </c>
      <c r="F3190" s="2" t="s">
        <v>3</v>
      </c>
      <c r="G3190" s="2" t="s">
        <v>3</v>
      </c>
      <c r="H3190" s="2">
        <v>606</v>
      </c>
      <c r="I3190" s="2">
        <v>151</v>
      </c>
    </row>
    <row r="3191" spans="1:9" hidden="1" x14ac:dyDescent="0.3">
      <c r="A3191" t="s">
        <v>48</v>
      </c>
      <c r="B3191" s="1">
        <v>44743</v>
      </c>
      <c r="C3191" s="2">
        <v>1667</v>
      </c>
      <c r="D3191" s="2" t="s">
        <v>3</v>
      </c>
      <c r="E3191" s="2">
        <v>1212</v>
      </c>
      <c r="F3191" s="2" t="s">
        <v>3</v>
      </c>
      <c r="G3191" s="2" t="s">
        <v>3</v>
      </c>
      <c r="H3191" s="2">
        <v>455</v>
      </c>
      <c r="I3191" s="2">
        <v>18</v>
      </c>
    </row>
    <row r="3192" spans="1:9" hidden="1" x14ac:dyDescent="0.3">
      <c r="A3192" t="s">
        <v>48</v>
      </c>
      <c r="B3192" s="1">
        <v>44713</v>
      </c>
      <c r="C3192" s="2">
        <v>1586</v>
      </c>
      <c r="D3192" s="2" t="s">
        <v>3</v>
      </c>
      <c r="E3192" s="2">
        <v>1149</v>
      </c>
      <c r="F3192" s="2" t="s">
        <v>3</v>
      </c>
      <c r="G3192" s="2" t="s">
        <v>3</v>
      </c>
      <c r="H3192" s="2">
        <v>437</v>
      </c>
      <c r="I3192" s="2">
        <v>-34</v>
      </c>
    </row>
    <row r="3193" spans="1:9" hidden="1" x14ac:dyDescent="0.3">
      <c r="A3193" t="s">
        <v>48</v>
      </c>
      <c r="B3193" s="1">
        <v>44682</v>
      </c>
      <c r="C3193" s="2">
        <v>1584</v>
      </c>
      <c r="D3193" s="2" t="s">
        <v>3</v>
      </c>
      <c r="E3193" s="2">
        <v>1113</v>
      </c>
      <c r="F3193" s="2" t="s">
        <v>3</v>
      </c>
      <c r="G3193" s="2" t="s">
        <v>3</v>
      </c>
      <c r="H3193" s="2">
        <v>471</v>
      </c>
      <c r="I3193" s="2">
        <v>79</v>
      </c>
    </row>
    <row r="3194" spans="1:9" hidden="1" x14ac:dyDescent="0.3">
      <c r="A3194" t="s">
        <v>48</v>
      </c>
      <c r="B3194" s="1">
        <v>44652</v>
      </c>
      <c r="C3194" s="2">
        <v>1312</v>
      </c>
      <c r="D3194" s="2" t="s">
        <v>3</v>
      </c>
      <c r="E3194" s="2">
        <v>920</v>
      </c>
      <c r="F3194" s="2" t="s">
        <v>3</v>
      </c>
      <c r="G3194" s="2" t="s">
        <v>3</v>
      </c>
      <c r="H3194" s="2">
        <v>392</v>
      </c>
      <c r="I3194" s="2">
        <v>-51</v>
      </c>
    </row>
    <row r="3195" spans="1:9" hidden="1" x14ac:dyDescent="0.3">
      <c r="A3195" t="s">
        <v>48</v>
      </c>
      <c r="B3195" s="1">
        <v>44621</v>
      </c>
      <c r="C3195" s="2">
        <v>1395</v>
      </c>
      <c r="D3195" s="2" t="s">
        <v>3</v>
      </c>
      <c r="E3195" s="2">
        <v>952</v>
      </c>
      <c r="F3195" s="2" t="s">
        <v>3</v>
      </c>
      <c r="G3195" s="2" t="s">
        <v>3</v>
      </c>
      <c r="H3195" s="2">
        <v>443</v>
      </c>
      <c r="I3195" s="2">
        <v>95</v>
      </c>
    </row>
    <row r="3196" spans="1:9" hidden="1" x14ac:dyDescent="0.3">
      <c r="A3196" t="s">
        <v>48</v>
      </c>
      <c r="B3196" s="1">
        <v>44593</v>
      </c>
      <c r="C3196" s="2">
        <v>1318</v>
      </c>
      <c r="D3196" s="2" t="s">
        <v>3</v>
      </c>
      <c r="E3196" s="2">
        <v>970</v>
      </c>
      <c r="F3196" s="2" t="s">
        <v>3</v>
      </c>
      <c r="G3196" s="2" t="s">
        <v>3</v>
      </c>
      <c r="H3196" s="2">
        <v>348</v>
      </c>
      <c r="I3196" s="2">
        <v>-104</v>
      </c>
    </row>
    <row r="3197" spans="1:9" hidden="1" x14ac:dyDescent="0.3">
      <c r="A3197" t="s">
        <v>48</v>
      </c>
      <c r="B3197" s="1">
        <v>44562</v>
      </c>
      <c r="C3197" s="2">
        <v>1470</v>
      </c>
      <c r="D3197" s="2" t="s">
        <v>3</v>
      </c>
      <c r="E3197" s="2">
        <v>1018</v>
      </c>
      <c r="F3197" s="2" t="s">
        <v>3</v>
      </c>
      <c r="G3197" s="2" t="s">
        <v>3</v>
      </c>
      <c r="H3197" s="2">
        <v>452</v>
      </c>
      <c r="I3197" s="2">
        <v>-183</v>
      </c>
    </row>
    <row r="3198" spans="1:9" hidden="1" x14ac:dyDescent="0.3">
      <c r="A3198" t="s">
        <v>48</v>
      </c>
      <c r="B3198" s="1">
        <v>44531</v>
      </c>
      <c r="C3198" s="2">
        <v>1707</v>
      </c>
      <c r="D3198" s="2" t="s">
        <v>3</v>
      </c>
      <c r="E3198" s="2">
        <v>1072</v>
      </c>
      <c r="F3198" s="2" t="s">
        <v>3</v>
      </c>
      <c r="G3198" s="2" t="s">
        <v>3</v>
      </c>
      <c r="H3198" s="2">
        <v>635</v>
      </c>
      <c r="I3198" s="2">
        <v>227</v>
      </c>
    </row>
    <row r="3199" spans="1:9" hidden="1" x14ac:dyDescent="0.3">
      <c r="A3199" t="s">
        <v>48</v>
      </c>
      <c r="B3199" s="1">
        <v>44501</v>
      </c>
      <c r="C3199" s="2">
        <v>1546</v>
      </c>
      <c r="D3199" s="2" t="s">
        <v>3</v>
      </c>
      <c r="E3199" s="2">
        <v>1138</v>
      </c>
      <c r="F3199" s="2" t="s">
        <v>3</v>
      </c>
      <c r="G3199" s="2" t="s">
        <v>3</v>
      </c>
      <c r="H3199" s="2">
        <v>408</v>
      </c>
      <c r="I3199" s="2">
        <v>146</v>
      </c>
    </row>
    <row r="3200" spans="1:9" hidden="1" x14ac:dyDescent="0.3">
      <c r="A3200" t="s">
        <v>48</v>
      </c>
      <c r="B3200" s="1">
        <v>44470</v>
      </c>
      <c r="C3200" s="2">
        <v>1401</v>
      </c>
      <c r="D3200" s="2" t="s">
        <v>3</v>
      </c>
      <c r="E3200" s="2">
        <v>1139</v>
      </c>
      <c r="F3200" s="2" t="s">
        <v>3</v>
      </c>
      <c r="G3200" s="2" t="s">
        <v>3</v>
      </c>
      <c r="H3200" s="2">
        <v>262</v>
      </c>
      <c r="I3200" s="2">
        <v>65</v>
      </c>
    </row>
    <row r="3201" spans="1:9" hidden="1" x14ac:dyDescent="0.3">
      <c r="A3201" t="s">
        <v>48</v>
      </c>
      <c r="B3201" s="1">
        <v>44440</v>
      </c>
      <c r="C3201" s="2">
        <v>1365</v>
      </c>
      <c r="D3201" s="2" t="s">
        <v>3</v>
      </c>
      <c r="E3201" s="2">
        <v>1168</v>
      </c>
      <c r="F3201" s="2" t="s">
        <v>3</v>
      </c>
      <c r="G3201" s="2" t="s">
        <v>3</v>
      </c>
      <c r="H3201" s="2">
        <v>197</v>
      </c>
      <c r="I3201" s="2">
        <v>-77</v>
      </c>
    </row>
    <row r="3202" spans="1:9" hidden="1" x14ac:dyDescent="0.3">
      <c r="A3202" t="s">
        <v>48</v>
      </c>
      <c r="B3202" s="1">
        <v>44409</v>
      </c>
      <c r="C3202" s="2">
        <v>1403</v>
      </c>
      <c r="D3202" s="2" t="s">
        <v>3</v>
      </c>
      <c r="E3202" s="2">
        <v>1129</v>
      </c>
      <c r="F3202" s="2" t="s">
        <v>3</v>
      </c>
      <c r="G3202" s="2" t="s">
        <v>3</v>
      </c>
      <c r="H3202" s="2">
        <v>274</v>
      </c>
      <c r="I3202" s="2">
        <v>17</v>
      </c>
    </row>
    <row r="3203" spans="1:9" hidden="1" x14ac:dyDescent="0.3">
      <c r="A3203" t="s">
        <v>48</v>
      </c>
      <c r="B3203" s="1">
        <v>44378</v>
      </c>
      <c r="C3203" s="2">
        <v>1406</v>
      </c>
      <c r="D3203" s="2" t="s">
        <v>3</v>
      </c>
      <c r="E3203" s="2">
        <v>1149</v>
      </c>
      <c r="F3203" s="2" t="s">
        <v>3</v>
      </c>
      <c r="G3203" s="2" t="s">
        <v>3</v>
      </c>
      <c r="H3203" s="2">
        <v>257</v>
      </c>
      <c r="I3203" s="2">
        <v>-442</v>
      </c>
    </row>
    <row r="3204" spans="1:9" hidden="1" x14ac:dyDescent="0.3">
      <c r="A3204" t="s">
        <v>48</v>
      </c>
      <c r="B3204" s="1">
        <v>44348</v>
      </c>
      <c r="C3204" s="2">
        <v>1901</v>
      </c>
      <c r="D3204" s="2" t="s">
        <v>3</v>
      </c>
      <c r="E3204" s="2">
        <v>1202</v>
      </c>
      <c r="F3204" s="2" t="s">
        <v>3</v>
      </c>
      <c r="G3204" s="2" t="s">
        <v>3</v>
      </c>
      <c r="H3204" s="2">
        <v>699</v>
      </c>
      <c r="I3204" s="2">
        <v>146</v>
      </c>
    </row>
    <row r="3205" spans="1:9" hidden="1" x14ac:dyDescent="0.3">
      <c r="A3205" t="s">
        <v>48</v>
      </c>
      <c r="B3205" s="1">
        <v>44317</v>
      </c>
      <c r="C3205" s="2">
        <v>1730</v>
      </c>
      <c r="D3205" s="2" t="s">
        <v>3</v>
      </c>
      <c r="E3205" s="2">
        <v>1177</v>
      </c>
      <c r="F3205" s="2" t="s">
        <v>3</v>
      </c>
      <c r="G3205" s="2" t="s">
        <v>3</v>
      </c>
      <c r="H3205" s="2">
        <v>553</v>
      </c>
      <c r="I3205" s="2">
        <v>-54</v>
      </c>
    </row>
    <row r="3206" spans="1:9" hidden="1" x14ac:dyDescent="0.3">
      <c r="A3206" t="s">
        <v>48</v>
      </c>
      <c r="B3206" s="1">
        <v>44287</v>
      </c>
      <c r="C3206" s="2">
        <v>1833</v>
      </c>
      <c r="D3206" s="2" t="s">
        <v>3</v>
      </c>
      <c r="E3206" s="2">
        <v>1226</v>
      </c>
      <c r="F3206" s="2" t="s">
        <v>3</v>
      </c>
      <c r="G3206" s="2" t="s">
        <v>3</v>
      </c>
      <c r="H3206" s="2">
        <v>607</v>
      </c>
      <c r="I3206" s="2">
        <v>-249</v>
      </c>
    </row>
    <row r="3207" spans="1:9" hidden="1" x14ac:dyDescent="0.3">
      <c r="A3207" t="s">
        <v>48</v>
      </c>
      <c r="B3207" s="1">
        <v>44256</v>
      </c>
      <c r="C3207" s="2">
        <v>2009</v>
      </c>
      <c r="D3207" s="2" t="s">
        <v>3</v>
      </c>
      <c r="E3207" s="2">
        <v>1153</v>
      </c>
      <c r="F3207" s="2" t="s">
        <v>3</v>
      </c>
      <c r="G3207" s="2" t="s">
        <v>3</v>
      </c>
      <c r="H3207" s="2">
        <v>856</v>
      </c>
      <c r="I3207" s="2">
        <v>-24</v>
      </c>
    </row>
    <row r="3208" spans="1:9" hidden="1" x14ac:dyDescent="0.3">
      <c r="A3208" t="s">
        <v>48</v>
      </c>
      <c r="B3208" s="1">
        <v>44228</v>
      </c>
      <c r="C3208" s="2">
        <v>1940</v>
      </c>
      <c r="D3208" s="2" t="s">
        <v>3</v>
      </c>
      <c r="E3208" s="2">
        <v>1060</v>
      </c>
      <c r="F3208" s="2" t="s">
        <v>3</v>
      </c>
      <c r="G3208" s="2" t="s">
        <v>3</v>
      </c>
      <c r="H3208" s="2">
        <v>880</v>
      </c>
      <c r="I3208" s="2">
        <v>115</v>
      </c>
    </row>
    <row r="3209" spans="1:9" hidden="1" x14ac:dyDescent="0.3">
      <c r="A3209" t="s">
        <v>48</v>
      </c>
      <c r="B3209" s="1">
        <v>44197</v>
      </c>
      <c r="C3209" s="2">
        <v>1832</v>
      </c>
      <c r="D3209" s="2" t="s">
        <v>3</v>
      </c>
      <c r="E3209" s="2">
        <v>1067</v>
      </c>
      <c r="F3209" s="2" t="s">
        <v>3</v>
      </c>
      <c r="G3209" s="2" t="s">
        <v>3</v>
      </c>
      <c r="H3209" s="2">
        <v>765</v>
      </c>
      <c r="I3209" s="2">
        <v>-94</v>
      </c>
    </row>
    <row r="3210" spans="1:9" hidden="1" x14ac:dyDescent="0.3">
      <c r="A3210" t="s">
        <v>48</v>
      </c>
      <c r="B3210" s="1">
        <v>44166</v>
      </c>
      <c r="C3210" s="2">
        <v>2027</v>
      </c>
      <c r="D3210" s="2" t="s">
        <v>3</v>
      </c>
      <c r="E3210" s="2">
        <v>1168</v>
      </c>
      <c r="F3210" s="2" t="s">
        <v>3</v>
      </c>
      <c r="G3210" s="2" t="s">
        <v>3</v>
      </c>
      <c r="H3210" s="2">
        <v>859</v>
      </c>
      <c r="I3210" s="2">
        <v>132</v>
      </c>
    </row>
    <row r="3211" spans="1:9" hidden="1" x14ac:dyDescent="0.3">
      <c r="A3211" t="s">
        <v>48</v>
      </c>
      <c r="B3211" s="1">
        <v>44136</v>
      </c>
      <c r="C3211" s="2">
        <v>1698</v>
      </c>
      <c r="D3211" s="2" t="s">
        <v>3</v>
      </c>
      <c r="E3211" s="2">
        <v>971</v>
      </c>
      <c r="F3211" s="2" t="s">
        <v>3</v>
      </c>
      <c r="G3211" s="2" t="s">
        <v>3</v>
      </c>
      <c r="H3211" s="2">
        <v>727</v>
      </c>
      <c r="I3211" s="2">
        <v>62</v>
      </c>
    </row>
    <row r="3212" spans="1:9" hidden="1" x14ac:dyDescent="0.3">
      <c r="A3212" t="s">
        <v>48</v>
      </c>
      <c r="B3212" s="1">
        <v>44105</v>
      </c>
      <c r="C3212" s="2">
        <v>1602</v>
      </c>
      <c r="D3212" s="2" t="s">
        <v>3</v>
      </c>
      <c r="E3212" s="2">
        <v>937</v>
      </c>
      <c r="F3212" s="2" t="s">
        <v>3</v>
      </c>
      <c r="G3212" s="2" t="s">
        <v>3</v>
      </c>
      <c r="H3212" s="2">
        <v>665</v>
      </c>
      <c r="I3212" s="2">
        <v>14</v>
      </c>
    </row>
    <row r="3213" spans="1:9" hidden="1" x14ac:dyDescent="0.3">
      <c r="A3213" t="s">
        <v>48</v>
      </c>
      <c r="B3213" s="1">
        <v>44075</v>
      </c>
      <c r="C3213" s="2">
        <v>1603</v>
      </c>
      <c r="D3213" s="2" t="s">
        <v>3</v>
      </c>
      <c r="E3213" s="2">
        <v>952</v>
      </c>
      <c r="F3213" s="2" t="s">
        <v>3</v>
      </c>
      <c r="G3213" s="2" t="s">
        <v>3</v>
      </c>
      <c r="H3213" s="2">
        <v>651</v>
      </c>
      <c r="I3213" s="2">
        <v>-25</v>
      </c>
    </row>
    <row r="3214" spans="1:9" hidden="1" x14ac:dyDescent="0.3">
      <c r="A3214" t="s">
        <v>48</v>
      </c>
      <c r="B3214" s="1">
        <v>44044</v>
      </c>
      <c r="C3214" s="2">
        <v>1558</v>
      </c>
      <c r="D3214" s="2" t="s">
        <v>3</v>
      </c>
      <c r="E3214" s="2">
        <v>882</v>
      </c>
      <c r="F3214" s="2" t="s">
        <v>3</v>
      </c>
      <c r="G3214" s="2" t="s">
        <v>3</v>
      </c>
      <c r="H3214" s="2">
        <v>676</v>
      </c>
      <c r="I3214" s="2">
        <v>14</v>
      </c>
    </row>
    <row r="3215" spans="1:9" hidden="1" x14ac:dyDescent="0.3">
      <c r="A3215" t="s">
        <v>48</v>
      </c>
      <c r="B3215" s="1">
        <v>44013</v>
      </c>
      <c r="C3215" s="2">
        <v>1572</v>
      </c>
      <c r="D3215" s="2" t="s">
        <v>3</v>
      </c>
      <c r="E3215" s="2">
        <v>910</v>
      </c>
      <c r="F3215" s="2" t="s">
        <v>3</v>
      </c>
      <c r="G3215" s="2" t="s">
        <v>3</v>
      </c>
      <c r="H3215" s="2">
        <v>662</v>
      </c>
      <c r="I3215" s="2">
        <v>-131</v>
      </c>
    </row>
    <row r="3216" spans="1:9" hidden="1" x14ac:dyDescent="0.3">
      <c r="A3216" t="s">
        <v>48</v>
      </c>
      <c r="B3216" s="1">
        <v>43983</v>
      </c>
      <c r="C3216" s="2">
        <v>1691</v>
      </c>
      <c r="D3216" s="2" t="s">
        <v>3</v>
      </c>
      <c r="E3216" s="2">
        <v>898</v>
      </c>
      <c r="F3216" s="2" t="s">
        <v>3</v>
      </c>
      <c r="G3216" s="2" t="s">
        <v>3</v>
      </c>
      <c r="H3216" s="2">
        <v>793</v>
      </c>
      <c r="I3216" s="2">
        <v>61</v>
      </c>
    </row>
    <row r="3217" spans="1:9" hidden="1" x14ac:dyDescent="0.3">
      <c r="A3217" t="s">
        <v>48</v>
      </c>
      <c r="B3217" s="1">
        <v>43952</v>
      </c>
      <c r="C3217" s="2">
        <v>1631</v>
      </c>
      <c r="D3217" s="2" t="s">
        <v>3</v>
      </c>
      <c r="E3217" s="2">
        <v>899</v>
      </c>
      <c r="F3217" s="2" t="s">
        <v>3</v>
      </c>
      <c r="G3217" s="2" t="s">
        <v>3</v>
      </c>
      <c r="H3217" s="2">
        <v>732</v>
      </c>
      <c r="I3217" s="2">
        <v>-34</v>
      </c>
    </row>
    <row r="3218" spans="1:9" hidden="1" x14ac:dyDescent="0.3">
      <c r="A3218" t="s">
        <v>48</v>
      </c>
      <c r="B3218" s="1">
        <v>43922</v>
      </c>
      <c r="C3218" s="2">
        <v>1694</v>
      </c>
      <c r="D3218" s="2" t="s">
        <v>3</v>
      </c>
      <c r="E3218" s="2">
        <v>928</v>
      </c>
      <c r="F3218" s="2" t="s">
        <v>3</v>
      </c>
      <c r="G3218" s="2" t="s">
        <v>3</v>
      </c>
      <c r="H3218" s="2">
        <v>766</v>
      </c>
      <c r="I3218" s="2">
        <v>8</v>
      </c>
    </row>
    <row r="3219" spans="1:9" hidden="1" x14ac:dyDescent="0.3">
      <c r="A3219" t="s">
        <v>48</v>
      </c>
      <c r="B3219" s="1">
        <v>43891</v>
      </c>
      <c r="C3219" s="2">
        <v>1705</v>
      </c>
      <c r="D3219" s="2" t="s">
        <v>3</v>
      </c>
      <c r="E3219" s="2">
        <v>947</v>
      </c>
      <c r="F3219" s="2" t="s">
        <v>3</v>
      </c>
      <c r="G3219" s="2" t="s">
        <v>3</v>
      </c>
      <c r="H3219" s="2">
        <v>758</v>
      </c>
      <c r="I3219" s="2">
        <v>-39</v>
      </c>
    </row>
    <row r="3220" spans="1:9" hidden="1" x14ac:dyDescent="0.3">
      <c r="A3220" t="s">
        <v>48</v>
      </c>
      <c r="B3220" s="1">
        <v>43862</v>
      </c>
      <c r="C3220" s="2">
        <v>2142</v>
      </c>
      <c r="D3220" s="2" t="s">
        <v>3</v>
      </c>
      <c r="E3220" s="2">
        <v>1345</v>
      </c>
      <c r="F3220" s="2" t="s">
        <v>3</v>
      </c>
      <c r="G3220" s="2" t="s">
        <v>3</v>
      </c>
      <c r="H3220" s="2">
        <v>797</v>
      </c>
      <c r="I3220" s="2">
        <v>0</v>
      </c>
    </row>
    <row r="3221" spans="1:9" hidden="1" x14ac:dyDescent="0.3">
      <c r="A3221" t="s">
        <v>48</v>
      </c>
      <c r="B3221" s="1">
        <v>43831</v>
      </c>
      <c r="C3221" s="2">
        <v>2022</v>
      </c>
      <c r="D3221" s="2" t="s">
        <v>3</v>
      </c>
      <c r="E3221" s="2">
        <v>1225</v>
      </c>
      <c r="F3221" s="2" t="s">
        <v>3</v>
      </c>
      <c r="G3221" s="2" t="s">
        <v>3</v>
      </c>
      <c r="H3221" s="2">
        <v>797</v>
      </c>
      <c r="I3221" s="2">
        <v>-33</v>
      </c>
    </row>
    <row r="3222" spans="1:9" x14ac:dyDescent="0.3">
      <c r="A3222" t="s">
        <v>49</v>
      </c>
      <c r="B3222" s="1">
        <v>45931</v>
      </c>
      <c r="C3222" s="2" t="s">
        <v>3</v>
      </c>
      <c r="D3222" s="2" t="s">
        <v>3</v>
      </c>
      <c r="E3222" s="2">
        <v>148</v>
      </c>
      <c r="F3222" s="2">
        <v>7</v>
      </c>
      <c r="G3222" s="2">
        <v>-2</v>
      </c>
      <c r="H3222" s="2" t="s">
        <v>3</v>
      </c>
      <c r="I3222" s="2" t="s">
        <v>3</v>
      </c>
    </row>
    <row r="3223" spans="1:9" x14ac:dyDescent="0.3">
      <c r="A3223" t="s">
        <v>49</v>
      </c>
      <c r="B3223" s="1">
        <v>45901</v>
      </c>
      <c r="C3223" s="2" t="s">
        <v>3</v>
      </c>
      <c r="D3223" s="2" t="s">
        <v>3</v>
      </c>
      <c r="E3223" s="2">
        <v>144</v>
      </c>
      <c r="F3223" s="2">
        <v>0</v>
      </c>
      <c r="G3223" s="2">
        <v>1</v>
      </c>
      <c r="H3223" s="2" t="s">
        <v>3</v>
      </c>
      <c r="I3223" s="2" t="s">
        <v>3</v>
      </c>
    </row>
    <row r="3224" spans="1:9" x14ac:dyDescent="0.3">
      <c r="A3224" t="s">
        <v>49</v>
      </c>
      <c r="B3224" s="1">
        <v>45870</v>
      </c>
      <c r="C3224" s="2" t="s">
        <v>3</v>
      </c>
      <c r="D3224" s="2" t="s">
        <v>3</v>
      </c>
      <c r="E3224" s="2">
        <v>144</v>
      </c>
      <c r="F3224" s="2">
        <v>5</v>
      </c>
      <c r="G3224" s="2">
        <v>1</v>
      </c>
      <c r="H3224" s="2" t="s">
        <v>3</v>
      </c>
      <c r="I3224" s="2" t="s">
        <v>3</v>
      </c>
    </row>
    <row r="3225" spans="1:9" x14ac:dyDescent="0.3">
      <c r="A3225" t="s">
        <v>49</v>
      </c>
      <c r="B3225" s="1">
        <v>45839</v>
      </c>
      <c r="C3225" s="2" t="s">
        <v>3</v>
      </c>
      <c r="D3225" s="2" t="s">
        <v>3</v>
      </c>
      <c r="E3225" s="2">
        <v>138</v>
      </c>
      <c r="F3225" s="2">
        <v>10</v>
      </c>
      <c r="G3225" s="2">
        <v>-8</v>
      </c>
      <c r="H3225" s="2" t="s">
        <v>3</v>
      </c>
      <c r="I3225" s="2" t="s">
        <v>3</v>
      </c>
    </row>
    <row r="3226" spans="1:9" x14ac:dyDescent="0.3">
      <c r="A3226" t="s">
        <v>49</v>
      </c>
      <c r="B3226" s="1">
        <v>45809</v>
      </c>
      <c r="C3226" s="2" t="s">
        <v>3</v>
      </c>
      <c r="D3226" s="2" t="s">
        <v>3</v>
      </c>
      <c r="E3226" s="2">
        <v>136</v>
      </c>
      <c r="F3226" s="2">
        <v>4</v>
      </c>
      <c r="G3226" s="2">
        <v>-13</v>
      </c>
      <c r="H3226" s="2" t="s">
        <v>3</v>
      </c>
      <c r="I3226" s="2" t="s">
        <v>3</v>
      </c>
    </row>
    <row r="3227" spans="1:9" x14ac:dyDescent="0.3">
      <c r="A3227" t="s">
        <v>49</v>
      </c>
      <c r="B3227" s="1">
        <v>45778</v>
      </c>
      <c r="C3227" s="2" t="s">
        <v>3</v>
      </c>
      <c r="D3227" s="2" t="s">
        <v>3</v>
      </c>
      <c r="E3227" s="2">
        <v>196</v>
      </c>
      <c r="F3227" s="2">
        <v>14</v>
      </c>
      <c r="G3227" s="2">
        <v>-7</v>
      </c>
      <c r="H3227" s="2" t="s">
        <v>3</v>
      </c>
      <c r="I3227" s="2" t="s">
        <v>3</v>
      </c>
    </row>
    <row r="3228" spans="1:9" x14ac:dyDescent="0.3">
      <c r="A3228" t="s">
        <v>49</v>
      </c>
      <c r="B3228" s="1">
        <v>45748</v>
      </c>
      <c r="C3228" s="2" t="s">
        <v>3</v>
      </c>
      <c r="D3228" s="2" t="s">
        <v>3</v>
      </c>
      <c r="E3228" s="2">
        <v>138</v>
      </c>
      <c r="F3228" s="2">
        <v>7</v>
      </c>
      <c r="G3228" s="2">
        <v>-1</v>
      </c>
      <c r="H3228" s="2" t="s">
        <v>3</v>
      </c>
      <c r="I3228" s="2" t="s">
        <v>3</v>
      </c>
    </row>
    <row r="3229" spans="1:9" x14ac:dyDescent="0.3">
      <c r="A3229" t="s">
        <v>49</v>
      </c>
      <c r="B3229" s="1">
        <v>45717</v>
      </c>
      <c r="C3229" s="2" t="s">
        <v>3</v>
      </c>
      <c r="D3229" s="2" t="s">
        <v>3</v>
      </c>
      <c r="E3229" s="2">
        <v>150</v>
      </c>
      <c r="F3229" s="2">
        <v>11</v>
      </c>
      <c r="G3229" s="2">
        <v>-5</v>
      </c>
      <c r="H3229" s="2" t="s">
        <v>3</v>
      </c>
      <c r="I3229" s="2" t="s">
        <v>3</v>
      </c>
    </row>
    <row r="3230" spans="1:9" x14ac:dyDescent="0.3">
      <c r="A3230" t="s">
        <v>49</v>
      </c>
      <c r="B3230" s="1">
        <v>45689</v>
      </c>
      <c r="C3230" s="2" t="s">
        <v>3</v>
      </c>
      <c r="D3230" s="2" t="s">
        <v>3</v>
      </c>
      <c r="E3230" s="2">
        <v>126</v>
      </c>
      <c r="F3230" s="2">
        <v>3</v>
      </c>
      <c r="G3230" s="2">
        <v>0</v>
      </c>
      <c r="H3230" s="2" t="s">
        <v>3</v>
      </c>
      <c r="I3230" s="2" t="s">
        <v>3</v>
      </c>
    </row>
    <row r="3231" spans="1:9" x14ac:dyDescent="0.3">
      <c r="A3231" t="s">
        <v>49</v>
      </c>
      <c r="B3231" s="1">
        <v>45658</v>
      </c>
      <c r="C3231" s="2" t="s">
        <v>3</v>
      </c>
      <c r="D3231" s="2" t="s">
        <v>3</v>
      </c>
      <c r="E3231" s="2">
        <v>169</v>
      </c>
      <c r="F3231" s="2">
        <v>5</v>
      </c>
      <c r="G3231" s="2">
        <v>-2</v>
      </c>
      <c r="H3231" s="2" t="s">
        <v>3</v>
      </c>
      <c r="I3231" s="2" t="s">
        <v>3</v>
      </c>
    </row>
    <row r="3232" spans="1:9" x14ac:dyDescent="0.3">
      <c r="A3232" t="s">
        <v>49</v>
      </c>
      <c r="B3232" s="1">
        <v>45627</v>
      </c>
      <c r="C3232" s="2" t="s">
        <v>3</v>
      </c>
      <c r="D3232" s="2" t="s">
        <v>3</v>
      </c>
      <c r="E3232" s="2">
        <v>120</v>
      </c>
      <c r="F3232" s="2">
        <v>10</v>
      </c>
      <c r="G3232" s="2">
        <v>-17</v>
      </c>
      <c r="H3232" s="2" t="s">
        <v>3</v>
      </c>
      <c r="I3232" s="2" t="s">
        <v>3</v>
      </c>
    </row>
    <row r="3233" spans="1:9" x14ac:dyDescent="0.3">
      <c r="A3233" t="s">
        <v>49</v>
      </c>
      <c r="B3233" s="1">
        <v>45597</v>
      </c>
      <c r="C3233" s="2" t="s">
        <v>3</v>
      </c>
      <c r="D3233" s="2" t="s">
        <v>3</v>
      </c>
      <c r="E3233" s="2">
        <v>128</v>
      </c>
      <c r="F3233" s="2">
        <v>3</v>
      </c>
      <c r="G3233" s="2">
        <v>-2</v>
      </c>
      <c r="H3233" s="2" t="s">
        <v>3</v>
      </c>
      <c r="I3233" s="2" t="s">
        <v>3</v>
      </c>
    </row>
    <row r="3234" spans="1:9" x14ac:dyDescent="0.3">
      <c r="A3234" t="s">
        <v>49</v>
      </c>
      <c r="B3234" s="1">
        <v>45566</v>
      </c>
      <c r="C3234" s="2" t="s">
        <v>3</v>
      </c>
      <c r="D3234" s="2" t="s">
        <v>3</v>
      </c>
      <c r="E3234" s="2">
        <v>121</v>
      </c>
      <c r="F3234" s="2">
        <v>2</v>
      </c>
      <c r="G3234" s="2">
        <v>-2</v>
      </c>
      <c r="H3234" s="2" t="s">
        <v>3</v>
      </c>
      <c r="I3234" s="2" t="s">
        <v>3</v>
      </c>
    </row>
    <row r="3235" spans="1:9" x14ac:dyDescent="0.3">
      <c r="A3235" t="s">
        <v>49</v>
      </c>
      <c r="B3235" s="1">
        <v>45536</v>
      </c>
      <c r="C3235" s="2" t="s">
        <v>3</v>
      </c>
      <c r="D3235" s="2" t="s">
        <v>3</v>
      </c>
      <c r="E3235" s="2">
        <v>123</v>
      </c>
      <c r="F3235" s="2">
        <v>-12</v>
      </c>
      <c r="G3235" s="2">
        <v>1</v>
      </c>
      <c r="H3235" s="2" t="s">
        <v>3</v>
      </c>
      <c r="I3235" s="2" t="s">
        <v>3</v>
      </c>
    </row>
    <row r="3236" spans="1:9" x14ac:dyDescent="0.3">
      <c r="A3236" t="s">
        <v>49</v>
      </c>
      <c r="B3236" s="1">
        <v>45505</v>
      </c>
      <c r="C3236" s="2" t="s">
        <v>3</v>
      </c>
      <c r="D3236" s="2" t="s">
        <v>3</v>
      </c>
      <c r="E3236" s="2">
        <v>134</v>
      </c>
      <c r="F3236" s="2">
        <v>-3</v>
      </c>
      <c r="G3236" s="2">
        <v>4</v>
      </c>
      <c r="H3236" s="2" t="s">
        <v>3</v>
      </c>
      <c r="I3236" s="2" t="s">
        <v>3</v>
      </c>
    </row>
    <row r="3237" spans="1:9" x14ac:dyDescent="0.3">
      <c r="A3237" t="s">
        <v>49</v>
      </c>
      <c r="B3237" s="1">
        <v>45474</v>
      </c>
      <c r="C3237" s="2" t="s">
        <v>3</v>
      </c>
      <c r="D3237" s="2" t="s">
        <v>3</v>
      </c>
      <c r="E3237" s="2">
        <v>133</v>
      </c>
      <c r="F3237" s="2">
        <v>0</v>
      </c>
      <c r="G3237" s="2">
        <v>0</v>
      </c>
      <c r="H3237" s="2" t="s">
        <v>3</v>
      </c>
      <c r="I3237" s="2" t="s">
        <v>3</v>
      </c>
    </row>
    <row r="3238" spans="1:9" x14ac:dyDescent="0.3">
      <c r="A3238" t="s">
        <v>49</v>
      </c>
      <c r="B3238" s="1">
        <v>45444</v>
      </c>
      <c r="C3238" s="2" t="s">
        <v>3</v>
      </c>
      <c r="D3238" s="2" t="s">
        <v>3</v>
      </c>
      <c r="E3238" s="2">
        <v>157</v>
      </c>
      <c r="F3238" s="2">
        <v>12</v>
      </c>
      <c r="G3238" s="2">
        <v>-1</v>
      </c>
      <c r="H3238" s="2" t="s">
        <v>3</v>
      </c>
      <c r="I3238" s="2" t="s">
        <v>3</v>
      </c>
    </row>
    <row r="3239" spans="1:9" x14ac:dyDescent="0.3">
      <c r="A3239" t="s">
        <v>49</v>
      </c>
      <c r="B3239" s="1">
        <v>45413</v>
      </c>
      <c r="C3239" s="2" t="s">
        <v>3</v>
      </c>
      <c r="D3239" s="2" t="s">
        <v>3</v>
      </c>
      <c r="E3239" s="2">
        <v>86</v>
      </c>
      <c r="F3239" s="2">
        <v>-9</v>
      </c>
      <c r="G3239" s="2">
        <v>-1</v>
      </c>
      <c r="H3239" s="2" t="s">
        <v>3</v>
      </c>
      <c r="I3239" s="2" t="s">
        <v>3</v>
      </c>
    </row>
    <row r="3240" spans="1:9" x14ac:dyDescent="0.3">
      <c r="A3240" t="s">
        <v>49</v>
      </c>
      <c r="B3240" s="1">
        <v>45383</v>
      </c>
      <c r="C3240" s="2" t="s">
        <v>3</v>
      </c>
      <c r="D3240" s="2" t="s">
        <v>3</v>
      </c>
      <c r="E3240" s="2">
        <v>95</v>
      </c>
      <c r="F3240" s="2">
        <v>19</v>
      </c>
      <c r="G3240" s="2">
        <v>-1</v>
      </c>
      <c r="H3240" s="2" t="s">
        <v>3</v>
      </c>
      <c r="I3240" s="2" t="s">
        <v>3</v>
      </c>
    </row>
    <row r="3241" spans="1:9" x14ac:dyDescent="0.3">
      <c r="A3241" t="s">
        <v>49</v>
      </c>
      <c r="B3241" s="1">
        <v>45352</v>
      </c>
      <c r="C3241" s="2" t="s">
        <v>3</v>
      </c>
      <c r="D3241" s="2" t="s">
        <v>3</v>
      </c>
      <c r="E3241" s="2">
        <v>76</v>
      </c>
      <c r="F3241" s="2">
        <v>-1</v>
      </c>
      <c r="G3241" s="2">
        <v>-6</v>
      </c>
      <c r="H3241" s="2" t="s">
        <v>3</v>
      </c>
      <c r="I3241" s="2" t="s">
        <v>3</v>
      </c>
    </row>
    <row r="3242" spans="1:9" x14ac:dyDescent="0.3">
      <c r="A3242" t="s">
        <v>49</v>
      </c>
      <c r="B3242" s="1">
        <v>45323</v>
      </c>
      <c r="C3242" s="2" t="s">
        <v>3</v>
      </c>
      <c r="D3242" s="2" t="s">
        <v>3</v>
      </c>
      <c r="E3242" s="2">
        <v>82</v>
      </c>
      <c r="F3242" s="2">
        <v>0</v>
      </c>
      <c r="G3242" s="2">
        <v>-1</v>
      </c>
      <c r="H3242" s="2" t="s">
        <v>3</v>
      </c>
      <c r="I3242" s="2" t="s">
        <v>3</v>
      </c>
    </row>
    <row r="3243" spans="1:9" x14ac:dyDescent="0.3">
      <c r="A3243" t="s">
        <v>49</v>
      </c>
      <c r="B3243" s="1">
        <v>45292</v>
      </c>
      <c r="C3243" s="2" t="s">
        <v>3</v>
      </c>
      <c r="D3243" s="2" t="s">
        <v>3</v>
      </c>
      <c r="E3243" s="2">
        <v>84</v>
      </c>
      <c r="F3243" s="2">
        <v>1</v>
      </c>
      <c r="G3243" s="2">
        <v>-1</v>
      </c>
      <c r="H3243" s="2" t="s">
        <v>3</v>
      </c>
      <c r="I3243" s="2" t="s">
        <v>3</v>
      </c>
    </row>
    <row r="3244" spans="1:9" x14ac:dyDescent="0.3">
      <c r="A3244" t="s">
        <v>49</v>
      </c>
      <c r="B3244" s="1">
        <v>45261</v>
      </c>
      <c r="C3244" s="2" t="s">
        <v>3</v>
      </c>
      <c r="D3244" s="2" t="s">
        <v>3</v>
      </c>
      <c r="E3244" s="2">
        <v>85</v>
      </c>
      <c r="F3244" s="2">
        <v>1</v>
      </c>
      <c r="G3244" s="2">
        <v>-4</v>
      </c>
      <c r="H3244" s="2" t="s">
        <v>3</v>
      </c>
      <c r="I3244" s="2" t="s">
        <v>3</v>
      </c>
    </row>
    <row r="3245" spans="1:9" x14ac:dyDescent="0.3">
      <c r="A3245" t="s">
        <v>49</v>
      </c>
      <c r="B3245" s="1">
        <v>45231</v>
      </c>
      <c r="C3245" s="2" t="s">
        <v>3</v>
      </c>
      <c r="D3245" s="2" t="s">
        <v>3</v>
      </c>
      <c r="E3245" s="2">
        <v>87</v>
      </c>
      <c r="F3245" s="2">
        <v>1</v>
      </c>
      <c r="G3245" s="2">
        <v>-4</v>
      </c>
      <c r="H3245" s="2" t="s">
        <v>3</v>
      </c>
      <c r="I3245" s="2" t="s">
        <v>3</v>
      </c>
    </row>
    <row r="3246" spans="1:9" x14ac:dyDescent="0.3">
      <c r="A3246" t="s">
        <v>49</v>
      </c>
      <c r="B3246" s="1">
        <v>45200</v>
      </c>
      <c r="C3246" s="2" t="s">
        <v>3</v>
      </c>
      <c r="D3246" s="2" t="s">
        <v>3</v>
      </c>
      <c r="E3246" s="2">
        <v>90</v>
      </c>
      <c r="F3246" s="2">
        <v>0</v>
      </c>
      <c r="G3246" s="2">
        <v>-1</v>
      </c>
      <c r="H3246" s="2" t="s">
        <v>3</v>
      </c>
      <c r="I3246" s="2" t="s">
        <v>3</v>
      </c>
    </row>
    <row r="3247" spans="1:9" x14ac:dyDescent="0.3">
      <c r="A3247" t="s">
        <v>49</v>
      </c>
      <c r="B3247" s="1">
        <v>45170</v>
      </c>
      <c r="C3247" s="2" t="s">
        <v>3</v>
      </c>
      <c r="D3247" s="2" t="s">
        <v>3</v>
      </c>
      <c r="E3247" s="2">
        <v>115</v>
      </c>
      <c r="F3247" s="2">
        <v>0</v>
      </c>
      <c r="G3247" s="2">
        <v>0</v>
      </c>
      <c r="H3247" s="2" t="s">
        <v>3</v>
      </c>
      <c r="I3247" s="2" t="s">
        <v>3</v>
      </c>
    </row>
    <row r="3248" spans="1:9" x14ac:dyDescent="0.3">
      <c r="A3248" t="s">
        <v>49</v>
      </c>
      <c r="B3248" s="1">
        <v>45139</v>
      </c>
      <c r="C3248" s="2" t="s">
        <v>3</v>
      </c>
      <c r="D3248" s="2" t="s">
        <v>3</v>
      </c>
      <c r="E3248" s="2">
        <v>251</v>
      </c>
      <c r="F3248" s="2">
        <v>-2</v>
      </c>
      <c r="G3248" s="2">
        <v>-1</v>
      </c>
      <c r="H3248" s="2" t="s">
        <v>3</v>
      </c>
      <c r="I3248" s="2" t="s">
        <v>3</v>
      </c>
    </row>
    <row r="3249" spans="1:9" x14ac:dyDescent="0.3">
      <c r="A3249" t="s">
        <v>49</v>
      </c>
      <c r="B3249" s="1">
        <v>45108</v>
      </c>
      <c r="C3249" s="2" t="s">
        <v>3</v>
      </c>
      <c r="D3249" s="2" t="s">
        <v>3</v>
      </c>
      <c r="E3249" s="2">
        <v>122</v>
      </c>
      <c r="F3249" s="2">
        <v>2</v>
      </c>
      <c r="G3249" s="2">
        <v>0</v>
      </c>
      <c r="H3249" s="2" t="s">
        <v>3</v>
      </c>
      <c r="I3249" s="2" t="s">
        <v>3</v>
      </c>
    </row>
    <row r="3250" spans="1:9" x14ac:dyDescent="0.3">
      <c r="A3250" t="s">
        <v>49</v>
      </c>
      <c r="B3250" s="1">
        <v>45078</v>
      </c>
      <c r="C3250" s="2" t="s">
        <v>3</v>
      </c>
      <c r="D3250" s="2" t="s">
        <v>3</v>
      </c>
      <c r="E3250" s="2">
        <v>94</v>
      </c>
      <c r="F3250" s="2">
        <v>-1</v>
      </c>
      <c r="G3250" s="2">
        <v>0</v>
      </c>
      <c r="H3250" s="2" t="s">
        <v>3</v>
      </c>
      <c r="I3250" s="2" t="s">
        <v>3</v>
      </c>
    </row>
    <row r="3251" spans="1:9" x14ac:dyDescent="0.3">
      <c r="A3251" t="s">
        <v>49</v>
      </c>
      <c r="B3251" s="1">
        <v>45047</v>
      </c>
      <c r="C3251" s="2" t="s">
        <v>3</v>
      </c>
      <c r="D3251" s="2" t="s">
        <v>3</v>
      </c>
      <c r="E3251" s="2">
        <v>95</v>
      </c>
      <c r="F3251" s="2">
        <v>-4</v>
      </c>
      <c r="G3251" s="2">
        <v>1</v>
      </c>
      <c r="H3251" s="2" t="s">
        <v>3</v>
      </c>
      <c r="I3251" s="2" t="s">
        <v>3</v>
      </c>
    </row>
    <row r="3252" spans="1:9" x14ac:dyDescent="0.3">
      <c r="A3252" t="s">
        <v>49</v>
      </c>
      <c r="B3252" s="1">
        <v>45017</v>
      </c>
      <c r="C3252" s="2" t="s">
        <v>3</v>
      </c>
      <c r="D3252" s="2" t="s">
        <v>3</v>
      </c>
      <c r="E3252" s="2">
        <v>95</v>
      </c>
      <c r="F3252" s="2">
        <v>5</v>
      </c>
      <c r="G3252" s="2">
        <v>0</v>
      </c>
      <c r="H3252" s="2" t="s">
        <v>3</v>
      </c>
      <c r="I3252" s="2" t="s">
        <v>3</v>
      </c>
    </row>
    <row r="3253" spans="1:9" x14ac:dyDescent="0.3">
      <c r="A3253" t="s">
        <v>49</v>
      </c>
      <c r="B3253" s="1">
        <v>44986</v>
      </c>
      <c r="C3253" s="2" t="s">
        <v>3</v>
      </c>
      <c r="D3253" s="2" t="s">
        <v>3</v>
      </c>
      <c r="E3253" s="2">
        <v>93</v>
      </c>
      <c r="F3253" s="2">
        <v>0</v>
      </c>
      <c r="G3253" s="2">
        <v>0</v>
      </c>
      <c r="H3253" s="2" t="s">
        <v>3</v>
      </c>
      <c r="I3253" s="2" t="s">
        <v>3</v>
      </c>
    </row>
    <row r="3254" spans="1:9" x14ac:dyDescent="0.3">
      <c r="A3254" t="s">
        <v>49</v>
      </c>
      <c r="B3254" s="1">
        <v>44958</v>
      </c>
      <c r="C3254" s="2" t="s">
        <v>3</v>
      </c>
      <c r="D3254" s="2" t="s">
        <v>3</v>
      </c>
      <c r="E3254" s="2">
        <v>93</v>
      </c>
      <c r="F3254" s="2">
        <v>-19</v>
      </c>
      <c r="G3254" s="2">
        <v>6</v>
      </c>
      <c r="H3254" s="2" t="s">
        <v>3</v>
      </c>
      <c r="I3254" s="2" t="s">
        <v>3</v>
      </c>
    </row>
    <row r="3255" spans="1:9" hidden="1" x14ac:dyDescent="0.3">
      <c r="A3255" t="s">
        <v>49</v>
      </c>
      <c r="B3255" s="1">
        <v>44927</v>
      </c>
      <c r="C3255" s="2" t="s">
        <v>3</v>
      </c>
      <c r="D3255" s="2" t="s">
        <v>3</v>
      </c>
      <c r="E3255" s="2">
        <v>100</v>
      </c>
      <c r="F3255" s="2" t="s">
        <v>3</v>
      </c>
      <c r="G3255" s="2" t="s">
        <v>3</v>
      </c>
      <c r="H3255" s="2" t="s">
        <v>3</v>
      </c>
      <c r="I3255" s="2" t="s">
        <v>3</v>
      </c>
    </row>
    <row r="3256" spans="1:9" hidden="1" x14ac:dyDescent="0.3">
      <c r="A3256" t="s">
        <v>49</v>
      </c>
      <c r="B3256" s="1">
        <v>44896</v>
      </c>
      <c r="C3256" s="2" t="s">
        <v>3</v>
      </c>
      <c r="D3256" s="2" t="s">
        <v>3</v>
      </c>
      <c r="E3256" s="2">
        <v>126</v>
      </c>
      <c r="F3256" s="2" t="s">
        <v>3</v>
      </c>
      <c r="G3256" s="2" t="s">
        <v>3</v>
      </c>
      <c r="H3256" s="2" t="s">
        <v>3</v>
      </c>
      <c r="I3256" s="2" t="s">
        <v>3</v>
      </c>
    </row>
    <row r="3257" spans="1:9" hidden="1" x14ac:dyDescent="0.3">
      <c r="A3257" t="s">
        <v>49</v>
      </c>
      <c r="B3257" s="1">
        <v>44866</v>
      </c>
      <c r="C3257" s="2" t="s">
        <v>3</v>
      </c>
      <c r="D3257" s="2" t="s">
        <v>3</v>
      </c>
      <c r="E3257" s="2">
        <v>92</v>
      </c>
      <c r="F3257" s="2" t="s">
        <v>3</v>
      </c>
      <c r="G3257" s="2" t="s">
        <v>3</v>
      </c>
      <c r="H3257" s="2" t="s">
        <v>3</v>
      </c>
      <c r="I3257" s="2" t="s">
        <v>3</v>
      </c>
    </row>
    <row r="3258" spans="1:9" hidden="1" x14ac:dyDescent="0.3">
      <c r="A3258" t="s">
        <v>49</v>
      </c>
      <c r="B3258" s="1">
        <v>44835</v>
      </c>
      <c r="C3258" s="2" t="s">
        <v>3</v>
      </c>
      <c r="D3258" s="2" t="s">
        <v>3</v>
      </c>
      <c r="E3258" s="2">
        <v>89</v>
      </c>
      <c r="F3258" s="2" t="s">
        <v>3</v>
      </c>
      <c r="G3258" s="2" t="s">
        <v>3</v>
      </c>
      <c r="H3258" s="2" t="s">
        <v>3</v>
      </c>
      <c r="I3258" s="2" t="s">
        <v>3</v>
      </c>
    </row>
    <row r="3259" spans="1:9" hidden="1" x14ac:dyDescent="0.3">
      <c r="A3259" t="s">
        <v>49</v>
      </c>
      <c r="B3259" s="1">
        <v>44805</v>
      </c>
      <c r="C3259" s="2" t="s">
        <v>3</v>
      </c>
      <c r="D3259" s="2" t="s">
        <v>3</v>
      </c>
      <c r="E3259" s="2">
        <v>181</v>
      </c>
      <c r="F3259" s="2" t="s">
        <v>3</v>
      </c>
      <c r="G3259" s="2" t="s">
        <v>3</v>
      </c>
      <c r="H3259" s="2" t="s">
        <v>3</v>
      </c>
      <c r="I3259" s="2" t="s">
        <v>3</v>
      </c>
    </row>
    <row r="3260" spans="1:9" hidden="1" x14ac:dyDescent="0.3">
      <c r="A3260" t="s">
        <v>49</v>
      </c>
      <c r="B3260" s="1">
        <v>44774</v>
      </c>
      <c r="C3260" s="2" t="s">
        <v>3</v>
      </c>
      <c r="D3260" s="2" t="s">
        <v>3</v>
      </c>
      <c r="E3260" s="2">
        <v>88</v>
      </c>
      <c r="F3260" s="2" t="s">
        <v>3</v>
      </c>
      <c r="G3260" s="2" t="s">
        <v>3</v>
      </c>
      <c r="H3260" s="2" t="s">
        <v>3</v>
      </c>
      <c r="I3260" s="2" t="s">
        <v>3</v>
      </c>
    </row>
    <row r="3261" spans="1:9" hidden="1" x14ac:dyDescent="0.3">
      <c r="A3261" t="s">
        <v>49</v>
      </c>
      <c r="B3261" s="1">
        <v>44743</v>
      </c>
      <c r="C3261" s="2" t="s">
        <v>3</v>
      </c>
      <c r="D3261" s="2" t="s">
        <v>3</v>
      </c>
      <c r="E3261" s="2">
        <v>88</v>
      </c>
      <c r="F3261" s="2" t="s">
        <v>3</v>
      </c>
      <c r="G3261" s="2" t="s">
        <v>3</v>
      </c>
      <c r="H3261" s="2" t="s">
        <v>3</v>
      </c>
      <c r="I3261" s="2" t="s">
        <v>3</v>
      </c>
    </row>
    <row r="3262" spans="1:9" hidden="1" x14ac:dyDescent="0.3">
      <c r="A3262" t="s">
        <v>49</v>
      </c>
      <c r="B3262" s="1">
        <v>44713</v>
      </c>
      <c r="C3262" s="2" t="s">
        <v>3</v>
      </c>
      <c r="D3262" s="2" t="s">
        <v>3</v>
      </c>
      <c r="E3262" s="2">
        <v>88</v>
      </c>
      <c r="F3262" s="2" t="s">
        <v>3</v>
      </c>
      <c r="G3262" s="2" t="s">
        <v>3</v>
      </c>
      <c r="H3262" s="2" t="s">
        <v>3</v>
      </c>
      <c r="I3262" s="2" t="s">
        <v>3</v>
      </c>
    </row>
    <row r="3263" spans="1:9" hidden="1" x14ac:dyDescent="0.3">
      <c r="A3263" t="s">
        <v>49</v>
      </c>
      <c r="B3263" s="1">
        <v>44682</v>
      </c>
      <c r="C3263" s="2" t="s">
        <v>3</v>
      </c>
      <c r="D3263" s="2" t="s">
        <v>3</v>
      </c>
      <c r="E3263" s="2">
        <v>177</v>
      </c>
      <c r="F3263" s="2" t="s">
        <v>3</v>
      </c>
      <c r="G3263" s="2" t="s">
        <v>3</v>
      </c>
      <c r="H3263" s="2" t="s">
        <v>3</v>
      </c>
      <c r="I3263" s="2" t="s">
        <v>3</v>
      </c>
    </row>
    <row r="3264" spans="1:9" hidden="1" x14ac:dyDescent="0.3">
      <c r="A3264" t="s">
        <v>49</v>
      </c>
      <c r="B3264" s="1">
        <v>44652</v>
      </c>
      <c r="C3264" s="2" t="s">
        <v>3</v>
      </c>
      <c r="D3264" s="2" t="s">
        <v>3</v>
      </c>
      <c r="E3264" s="2">
        <v>87</v>
      </c>
      <c r="F3264" s="2" t="s">
        <v>3</v>
      </c>
      <c r="G3264" s="2" t="s">
        <v>3</v>
      </c>
      <c r="H3264" s="2" t="s">
        <v>3</v>
      </c>
      <c r="I3264" s="2" t="s">
        <v>3</v>
      </c>
    </row>
    <row r="3265" spans="1:9" hidden="1" x14ac:dyDescent="0.3">
      <c r="A3265" t="s">
        <v>49</v>
      </c>
      <c r="B3265" s="1">
        <v>44621</v>
      </c>
      <c r="C3265" s="2" t="s">
        <v>3</v>
      </c>
      <c r="D3265" s="2" t="s">
        <v>3</v>
      </c>
      <c r="E3265" s="2">
        <v>87</v>
      </c>
      <c r="F3265" s="2" t="s">
        <v>3</v>
      </c>
      <c r="G3265" s="2" t="s">
        <v>3</v>
      </c>
      <c r="H3265" s="2" t="s">
        <v>3</v>
      </c>
      <c r="I3265" s="2" t="s">
        <v>3</v>
      </c>
    </row>
    <row r="3266" spans="1:9" hidden="1" x14ac:dyDescent="0.3">
      <c r="A3266" t="s">
        <v>49</v>
      </c>
      <c r="B3266" s="1">
        <v>44593</v>
      </c>
      <c r="C3266" s="2" t="s">
        <v>3</v>
      </c>
      <c r="D3266" s="2" t="s">
        <v>3</v>
      </c>
      <c r="E3266" s="2">
        <v>227</v>
      </c>
      <c r="F3266" s="2" t="s">
        <v>3</v>
      </c>
      <c r="G3266" s="2" t="s">
        <v>3</v>
      </c>
      <c r="H3266" s="2" t="s">
        <v>3</v>
      </c>
      <c r="I3266" s="2" t="s">
        <v>3</v>
      </c>
    </row>
    <row r="3267" spans="1:9" hidden="1" x14ac:dyDescent="0.3">
      <c r="A3267" t="s">
        <v>49</v>
      </c>
      <c r="B3267" s="1">
        <v>44562</v>
      </c>
      <c r="C3267" s="2" t="s">
        <v>3</v>
      </c>
      <c r="D3267" s="2" t="s">
        <v>3</v>
      </c>
      <c r="E3267" s="2">
        <v>87</v>
      </c>
      <c r="F3267" s="2" t="s">
        <v>3</v>
      </c>
      <c r="G3267" s="2" t="s">
        <v>3</v>
      </c>
      <c r="H3267" s="2" t="s">
        <v>3</v>
      </c>
      <c r="I3267" s="2" t="s">
        <v>3</v>
      </c>
    </row>
    <row r="3268" spans="1:9" hidden="1" x14ac:dyDescent="0.3">
      <c r="A3268" t="s">
        <v>49</v>
      </c>
      <c r="B3268" s="1">
        <v>44531</v>
      </c>
      <c r="C3268" s="2" t="s">
        <v>3</v>
      </c>
      <c r="D3268" s="2" t="s">
        <v>3</v>
      </c>
      <c r="E3268" s="2">
        <v>134</v>
      </c>
      <c r="F3268" s="2" t="s">
        <v>3</v>
      </c>
      <c r="G3268" s="2" t="s">
        <v>3</v>
      </c>
      <c r="H3268" s="2" t="s">
        <v>3</v>
      </c>
      <c r="I3268" s="2" t="s">
        <v>3</v>
      </c>
    </row>
    <row r="3269" spans="1:9" hidden="1" x14ac:dyDescent="0.3">
      <c r="A3269" t="s">
        <v>49</v>
      </c>
      <c r="B3269" s="1">
        <v>44501</v>
      </c>
      <c r="C3269" s="2" t="s">
        <v>3</v>
      </c>
      <c r="D3269" s="2" t="s">
        <v>3</v>
      </c>
      <c r="E3269" s="2">
        <v>84</v>
      </c>
      <c r="F3269" s="2" t="s">
        <v>3</v>
      </c>
      <c r="G3269" s="2" t="s">
        <v>3</v>
      </c>
      <c r="H3269" s="2" t="s">
        <v>3</v>
      </c>
      <c r="I3269" s="2" t="s">
        <v>3</v>
      </c>
    </row>
    <row r="3270" spans="1:9" hidden="1" x14ac:dyDescent="0.3">
      <c r="A3270" t="s">
        <v>49</v>
      </c>
      <c r="B3270" s="1">
        <v>44470</v>
      </c>
      <c r="C3270" s="2" t="s">
        <v>3</v>
      </c>
      <c r="D3270" s="2" t="s">
        <v>3</v>
      </c>
      <c r="E3270" s="2">
        <v>49</v>
      </c>
      <c r="F3270" s="2" t="s">
        <v>3</v>
      </c>
      <c r="G3270" s="2" t="s">
        <v>3</v>
      </c>
      <c r="H3270" s="2" t="s">
        <v>3</v>
      </c>
      <c r="I3270" s="2" t="s">
        <v>3</v>
      </c>
    </row>
    <row r="3271" spans="1:9" hidden="1" x14ac:dyDescent="0.3">
      <c r="A3271" t="s">
        <v>49</v>
      </c>
      <c r="B3271" s="1">
        <v>44440</v>
      </c>
      <c r="C3271" s="2" t="s">
        <v>3</v>
      </c>
      <c r="D3271" s="2" t="s">
        <v>3</v>
      </c>
      <c r="E3271" s="2">
        <v>0</v>
      </c>
      <c r="F3271" s="2" t="s">
        <v>3</v>
      </c>
      <c r="G3271" s="2" t="s">
        <v>3</v>
      </c>
      <c r="H3271" s="2" t="s">
        <v>3</v>
      </c>
      <c r="I3271" s="2" t="s">
        <v>3</v>
      </c>
    </row>
    <row r="3272" spans="1:9" hidden="1" x14ac:dyDescent="0.3">
      <c r="A3272" t="s">
        <v>49</v>
      </c>
      <c r="B3272" s="1">
        <v>44409</v>
      </c>
      <c r="C3272" s="2" t="s">
        <v>3</v>
      </c>
      <c r="D3272" s="2" t="s">
        <v>3</v>
      </c>
      <c r="E3272" s="2">
        <v>14</v>
      </c>
      <c r="F3272" s="2" t="s">
        <v>3</v>
      </c>
      <c r="G3272" s="2" t="s">
        <v>3</v>
      </c>
      <c r="H3272" s="2" t="s">
        <v>3</v>
      </c>
      <c r="I3272" s="2" t="s">
        <v>3</v>
      </c>
    </row>
    <row r="3273" spans="1:9" hidden="1" x14ac:dyDescent="0.3">
      <c r="A3273" t="s">
        <v>49</v>
      </c>
      <c r="B3273" s="1">
        <v>44378</v>
      </c>
      <c r="C3273" s="2" t="s">
        <v>3</v>
      </c>
      <c r="D3273" s="2" t="s">
        <v>3</v>
      </c>
      <c r="E3273" s="2">
        <v>0</v>
      </c>
      <c r="F3273" s="2" t="s">
        <v>3</v>
      </c>
      <c r="G3273" s="2" t="s">
        <v>3</v>
      </c>
      <c r="H3273" s="2" t="s">
        <v>3</v>
      </c>
      <c r="I3273" s="2" t="s">
        <v>3</v>
      </c>
    </row>
    <row r="3274" spans="1:9" hidden="1" x14ac:dyDescent="0.3">
      <c r="A3274" t="s">
        <v>49</v>
      </c>
      <c r="B3274" s="1">
        <v>44348</v>
      </c>
      <c r="C3274" s="2" t="s">
        <v>3</v>
      </c>
      <c r="D3274" s="2" t="s">
        <v>3</v>
      </c>
      <c r="E3274" s="2">
        <v>77</v>
      </c>
      <c r="F3274" s="2" t="s">
        <v>3</v>
      </c>
      <c r="G3274" s="2" t="s">
        <v>3</v>
      </c>
      <c r="H3274" s="2" t="s">
        <v>3</v>
      </c>
      <c r="I3274" s="2" t="s">
        <v>3</v>
      </c>
    </row>
    <row r="3275" spans="1:9" hidden="1" x14ac:dyDescent="0.3">
      <c r="A3275" t="s">
        <v>49</v>
      </c>
      <c r="B3275" s="1">
        <v>44317</v>
      </c>
      <c r="C3275" s="2" t="s">
        <v>3</v>
      </c>
      <c r="D3275" s="2" t="s">
        <v>3</v>
      </c>
      <c r="E3275" s="2">
        <v>75</v>
      </c>
      <c r="F3275" s="2" t="s">
        <v>3</v>
      </c>
      <c r="G3275" s="2" t="s">
        <v>3</v>
      </c>
      <c r="H3275" s="2" t="s">
        <v>3</v>
      </c>
      <c r="I3275" s="2" t="s">
        <v>3</v>
      </c>
    </row>
    <row r="3276" spans="1:9" hidden="1" x14ac:dyDescent="0.3">
      <c r="A3276" t="s">
        <v>49</v>
      </c>
      <c r="B3276" s="1">
        <v>44287</v>
      </c>
      <c r="C3276" s="2" t="s">
        <v>3</v>
      </c>
      <c r="D3276" s="2" t="s">
        <v>3</v>
      </c>
      <c r="E3276" s="2">
        <v>75</v>
      </c>
      <c r="F3276" s="2" t="s">
        <v>3</v>
      </c>
      <c r="G3276" s="2" t="s">
        <v>3</v>
      </c>
      <c r="H3276" s="2" t="s">
        <v>3</v>
      </c>
      <c r="I3276" s="2" t="s">
        <v>3</v>
      </c>
    </row>
    <row r="3277" spans="1:9" hidden="1" x14ac:dyDescent="0.3">
      <c r="A3277" t="s">
        <v>49</v>
      </c>
      <c r="B3277" s="1">
        <v>44256</v>
      </c>
      <c r="C3277" s="2" t="s">
        <v>3</v>
      </c>
      <c r="D3277" s="2" t="s">
        <v>3</v>
      </c>
      <c r="E3277" s="2">
        <v>70</v>
      </c>
      <c r="F3277" s="2" t="s">
        <v>3</v>
      </c>
      <c r="G3277" s="2" t="s">
        <v>3</v>
      </c>
      <c r="H3277" s="2" t="s">
        <v>3</v>
      </c>
      <c r="I3277" s="2" t="s">
        <v>3</v>
      </c>
    </row>
    <row r="3278" spans="1:9" hidden="1" x14ac:dyDescent="0.3">
      <c r="A3278" t="s">
        <v>49</v>
      </c>
      <c r="B3278" s="1">
        <v>44228</v>
      </c>
      <c r="C3278" s="2" t="s">
        <v>3</v>
      </c>
      <c r="D3278" s="2" t="s">
        <v>3</v>
      </c>
      <c r="E3278" s="2">
        <v>69</v>
      </c>
      <c r="F3278" s="2" t="s">
        <v>3</v>
      </c>
      <c r="G3278" s="2" t="s">
        <v>3</v>
      </c>
      <c r="H3278" s="2" t="s">
        <v>3</v>
      </c>
      <c r="I3278" s="2" t="s">
        <v>3</v>
      </c>
    </row>
    <row r="3279" spans="1:9" hidden="1" x14ac:dyDescent="0.3">
      <c r="A3279" t="s">
        <v>49</v>
      </c>
      <c r="B3279" s="1">
        <v>44197</v>
      </c>
      <c r="C3279" s="2" t="s">
        <v>3</v>
      </c>
      <c r="D3279" s="2" t="s">
        <v>3</v>
      </c>
      <c r="E3279" s="2">
        <v>70</v>
      </c>
      <c r="F3279" s="2" t="s">
        <v>3</v>
      </c>
      <c r="G3279" s="2" t="s">
        <v>3</v>
      </c>
      <c r="H3279" s="2" t="s">
        <v>3</v>
      </c>
      <c r="I3279" s="2" t="s">
        <v>3</v>
      </c>
    </row>
    <row r="3280" spans="1:9" hidden="1" x14ac:dyDescent="0.3">
      <c r="A3280" t="s">
        <v>49</v>
      </c>
      <c r="B3280" s="1">
        <v>44166</v>
      </c>
      <c r="C3280" s="2" t="s">
        <v>3</v>
      </c>
      <c r="D3280" s="2" t="s">
        <v>3</v>
      </c>
      <c r="E3280" s="2">
        <v>69</v>
      </c>
      <c r="F3280" s="2" t="s">
        <v>3</v>
      </c>
      <c r="G3280" s="2" t="s">
        <v>3</v>
      </c>
      <c r="H3280" s="2" t="s">
        <v>3</v>
      </c>
      <c r="I3280" s="2" t="s">
        <v>3</v>
      </c>
    </row>
    <row r="3281" spans="1:9" hidden="1" x14ac:dyDescent="0.3">
      <c r="A3281" t="s">
        <v>49</v>
      </c>
      <c r="B3281" s="1">
        <v>44136</v>
      </c>
      <c r="C3281" s="2" t="s">
        <v>3</v>
      </c>
      <c r="D3281" s="2" t="s">
        <v>3</v>
      </c>
      <c r="E3281" s="2">
        <v>69</v>
      </c>
      <c r="F3281" s="2" t="s">
        <v>3</v>
      </c>
      <c r="G3281" s="2" t="s">
        <v>3</v>
      </c>
      <c r="H3281" s="2" t="s">
        <v>3</v>
      </c>
      <c r="I3281" s="2" t="s">
        <v>3</v>
      </c>
    </row>
    <row r="3282" spans="1:9" hidden="1" x14ac:dyDescent="0.3">
      <c r="A3282" t="s">
        <v>49</v>
      </c>
      <c r="B3282" s="1">
        <v>44105</v>
      </c>
      <c r="C3282" s="2" t="s">
        <v>3</v>
      </c>
      <c r="D3282" s="2" t="s">
        <v>3</v>
      </c>
      <c r="E3282" s="2">
        <v>79</v>
      </c>
      <c r="F3282" s="2" t="s">
        <v>3</v>
      </c>
      <c r="G3282" s="2" t="s">
        <v>3</v>
      </c>
      <c r="H3282" s="2" t="s">
        <v>3</v>
      </c>
      <c r="I3282" s="2" t="s">
        <v>3</v>
      </c>
    </row>
    <row r="3283" spans="1:9" hidden="1" x14ac:dyDescent="0.3">
      <c r="A3283" t="s">
        <v>49</v>
      </c>
      <c r="B3283" s="1">
        <v>44075</v>
      </c>
      <c r="C3283" s="2" t="s">
        <v>3</v>
      </c>
      <c r="D3283" s="2" t="s">
        <v>3</v>
      </c>
      <c r="E3283" s="2">
        <v>84</v>
      </c>
      <c r="F3283" s="2" t="s">
        <v>3</v>
      </c>
      <c r="G3283" s="2" t="s">
        <v>3</v>
      </c>
      <c r="H3283" s="2" t="s">
        <v>3</v>
      </c>
      <c r="I3283" s="2" t="s">
        <v>3</v>
      </c>
    </row>
    <row r="3284" spans="1:9" hidden="1" x14ac:dyDescent="0.3">
      <c r="A3284" t="s">
        <v>49</v>
      </c>
      <c r="B3284" s="1">
        <v>44044</v>
      </c>
      <c r="C3284" s="2" t="s">
        <v>3</v>
      </c>
      <c r="D3284" s="2" t="s">
        <v>3</v>
      </c>
      <c r="E3284" s="2">
        <v>85</v>
      </c>
      <c r="F3284" s="2" t="s">
        <v>3</v>
      </c>
      <c r="G3284" s="2" t="s">
        <v>3</v>
      </c>
      <c r="H3284" s="2" t="s">
        <v>3</v>
      </c>
      <c r="I3284" s="2" t="s">
        <v>3</v>
      </c>
    </row>
    <row r="3285" spans="1:9" hidden="1" x14ac:dyDescent="0.3">
      <c r="A3285" t="s">
        <v>49</v>
      </c>
      <c r="B3285" s="1">
        <v>44013</v>
      </c>
      <c r="C3285" s="2" t="s">
        <v>3</v>
      </c>
      <c r="D3285" s="2" t="s">
        <v>3</v>
      </c>
      <c r="E3285" s="2">
        <v>85</v>
      </c>
      <c r="F3285" s="2" t="s">
        <v>3</v>
      </c>
      <c r="G3285" s="2" t="s">
        <v>3</v>
      </c>
      <c r="H3285" s="2" t="s">
        <v>3</v>
      </c>
      <c r="I3285" s="2" t="s">
        <v>3</v>
      </c>
    </row>
    <row r="3286" spans="1:9" hidden="1" x14ac:dyDescent="0.3">
      <c r="A3286" t="s">
        <v>49</v>
      </c>
      <c r="B3286" s="1">
        <v>43983</v>
      </c>
      <c r="C3286" s="2" t="s">
        <v>3</v>
      </c>
      <c r="D3286" s="2" t="s">
        <v>3</v>
      </c>
      <c r="E3286" s="2">
        <v>85</v>
      </c>
      <c r="F3286" s="2" t="s">
        <v>3</v>
      </c>
      <c r="G3286" s="2" t="s">
        <v>3</v>
      </c>
      <c r="H3286" s="2" t="s">
        <v>3</v>
      </c>
      <c r="I3286" s="2" t="s">
        <v>3</v>
      </c>
    </row>
    <row r="3287" spans="1:9" hidden="1" x14ac:dyDescent="0.3">
      <c r="A3287" t="s">
        <v>49</v>
      </c>
      <c r="B3287" s="1">
        <v>43952</v>
      </c>
      <c r="C3287" s="2" t="s">
        <v>3</v>
      </c>
      <c r="D3287" s="2" t="s">
        <v>3</v>
      </c>
      <c r="E3287" s="2">
        <v>85</v>
      </c>
      <c r="F3287" s="2" t="s">
        <v>3</v>
      </c>
      <c r="G3287" s="2" t="s">
        <v>3</v>
      </c>
      <c r="H3287" s="2" t="s">
        <v>3</v>
      </c>
      <c r="I3287" s="2" t="s">
        <v>3</v>
      </c>
    </row>
    <row r="3288" spans="1:9" hidden="1" x14ac:dyDescent="0.3">
      <c r="A3288" t="s">
        <v>49</v>
      </c>
      <c r="B3288" s="1">
        <v>43922</v>
      </c>
      <c r="C3288" s="2" t="s">
        <v>3</v>
      </c>
      <c r="D3288" s="2" t="s">
        <v>3</v>
      </c>
      <c r="E3288" s="2">
        <v>82</v>
      </c>
      <c r="F3288" s="2" t="s">
        <v>3</v>
      </c>
      <c r="G3288" s="2" t="s">
        <v>3</v>
      </c>
      <c r="H3288" s="2" t="s">
        <v>3</v>
      </c>
      <c r="I3288" s="2" t="s">
        <v>3</v>
      </c>
    </row>
    <row r="3289" spans="1:9" hidden="1" x14ac:dyDescent="0.3">
      <c r="A3289" t="s">
        <v>49</v>
      </c>
      <c r="B3289" s="1">
        <v>43891</v>
      </c>
      <c r="C3289" s="2" t="s">
        <v>3</v>
      </c>
      <c r="D3289" s="2" t="s">
        <v>3</v>
      </c>
      <c r="E3289" s="2">
        <v>81</v>
      </c>
      <c r="F3289" s="2" t="s">
        <v>3</v>
      </c>
      <c r="G3289" s="2" t="s">
        <v>3</v>
      </c>
      <c r="H3289" s="2" t="s">
        <v>3</v>
      </c>
      <c r="I3289" s="2" t="s">
        <v>3</v>
      </c>
    </row>
    <row r="3290" spans="1:9" hidden="1" x14ac:dyDescent="0.3">
      <c r="A3290" t="s">
        <v>49</v>
      </c>
      <c r="B3290" s="1">
        <v>43862</v>
      </c>
      <c r="C3290" s="2" t="s">
        <v>3</v>
      </c>
      <c r="D3290" s="2" t="s">
        <v>3</v>
      </c>
      <c r="E3290" s="2">
        <v>82</v>
      </c>
      <c r="F3290" s="2" t="s">
        <v>3</v>
      </c>
      <c r="G3290" s="2" t="s">
        <v>3</v>
      </c>
      <c r="H3290" s="2" t="s">
        <v>3</v>
      </c>
      <c r="I3290" s="2" t="s">
        <v>3</v>
      </c>
    </row>
    <row r="3291" spans="1:9" hidden="1" x14ac:dyDescent="0.3">
      <c r="A3291" t="s">
        <v>49</v>
      </c>
      <c r="B3291" s="1">
        <v>43831</v>
      </c>
      <c r="C3291" s="2" t="s">
        <v>3</v>
      </c>
      <c r="D3291" s="2" t="s">
        <v>3</v>
      </c>
      <c r="E3291" s="2">
        <v>79</v>
      </c>
      <c r="F3291" s="2" t="s">
        <v>3</v>
      </c>
      <c r="G3291" s="2" t="s">
        <v>3</v>
      </c>
      <c r="H3291" s="2" t="s">
        <v>3</v>
      </c>
      <c r="I3291" s="2" t="s">
        <v>3</v>
      </c>
    </row>
    <row r="3292" spans="1:9" x14ac:dyDescent="0.3">
      <c r="A3292" t="s">
        <v>50</v>
      </c>
      <c r="B3292" s="1">
        <v>45931</v>
      </c>
      <c r="C3292" s="2">
        <v>1733</v>
      </c>
      <c r="D3292" s="2">
        <v>-123</v>
      </c>
      <c r="E3292" s="2">
        <v>1130</v>
      </c>
      <c r="F3292" s="2">
        <v>-31</v>
      </c>
      <c r="G3292" s="2">
        <v>1</v>
      </c>
      <c r="H3292" s="2">
        <v>603</v>
      </c>
      <c r="I3292" s="2">
        <v>-92</v>
      </c>
    </row>
    <row r="3293" spans="1:9" x14ac:dyDescent="0.3">
      <c r="A3293" t="s">
        <v>50</v>
      </c>
      <c r="B3293" s="1">
        <v>45901</v>
      </c>
      <c r="C3293" s="2">
        <v>1848</v>
      </c>
      <c r="D3293" s="2">
        <v>41</v>
      </c>
      <c r="E3293" s="2">
        <v>1153</v>
      </c>
      <c r="F3293" s="2">
        <v>16</v>
      </c>
      <c r="G3293" s="2">
        <v>2</v>
      </c>
      <c r="H3293" s="2">
        <v>695</v>
      </c>
      <c r="I3293" s="2">
        <v>25</v>
      </c>
    </row>
    <row r="3294" spans="1:9" x14ac:dyDescent="0.3">
      <c r="A3294" t="s">
        <v>50</v>
      </c>
      <c r="B3294" s="1">
        <v>45870</v>
      </c>
      <c r="C3294" s="2">
        <v>1808</v>
      </c>
      <c r="D3294" s="2">
        <v>35</v>
      </c>
      <c r="E3294" s="2">
        <v>1138</v>
      </c>
      <c r="F3294" s="2">
        <v>12</v>
      </c>
      <c r="G3294" s="2">
        <v>7</v>
      </c>
      <c r="H3294" s="2">
        <v>670</v>
      </c>
      <c r="I3294" s="2">
        <v>23</v>
      </c>
    </row>
    <row r="3295" spans="1:9" x14ac:dyDescent="0.3">
      <c r="A3295" t="s">
        <v>50</v>
      </c>
      <c r="B3295" s="1">
        <v>45839</v>
      </c>
      <c r="C3295" s="2">
        <v>1779</v>
      </c>
      <c r="D3295" s="2">
        <v>109</v>
      </c>
      <c r="E3295" s="2">
        <v>1132</v>
      </c>
      <c r="F3295" s="2">
        <v>-18</v>
      </c>
      <c r="G3295" s="2">
        <v>5</v>
      </c>
      <c r="H3295" s="2">
        <v>647</v>
      </c>
      <c r="I3295" s="2">
        <v>127</v>
      </c>
    </row>
    <row r="3296" spans="1:9" x14ac:dyDescent="0.3">
      <c r="A3296" t="s">
        <v>50</v>
      </c>
      <c r="B3296" s="1">
        <v>45809</v>
      </c>
      <c r="C3296" s="2">
        <v>1673</v>
      </c>
      <c r="D3296" s="2">
        <v>50</v>
      </c>
      <c r="E3296" s="2">
        <v>1153</v>
      </c>
      <c r="F3296" s="2">
        <v>65</v>
      </c>
      <c r="G3296" s="2">
        <v>9</v>
      </c>
      <c r="H3296" s="2">
        <v>520</v>
      </c>
      <c r="I3296" s="2">
        <v>-15</v>
      </c>
    </row>
    <row r="3297" spans="1:9" x14ac:dyDescent="0.3">
      <c r="A3297" t="s">
        <v>50</v>
      </c>
      <c r="B3297" s="1">
        <v>45778</v>
      </c>
      <c r="C3297" s="2">
        <v>1598</v>
      </c>
      <c r="D3297" s="2">
        <v>143</v>
      </c>
      <c r="E3297" s="2">
        <v>1063</v>
      </c>
      <c r="F3297" s="2">
        <v>29</v>
      </c>
      <c r="G3297" s="2">
        <v>-5</v>
      </c>
      <c r="H3297" s="2">
        <v>535</v>
      </c>
      <c r="I3297" s="2">
        <v>114</v>
      </c>
    </row>
    <row r="3298" spans="1:9" x14ac:dyDescent="0.3">
      <c r="A3298" t="s">
        <v>50</v>
      </c>
      <c r="B3298" s="1">
        <v>45748</v>
      </c>
      <c r="C3298" s="2">
        <v>1462</v>
      </c>
      <c r="D3298" s="2">
        <v>29</v>
      </c>
      <c r="E3298" s="2">
        <v>1041</v>
      </c>
      <c r="F3298" s="2">
        <v>15</v>
      </c>
      <c r="G3298" s="2">
        <v>5</v>
      </c>
      <c r="H3298" s="2">
        <v>421</v>
      </c>
      <c r="I3298" s="2">
        <v>14</v>
      </c>
    </row>
    <row r="3299" spans="1:9" x14ac:dyDescent="0.3">
      <c r="A3299" t="s">
        <v>50</v>
      </c>
      <c r="B3299" s="1">
        <v>45717</v>
      </c>
      <c r="C3299" s="2">
        <v>1406</v>
      </c>
      <c r="D3299" s="2">
        <v>-104</v>
      </c>
      <c r="E3299" s="2">
        <v>999</v>
      </c>
      <c r="F3299" s="2">
        <v>-6</v>
      </c>
      <c r="G3299" s="2">
        <v>-19</v>
      </c>
      <c r="H3299" s="2">
        <v>407</v>
      </c>
      <c r="I3299" s="2">
        <v>-98</v>
      </c>
    </row>
    <row r="3300" spans="1:9" x14ac:dyDescent="0.3">
      <c r="A3300" t="s">
        <v>50</v>
      </c>
      <c r="B3300" s="1">
        <v>45689</v>
      </c>
      <c r="C3300" s="2">
        <v>1543</v>
      </c>
      <c r="D3300" s="2">
        <v>45</v>
      </c>
      <c r="E3300" s="2">
        <v>1038</v>
      </c>
      <c r="F3300" s="2">
        <v>14</v>
      </c>
      <c r="G3300" s="2">
        <v>7</v>
      </c>
      <c r="H3300" s="2">
        <v>505</v>
      </c>
      <c r="I3300" s="2">
        <v>31</v>
      </c>
    </row>
    <row r="3301" spans="1:9" x14ac:dyDescent="0.3">
      <c r="A3301" t="s">
        <v>50</v>
      </c>
      <c r="B3301" s="1">
        <v>45658</v>
      </c>
      <c r="C3301" s="2">
        <v>1499</v>
      </c>
      <c r="D3301" s="2">
        <v>-31</v>
      </c>
      <c r="E3301" s="2">
        <v>1025</v>
      </c>
      <c r="F3301" s="2">
        <v>-41</v>
      </c>
      <c r="G3301" s="2">
        <v>1</v>
      </c>
      <c r="H3301" s="2">
        <v>474</v>
      </c>
      <c r="I3301" s="2">
        <v>10</v>
      </c>
    </row>
    <row r="3302" spans="1:9" x14ac:dyDescent="0.3">
      <c r="A3302" t="s">
        <v>50</v>
      </c>
      <c r="B3302" s="1">
        <v>45627</v>
      </c>
      <c r="C3302" s="2">
        <v>1532</v>
      </c>
      <c r="D3302" s="2">
        <v>60</v>
      </c>
      <c r="E3302" s="2">
        <v>1068</v>
      </c>
      <c r="F3302" s="2">
        <v>28</v>
      </c>
      <c r="G3302" s="2">
        <v>9</v>
      </c>
      <c r="H3302" s="2">
        <v>464</v>
      </c>
      <c r="I3302" s="2">
        <v>32</v>
      </c>
    </row>
    <row r="3303" spans="1:9" x14ac:dyDescent="0.3">
      <c r="A3303" t="s">
        <v>50</v>
      </c>
      <c r="B3303" s="1">
        <v>45597</v>
      </c>
      <c r="C3303" s="2">
        <v>1502</v>
      </c>
      <c r="D3303" s="2">
        <v>134</v>
      </c>
      <c r="E3303" s="2">
        <v>1070</v>
      </c>
      <c r="F3303" s="2">
        <v>169</v>
      </c>
      <c r="G3303" s="2">
        <v>-2</v>
      </c>
      <c r="H3303" s="2">
        <v>432</v>
      </c>
      <c r="I3303" s="2">
        <v>-35</v>
      </c>
    </row>
    <row r="3304" spans="1:9" x14ac:dyDescent="0.3">
      <c r="A3304" t="s">
        <v>50</v>
      </c>
      <c r="B3304" s="1">
        <v>45566</v>
      </c>
      <c r="C3304" s="2">
        <v>1365</v>
      </c>
      <c r="D3304" s="2">
        <v>-113</v>
      </c>
      <c r="E3304" s="2">
        <v>898</v>
      </c>
      <c r="F3304" s="2">
        <v>-47</v>
      </c>
      <c r="G3304" s="2">
        <v>-11</v>
      </c>
      <c r="H3304" s="2">
        <v>467</v>
      </c>
      <c r="I3304" s="2">
        <v>-66</v>
      </c>
    </row>
    <row r="3305" spans="1:9" x14ac:dyDescent="0.3">
      <c r="A3305" t="s">
        <v>50</v>
      </c>
      <c r="B3305" s="1">
        <v>45536</v>
      </c>
      <c r="C3305" s="2">
        <v>1465</v>
      </c>
      <c r="D3305" s="2">
        <v>32</v>
      </c>
      <c r="E3305" s="2">
        <v>932</v>
      </c>
      <c r="F3305" s="2">
        <v>5</v>
      </c>
      <c r="G3305" s="2">
        <v>4</v>
      </c>
      <c r="H3305" s="2">
        <v>533</v>
      </c>
      <c r="I3305" s="2">
        <v>27</v>
      </c>
    </row>
    <row r="3306" spans="1:9" x14ac:dyDescent="0.3">
      <c r="A3306" t="s">
        <v>50</v>
      </c>
      <c r="B3306" s="1">
        <v>45505</v>
      </c>
      <c r="C3306" s="2">
        <v>1431</v>
      </c>
      <c r="D3306" s="2">
        <v>98</v>
      </c>
      <c r="E3306" s="2">
        <v>925</v>
      </c>
      <c r="F3306" s="2">
        <v>71</v>
      </c>
      <c r="G3306" s="2">
        <v>8</v>
      </c>
      <c r="H3306" s="2">
        <v>506</v>
      </c>
      <c r="I3306" s="2">
        <v>27</v>
      </c>
    </row>
    <row r="3307" spans="1:9" x14ac:dyDescent="0.3">
      <c r="A3307" t="s">
        <v>50</v>
      </c>
      <c r="B3307" s="1">
        <v>45474</v>
      </c>
      <c r="C3307" s="2">
        <v>1331</v>
      </c>
      <c r="D3307" s="2">
        <v>140</v>
      </c>
      <c r="E3307" s="2">
        <v>852</v>
      </c>
      <c r="F3307" s="2">
        <v>79</v>
      </c>
      <c r="G3307" s="2">
        <v>4</v>
      </c>
      <c r="H3307" s="2">
        <v>479</v>
      </c>
      <c r="I3307" s="2">
        <v>61</v>
      </c>
    </row>
    <row r="3308" spans="1:9" x14ac:dyDescent="0.3">
      <c r="A3308" t="s">
        <v>50</v>
      </c>
      <c r="B3308" s="1">
        <v>45444</v>
      </c>
      <c r="C3308" s="2">
        <v>1215</v>
      </c>
      <c r="D3308" s="2">
        <v>79</v>
      </c>
      <c r="E3308" s="2">
        <v>797</v>
      </c>
      <c r="F3308" s="2">
        <v>22</v>
      </c>
      <c r="G3308" s="2">
        <v>7</v>
      </c>
      <c r="H3308" s="2">
        <v>418</v>
      </c>
      <c r="I3308" s="2">
        <v>57</v>
      </c>
    </row>
    <row r="3309" spans="1:9" x14ac:dyDescent="0.3">
      <c r="A3309" t="s">
        <v>50</v>
      </c>
      <c r="B3309" s="1">
        <v>45413</v>
      </c>
      <c r="C3309" s="2">
        <v>1135</v>
      </c>
      <c r="D3309" s="2">
        <v>87</v>
      </c>
      <c r="E3309" s="2">
        <v>774</v>
      </c>
      <c r="F3309" s="2">
        <v>1</v>
      </c>
      <c r="G3309" s="2">
        <v>-2</v>
      </c>
      <c r="H3309" s="2">
        <v>361</v>
      </c>
      <c r="I3309" s="2">
        <v>86</v>
      </c>
    </row>
    <row r="3310" spans="1:9" x14ac:dyDescent="0.3">
      <c r="A3310" t="s">
        <v>50</v>
      </c>
      <c r="B3310" s="1">
        <v>45383</v>
      </c>
      <c r="C3310" s="2">
        <v>1041</v>
      </c>
      <c r="D3310" s="2">
        <v>-105</v>
      </c>
      <c r="E3310" s="2">
        <v>766</v>
      </c>
      <c r="F3310" s="2">
        <v>-26</v>
      </c>
      <c r="G3310" s="2">
        <v>-5</v>
      </c>
      <c r="H3310" s="2">
        <v>275</v>
      </c>
      <c r="I3310" s="2">
        <v>-79</v>
      </c>
    </row>
    <row r="3311" spans="1:9" x14ac:dyDescent="0.3">
      <c r="A3311" t="s">
        <v>50</v>
      </c>
      <c r="B3311" s="1">
        <v>45352</v>
      </c>
      <c r="C3311" s="2">
        <v>1152</v>
      </c>
      <c r="D3311" s="2">
        <v>65</v>
      </c>
      <c r="E3311" s="2">
        <v>798</v>
      </c>
      <c r="F3311" s="2">
        <v>-14</v>
      </c>
      <c r="G3311" s="2">
        <v>-4</v>
      </c>
      <c r="H3311" s="2">
        <v>354</v>
      </c>
      <c r="I3311" s="2">
        <v>79</v>
      </c>
    </row>
    <row r="3312" spans="1:9" x14ac:dyDescent="0.3">
      <c r="A3312" t="s">
        <v>50</v>
      </c>
      <c r="B3312" s="1">
        <v>45323</v>
      </c>
      <c r="C3312" s="2">
        <v>1101</v>
      </c>
      <c r="D3312" s="2">
        <v>-41</v>
      </c>
      <c r="E3312" s="2">
        <v>826</v>
      </c>
      <c r="F3312" s="2">
        <v>74</v>
      </c>
      <c r="G3312" s="2">
        <v>-5</v>
      </c>
      <c r="H3312" s="2">
        <v>275</v>
      </c>
      <c r="I3312" s="2">
        <v>-115</v>
      </c>
    </row>
    <row r="3313" spans="1:9" x14ac:dyDescent="0.3">
      <c r="A3313" t="s">
        <v>50</v>
      </c>
      <c r="B3313" s="1">
        <v>45292</v>
      </c>
      <c r="C3313" s="2">
        <v>1154</v>
      </c>
      <c r="D3313" s="2">
        <v>-25</v>
      </c>
      <c r="E3313" s="2">
        <v>764</v>
      </c>
      <c r="F3313" s="2">
        <v>-55</v>
      </c>
      <c r="G3313" s="2">
        <v>0</v>
      </c>
      <c r="H3313" s="2">
        <v>390</v>
      </c>
      <c r="I3313" s="2">
        <v>30</v>
      </c>
    </row>
    <row r="3314" spans="1:9" x14ac:dyDescent="0.3">
      <c r="A3314" t="s">
        <v>50</v>
      </c>
      <c r="B3314" s="1">
        <v>45261</v>
      </c>
      <c r="C3314" s="2">
        <v>1155</v>
      </c>
      <c r="D3314" s="2">
        <v>-15</v>
      </c>
      <c r="E3314" s="2">
        <v>795</v>
      </c>
      <c r="F3314" s="2">
        <v>-3</v>
      </c>
      <c r="G3314" s="2">
        <v>4</v>
      </c>
      <c r="H3314" s="2">
        <v>360</v>
      </c>
      <c r="I3314" s="2">
        <v>-12</v>
      </c>
    </row>
    <row r="3315" spans="1:9" x14ac:dyDescent="0.3">
      <c r="A3315" t="s">
        <v>50</v>
      </c>
      <c r="B3315" s="1">
        <v>45231</v>
      </c>
      <c r="C3315" s="2">
        <v>1167</v>
      </c>
      <c r="D3315" s="2">
        <v>326</v>
      </c>
      <c r="E3315" s="2">
        <v>795</v>
      </c>
      <c r="F3315" s="2">
        <v>100</v>
      </c>
      <c r="G3315" s="2">
        <v>5</v>
      </c>
      <c r="H3315" s="2">
        <v>372</v>
      </c>
      <c r="I3315" s="2">
        <v>226</v>
      </c>
    </row>
    <row r="3316" spans="1:9" x14ac:dyDescent="0.3">
      <c r="A3316" t="s">
        <v>50</v>
      </c>
      <c r="B3316" s="1">
        <v>45200</v>
      </c>
      <c r="C3316" s="2">
        <v>915</v>
      </c>
      <c r="D3316" s="2">
        <v>-60</v>
      </c>
      <c r="E3316" s="2">
        <v>769</v>
      </c>
      <c r="F3316" s="2">
        <v>-16</v>
      </c>
      <c r="G3316" s="2">
        <v>-1</v>
      </c>
      <c r="H3316" s="2">
        <v>146</v>
      </c>
      <c r="I3316" s="2">
        <v>-44</v>
      </c>
    </row>
    <row r="3317" spans="1:9" x14ac:dyDescent="0.3">
      <c r="A3317" t="s">
        <v>50</v>
      </c>
      <c r="B3317" s="1">
        <v>45170</v>
      </c>
      <c r="C3317" s="2">
        <v>1046</v>
      </c>
      <c r="D3317" s="2">
        <v>-13</v>
      </c>
      <c r="E3317" s="2">
        <v>856</v>
      </c>
      <c r="F3317" s="2">
        <v>52</v>
      </c>
      <c r="G3317" s="2">
        <v>-3</v>
      </c>
      <c r="H3317" s="2">
        <v>190</v>
      </c>
      <c r="I3317" s="2">
        <v>-65</v>
      </c>
    </row>
    <row r="3318" spans="1:9" x14ac:dyDescent="0.3">
      <c r="A3318" t="s">
        <v>50</v>
      </c>
      <c r="B3318" s="1">
        <v>45139</v>
      </c>
      <c r="C3318" s="2">
        <v>1128</v>
      </c>
      <c r="D3318" s="2">
        <v>103</v>
      </c>
      <c r="E3318" s="2">
        <v>873</v>
      </c>
      <c r="F3318" s="2">
        <v>62</v>
      </c>
      <c r="G3318" s="2">
        <v>0</v>
      </c>
      <c r="H3318" s="2">
        <v>255</v>
      </c>
      <c r="I3318" s="2">
        <v>41</v>
      </c>
    </row>
    <row r="3319" spans="1:9" x14ac:dyDescent="0.3">
      <c r="A3319" t="s">
        <v>50</v>
      </c>
      <c r="B3319" s="1">
        <v>45108</v>
      </c>
      <c r="C3319" s="2">
        <v>1049</v>
      </c>
      <c r="D3319" s="2">
        <v>90</v>
      </c>
      <c r="E3319" s="2">
        <v>835</v>
      </c>
      <c r="F3319" s="2">
        <v>41</v>
      </c>
      <c r="G3319" s="2">
        <v>0</v>
      </c>
      <c r="H3319" s="2">
        <v>214</v>
      </c>
      <c r="I3319" s="2">
        <v>49</v>
      </c>
    </row>
    <row r="3320" spans="1:9" x14ac:dyDescent="0.3">
      <c r="A3320" t="s">
        <v>50</v>
      </c>
      <c r="B3320" s="1">
        <v>45078</v>
      </c>
      <c r="C3320" s="2">
        <v>992</v>
      </c>
      <c r="D3320" s="2">
        <v>-141</v>
      </c>
      <c r="E3320" s="2">
        <v>827</v>
      </c>
      <c r="F3320" s="2">
        <v>27</v>
      </c>
      <c r="G3320" s="2">
        <v>-2</v>
      </c>
      <c r="H3320" s="2">
        <v>165</v>
      </c>
      <c r="I3320" s="2">
        <v>-168</v>
      </c>
    </row>
    <row r="3321" spans="1:9" x14ac:dyDescent="0.3">
      <c r="A3321" t="s">
        <v>50</v>
      </c>
      <c r="B3321" s="1">
        <v>45047</v>
      </c>
      <c r="C3321" s="2">
        <v>1146</v>
      </c>
      <c r="D3321" s="2">
        <v>68</v>
      </c>
      <c r="E3321" s="2">
        <v>813</v>
      </c>
      <c r="F3321" s="2">
        <v>87</v>
      </c>
      <c r="G3321" s="2">
        <v>-3</v>
      </c>
      <c r="H3321" s="2">
        <v>333</v>
      </c>
      <c r="I3321" s="2">
        <v>-19</v>
      </c>
    </row>
    <row r="3322" spans="1:9" x14ac:dyDescent="0.3">
      <c r="A3322" t="s">
        <v>50</v>
      </c>
      <c r="B3322" s="1">
        <v>45017</v>
      </c>
      <c r="C3322" s="2">
        <v>1114</v>
      </c>
      <c r="D3322" s="2">
        <v>194</v>
      </c>
      <c r="E3322" s="2">
        <v>762</v>
      </c>
      <c r="F3322" s="2">
        <v>58</v>
      </c>
      <c r="G3322" s="2">
        <v>2</v>
      </c>
      <c r="H3322" s="2">
        <v>352</v>
      </c>
      <c r="I3322" s="2">
        <v>136</v>
      </c>
    </row>
    <row r="3323" spans="1:9" x14ac:dyDescent="0.3">
      <c r="A3323" t="s">
        <v>50</v>
      </c>
      <c r="B3323" s="1">
        <v>44986</v>
      </c>
      <c r="C3323" s="2">
        <v>956</v>
      </c>
      <c r="D3323" s="2">
        <v>7</v>
      </c>
      <c r="E3323" s="2">
        <v>740</v>
      </c>
      <c r="F3323" s="2">
        <v>10</v>
      </c>
      <c r="G3323" s="2">
        <v>11</v>
      </c>
      <c r="H3323" s="2">
        <v>216</v>
      </c>
      <c r="I3323" s="2">
        <v>-3</v>
      </c>
    </row>
    <row r="3324" spans="1:9" x14ac:dyDescent="0.3">
      <c r="A3324" t="s">
        <v>50</v>
      </c>
      <c r="B3324" s="1">
        <v>44958</v>
      </c>
      <c r="C3324" s="2">
        <v>943</v>
      </c>
      <c r="D3324" s="2">
        <v>-13</v>
      </c>
      <c r="E3324" s="2">
        <v>724</v>
      </c>
      <c r="F3324" s="2">
        <v>8</v>
      </c>
      <c r="G3324" s="2">
        <v>-4</v>
      </c>
      <c r="H3324" s="2">
        <v>219</v>
      </c>
      <c r="I3324" s="2">
        <v>-21</v>
      </c>
    </row>
    <row r="3325" spans="1:9" hidden="1" x14ac:dyDescent="0.3">
      <c r="A3325" t="s">
        <v>50</v>
      </c>
      <c r="B3325" s="1">
        <v>44927</v>
      </c>
      <c r="C3325" s="2">
        <v>958</v>
      </c>
      <c r="D3325" s="2" t="s">
        <v>3</v>
      </c>
      <c r="E3325" s="2">
        <v>718</v>
      </c>
      <c r="F3325" s="2" t="s">
        <v>3</v>
      </c>
      <c r="G3325" s="2" t="s">
        <v>3</v>
      </c>
      <c r="H3325" s="2">
        <v>240</v>
      </c>
      <c r="I3325" s="2">
        <v>19</v>
      </c>
    </row>
    <row r="3326" spans="1:9" hidden="1" x14ac:dyDescent="0.3">
      <c r="A3326" t="s">
        <v>50</v>
      </c>
      <c r="B3326" s="1">
        <v>44896</v>
      </c>
      <c r="C3326" s="2">
        <v>964</v>
      </c>
      <c r="D3326" s="2" t="s">
        <v>3</v>
      </c>
      <c r="E3326" s="2">
        <v>743</v>
      </c>
      <c r="F3326" s="2" t="s">
        <v>3</v>
      </c>
      <c r="G3326" s="2" t="s">
        <v>3</v>
      </c>
      <c r="H3326" s="2">
        <v>221</v>
      </c>
      <c r="I3326" s="2">
        <v>-27</v>
      </c>
    </row>
    <row r="3327" spans="1:9" hidden="1" x14ac:dyDescent="0.3">
      <c r="A3327" t="s">
        <v>50</v>
      </c>
      <c r="B3327" s="1">
        <v>44866</v>
      </c>
      <c r="C3327" s="2">
        <v>924</v>
      </c>
      <c r="D3327" s="2" t="s">
        <v>3</v>
      </c>
      <c r="E3327" s="2">
        <v>676</v>
      </c>
      <c r="F3327" s="2" t="s">
        <v>3</v>
      </c>
      <c r="G3327" s="2" t="s">
        <v>3</v>
      </c>
      <c r="H3327" s="2">
        <v>248</v>
      </c>
      <c r="I3327" s="2">
        <v>-65</v>
      </c>
    </row>
    <row r="3328" spans="1:9" hidden="1" x14ac:dyDescent="0.3">
      <c r="A3328" t="s">
        <v>50</v>
      </c>
      <c r="B3328" s="1">
        <v>44835</v>
      </c>
      <c r="C3328" s="2">
        <v>1023</v>
      </c>
      <c r="D3328" s="2" t="s">
        <v>3</v>
      </c>
      <c r="E3328" s="2">
        <v>710</v>
      </c>
      <c r="F3328" s="2" t="s">
        <v>3</v>
      </c>
      <c r="G3328" s="2" t="s">
        <v>3</v>
      </c>
      <c r="H3328" s="2">
        <v>313</v>
      </c>
      <c r="I3328" s="2">
        <v>4</v>
      </c>
    </row>
    <row r="3329" spans="1:9" hidden="1" x14ac:dyDescent="0.3">
      <c r="A3329" t="s">
        <v>50</v>
      </c>
      <c r="B3329" s="1">
        <v>44805</v>
      </c>
      <c r="C3329" s="2">
        <v>1033</v>
      </c>
      <c r="D3329" s="2" t="s">
        <v>3</v>
      </c>
      <c r="E3329" s="2">
        <v>724</v>
      </c>
      <c r="F3329" s="2" t="s">
        <v>3</v>
      </c>
      <c r="G3329" s="2" t="s">
        <v>3</v>
      </c>
      <c r="H3329" s="2">
        <v>309</v>
      </c>
      <c r="I3329" s="2">
        <v>151</v>
      </c>
    </row>
    <row r="3330" spans="1:9" hidden="1" x14ac:dyDescent="0.3">
      <c r="A3330" t="s">
        <v>50</v>
      </c>
      <c r="B3330" s="1">
        <v>44774</v>
      </c>
      <c r="C3330" s="2">
        <v>786</v>
      </c>
      <c r="D3330" s="2" t="s">
        <v>3</v>
      </c>
      <c r="E3330" s="2">
        <v>628</v>
      </c>
      <c r="F3330" s="2" t="s">
        <v>3</v>
      </c>
      <c r="G3330" s="2" t="s">
        <v>3</v>
      </c>
      <c r="H3330" s="2">
        <v>158</v>
      </c>
      <c r="I3330" s="2">
        <v>79</v>
      </c>
    </row>
    <row r="3331" spans="1:9" hidden="1" x14ac:dyDescent="0.3">
      <c r="A3331" t="s">
        <v>50</v>
      </c>
      <c r="B3331" s="1">
        <v>44743</v>
      </c>
      <c r="C3331" s="2">
        <v>705</v>
      </c>
      <c r="D3331" s="2" t="s">
        <v>3</v>
      </c>
      <c r="E3331" s="2">
        <v>626</v>
      </c>
      <c r="F3331" s="2" t="s">
        <v>3</v>
      </c>
      <c r="G3331" s="2" t="s">
        <v>3</v>
      </c>
      <c r="H3331" s="2">
        <v>79</v>
      </c>
      <c r="I3331" s="2">
        <v>-64</v>
      </c>
    </row>
    <row r="3332" spans="1:9" hidden="1" x14ac:dyDescent="0.3">
      <c r="A3332" t="s">
        <v>50</v>
      </c>
      <c r="B3332" s="1">
        <v>44713</v>
      </c>
      <c r="C3332" s="2">
        <v>757</v>
      </c>
      <c r="D3332" s="2" t="s">
        <v>3</v>
      </c>
      <c r="E3332" s="2">
        <v>614</v>
      </c>
      <c r="F3332" s="2" t="s">
        <v>3</v>
      </c>
      <c r="G3332" s="2" t="s">
        <v>3</v>
      </c>
      <c r="H3332" s="2">
        <v>143</v>
      </c>
      <c r="I3332" s="2">
        <v>26</v>
      </c>
    </row>
    <row r="3333" spans="1:9" hidden="1" x14ac:dyDescent="0.3">
      <c r="A3333" t="s">
        <v>50</v>
      </c>
      <c r="B3333" s="1">
        <v>44682</v>
      </c>
      <c r="C3333" s="2">
        <v>739</v>
      </c>
      <c r="D3333" s="2" t="s">
        <v>3</v>
      </c>
      <c r="E3333" s="2">
        <v>622</v>
      </c>
      <c r="F3333" s="2" t="s">
        <v>3</v>
      </c>
      <c r="G3333" s="2" t="s">
        <v>3</v>
      </c>
      <c r="H3333" s="2">
        <v>117</v>
      </c>
      <c r="I3333" s="2">
        <v>43</v>
      </c>
    </row>
    <row r="3334" spans="1:9" hidden="1" x14ac:dyDescent="0.3">
      <c r="A3334" t="s">
        <v>50</v>
      </c>
      <c r="B3334" s="1">
        <v>44652</v>
      </c>
      <c r="C3334" s="2">
        <v>706</v>
      </c>
      <c r="D3334" s="2" t="s">
        <v>3</v>
      </c>
      <c r="E3334" s="2">
        <v>632</v>
      </c>
      <c r="F3334" s="2" t="s">
        <v>3</v>
      </c>
      <c r="G3334" s="2" t="s">
        <v>3</v>
      </c>
      <c r="H3334" s="2">
        <v>74</v>
      </c>
      <c r="I3334" s="2">
        <v>-68</v>
      </c>
    </row>
    <row r="3335" spans="1:9" hidden="1" x14ac:dyDescent="0.3">
      <c r="A3335" t="s">
        <v>50</v>
      </c>
      <c r="B3335" s="1">
        <v>44621</v>
      </c>
      <c r="C3335" s="2">
        <v>772</v>
      </c>
      <c r="D3335" s="2" t="s">
        <v>3</v>
      </c>
      <c r="E3335" s="2">
        <v>630</v>
      </c>
      <c r="F3335" s="2" t="s">
        <v>3</v>
      </c>
      <c r="G3335" s="2" t="s">
        <v>3</v>
      </c>
      <c r="H3335" s="2">
        <v>142</v>
      </c>
      <c r="I3335" s="2">
        <v>59</v>
      </c>
    </row>
    <row r="3336" spans="1:9" hidden="1" x14ac:dyDescent="0.3">
      <c r="A3336" t="s">
        <v>50</v>
      </c>
      <c r="B3336" s="1">
        <v>44593</v>
      </c>
      <c r="C3336" s="2">
        <v>695</v>
      </c>
      <c r="D3336" s="2" t="s">
        <v>3</v>
      </c>
      <c r="E3336" s="2">
        <v>612</v>
      </c>
      <c r="F3336" s="2" t="s">
        <v>3</v>
      </c>
      <c r="G3336" s="2" t="s">
        <v>3</v>
      </c>
      <c r="H3336" s="2">
        <v>83</v>
      </c>
      <c r="I3336" s="2">
        <v>15</v>
      </c>
    </row>
    <row r="3337" spans="1:9" hidden="1" x14ac:dyDescent="0.3">
      <c r="A3337" t="s">
        <v>50</v>
      </c>
      <c r="B3337" s="1">
        <v>44562</v>
      </c>
      <c r="C3337" s="2">
        <v>674</v>
      </c>
      <c r="D3337" s="2" t="s">
        <v>3</v>
      </c>
      <c r="E3337" s="2">
        <v>606</v>
      </c>
      <c r="F3337" s="2" t="s">
        <v>3</v>
      </c>
      <c r="G3337" s="2" t="s">
        <v>3</v>
      </c>
      <c r="H3337" s="2">
        <v>68</v>
      </c>
      <c r="I3337" s="2">
        <v>19</v>
      </c>
    </row>
    <row r="3338" spans="1:9" hidden="1" x14ac:dyDescent="0.3">
      <c r="A3338" t="s">
        <v>50</v>
      </c>
      <c r="B3338" s="1">
        <v>44531</v>
      </c>
      <c r="C3338" s="2">
        <v>662</v>
      </c>
      <c r="D3338" s="2" t="s">
        <v>3</v>
      </c>
      <c r="E3338" s="2">
        <v>613</v>
      </c>
      <c r="F3338" s="2" t="s">
        <v>3</v>
      </c>
      <c r="G3338" s="2" t="s">
        <v>3</v>
      </c>
      <c r="H3338" s="2">
        <v>49</v>
      </c>
      <c r="I3338" s="2">
        <v>21</v>
      </c>
    </row>
    <row r="3339" spans="1:9" hidden="1" x14ac:dyDescent="0.3">
      <c r="A3339" t="s">
        <v>50</v>
      </c>
      <c r="B3339" s="1">
        <v>44501</v>
      </c>
      <c r="C3339" s="2">
        <v>637</v>
      </c>
      <c r="D3339" s="2" t="s">
        <v>3</v>
      </c>
      <c r="E3339" s="2">
        <v>609</v>
      </c>
      <c r="F3339" s="2" t="s">
        <v>3</v>
      </c>
      <c r="G3339" s="2" t="s">
        <v>3</v>
      </c>
      <c r="H3339" s="2">
        <v>28</v>
      </c>
      <c r="I3339" s="2">
        <v>-6</v>
      </c>
    </row>
    <row r="3340" spans="1:9" hidden="1" x14ac:dyDescent="0.3">
      <c r="A3340" t="s">
        <v>50</v>
      </c>
      <c r="B3340" s="1">
        <v>44470</v>
      </c>
      <c r="C3340" s="2">
        <v>665</v>
      </c>
      <c r="D3340" s="2" t="s">
        <v>3</v>
      </c>
      <c r="E3340" s="2">
        <v>631</v>
      </c>
      <c r="F3340" s="2" t="s">
        <v>3</v>
      </c>
      <c r="G3340" s="2" t="s">
        <v>3</v>
      </c>
      <c r="H3340" s="2">
        <v>34</v>
      </c>
      <c r="I3340" s="2">
        <v>25</v>
      </c>
    </row>
    <row r="3341" spans="1:9" hidden="1" x14ac:dyDescent="0.3">
      <c r="A3341" t="s">
        <v>50</v>
      </c>
      <c r="B3341" s="1">
        <v>44440</v>
      </c>
      <c r="C3341" s="2">
        <v>649</v>
      </c>
      <c r="D3341" s="2" t="s">
        <v>3</v>
      </c>
      <c r="E3341" s="2">
        <v>640</v>
      </c>
      <c r="F3341" s="2" t="s">
        <v>3</v>
      </c>
      <c r="G3341" s="2" t="s">
        <v>3</v>
      </c>
      <c r="H3341" s="2">
        <v>9</v>
      </c>
      <c r="I3341" s="2">
        <v>-12</v>
      </c>
    </row>
    <row r="3342" spans="1:9" hidden="1" x14ac:dyDescent="0.3">
      <c r="A3342" t="s">
        <v>50</v>
      </c>
      <c r="B3342" s="1">
        <v>44409</v>
      </c>
      <c r="C3342" s="2">
        <v>652</v>
      </c>
      <c r="D3342" s="2" t="s">
        <v>3</v>
      </c>
      <c r="E3342" s="2">
        <v>631</v>
      </c>
      <c r="F3342" s="2" t="s">
        <v>3</v>
      </c>
      <c r="G3342" s="2" t="s">
        <v>3</v>
      </c>
      <c r="H3342" s="2">
        <v>21</v>
      </c>
      <c r="I3342" s="2">
        <v>-24</v>
      </c>
    </row>
    <row r="3343" spans="1:9" hidden="1" x14ac:dyDescent="0.3">
      <c r="A3343" t="s">
        <v>50</v>
      </c>
      <c r="B3343" s="1">
        <v>44378</v>
      </c>
      <c r="C3343" s="2">
        <v>665</v>
      </c>
      <c r="D3343" s="2" t="s">
        <v>3</v>
      </c>
      <c r="E3343" s="2">
        <v>620</v>
      </c>
      <c r="F3343" s="2" t="s">
        <v>3</v>
      </c>
      <c r="G3343" s="2" t="s">
        <v>3</v>
      </c>
      <c r="H3343" s="2">
        <v>45</v>
      </c>
      <c r="I3343" s="2">
        <v>-17</v>
      </c>
    </row>
    <row r="3344" spans="1:9" hidden="1" x14ac:dyDescent="0.3">
      <c r="A3344" t="s">
        <v>50</v>
      </c>
      <c r="B3344" s="1">
        <v>44348</v>
      </c>
      <c r="C3344" s="2">
        <v>717</v>
      </c>
      <c r="D3344" s="2" t="s">
        <v>3</v>
      </c>
      <c r="E3344" s="2">
        <v>655</v>
      </c>
      <c r="F3344" s="2" t="s">
        <v>3</v>
      </c>
      <c r="G3344" s="2" t="s">
        <v>3</v>
      </c>
      <c r="H3344" s="2">
        <v>62</v>
      </c>
      <c r="I3344" s="2">
        <v>-34</v>
      </c>
    </row>
    <row r="3345" spans="1:9" hidden="1" x14ac:dyDescent="0.3">
      <c r="A3345" t="s">
        <v>50</v>
      </c>
      <c r="B3345" s="1">
        <v>44317</v>
      </c>
      <c r="C3345" s="2">
        <v>751</v>
      </c>
      <c r="D3345" s="2" t="s">
        <v>3</v>
      </c>
      <c r="E3345" s="2">
        <v>655</v>
      </c>
      <c r="F3345" s="2" t="s">
        <v>3</v>
      </c>
      <c r="G3345" s="2" t="s">
        <v>3</v>
      </c>
      <c r="H3345" s="2">
        <v>96</v>
      </c>
      <c r="I3345" s="2">
        <v>-13</v>
      </c>
    </row>
    <row r="3346" spans="1:9" hidden="1" x14ac:dyDescent="0.3">
      <c r="A3346" t="s">
        <v>50</v>
      </c>
      <c r="B3346" s="1">
        <v>44287</v>
      </c>
      <c r="C3346" s="2">
        <v>768</v>
      </c>
      <c r="D3346" s="2" t="s">
        <v>3</v>
      </c>
      <c r="E3346" s="2">
        <v>659</v>
      </c>
      <c r="F3346" s="2" t="s">
        <v>3</v>
      </c>
      <c r="G3346" s="2" t="s">
        <v>3</v>
      </c>
      <c r="H3346" s="2">
        <v>109</v>
      </c>
      <c r="I3346" s="2">
        <v>-30</v>
      </c>
    </row>
    <row r="3347" spans="1:9" hidden="1" x14ac:dyDescent="0.3">
      <c r="A3347" t="s">
        <v>50</v>
      </c>
      <c r="B3347" s="1">
        <v>44256</v>
      </c>
      <c r="C3347" s="2">
        <v>794</v>
      </c>
      <c r="D3347" s="2" t="s">
        <v>3</v>
      </c>
      <c r="E3347" s="2">
        <v>655</v>
      </c>
      <c r="F3347" s="2" t="s">
        <v>3</v>
      </c>
      <c r="G3347" s="2" t="s">
        <v>3</v>
      </c>
      <c r="H3347" s="2">
        <v>139</v>
      </c>
      <c r="I3347" s="2">
        <v>-17</v>
      </c>
    </row>
    <row r="3348" spans="1:9" hidden="1" x14ac:dyDescent="0.3">
      <c r="A3348" t="s">
        <v>50</v>
      </c>
      <c r="B3348" s="1">
        <v>44228</v>
      </c>
      <c r="C3348" s="2">
        <v>791</v>
      </c>
      <c r="D3348" s="2" t="s">
        <v>3</v>
      </c>
      <c r="E3348" s="2">
        <v>635</v>
      </c>
      <c r="F3348" s="2" t="s">
        <v>3</v>
      </c>
      <c r="G3348" s="2" t="s">
        <v>3</v>
      </c>
      <c r="H3348" s="2">
        <v>156</v>
      </c>
      <c r="I3348" s="2">
        <v>-26</v>
      </c>
    </row>
    <row r="3349" spans="1:9" hidden="1" x14ac:dyDescent="0.3">
      <c r="A3349" t="s">
        <v>50</v>
      </c>
      <c r="B3349" s="1">
        <v>44197</v>
      </c>
      <c r="C3349" s="2">
        <v>816</v>
      </c>
      <c r="D3349" s="2" t="s">
        <v>3</v>
      </c>
      <c r="E3349" s="2">
        <v>634</v>
      </c>
      <c r="F3349" s="2" t="s">
        <v>3</v>
      </c>
      <c r="G3349" s="2" t="s">
        <v>3</v>
      </c>
      <c r="H3349" s="2">
        <v>182</v>
      </c>
      <c r="I3349" s="2">
        <v>55</v>
      </c>
    </row>
    <row r="3350" spans="1:9" hidden="1" x14ac:dyDescent="0.3">
      <c r="A3350" t="s">
        <v>50</v>
      </c>
      <c r="B3350" s="1">
        <v>44166</v>
      </c>
      <c r="C3350" s="2">
        <v>780</v>
      </c>
      <c r="D3350" s="2" t="s">
        <v>3</v>
      </c>
      <c r="E3350" s="2">
        <v>653</v>
      </c>
      <c r="F3350" s="2" t="s">
        <v>3</v>
      </c>
      <c r="G3350" s="2" t="s">
        <v>3</v>
      </c>
      <c r="H3350" s="2">
        <v>127</v>
      </c>
      <c r="I3350" s="2">
        <v>61</v>
      </c>
    </row>
    <row r="3351" spans="1:9" hidden="1" x14ac:dyDescent="0.3">
      <c r="A3351" t="s">
        <v>50</v>
      </c>
      <c r="B3351" s="1">
        <v>44136</v>
      </c>
      <c r="C3351" s="2">
        <v>691</v>
      </c>
      <c r="D3351" s="2" t="s">
        <v>3</v>
      </c>
      <c r="E3351" s="2">
        <v>625</v>
      </c>
      <c r="F3351" s="2" t="s">
        <v>3</v>
      </c>
      <c r="G3351" s="2" t="s">
        <v>3</v>
      </c>
      <c r="H3351" s="2">
        <v>66</v>
      </c>
      <c r="I3351" s="2">
        <v>-3</v>
      </c>
    </row>
    <row r="3352" spans="1:9" hidden="1" x14ac:dyDescent="0.3">
      <c r="A3352" t="s">
        <v>50</v>
      </c>
      <c r="B3352" s="1">
        <v>44105</v>
      </c>
      <c r="C3352" s="2">
        <v>685</v>
      </c>
      <c r="D3352" s="2" t="s">
        <v>3</v>
      </c>
      <c r="E3352" s="2">
        <v>616</v>
      </c>
      <c r="F3352" s="2" t="s">
        <v>3</v>
      </c>
      <c r="G3352" s="2" t="s">
        <v>3</v>
      </c>
      <c r="H3352" s="2">
        <v>69</v>
      </c>
      <c r="I3352" s="2">
        <v>-30</v>
      </c>
    </row>
    <row r="3353" spans="1:9" hidden="1" x14ac:dyDescent="0.3">
      <c r="A3353" t="s">
        <v>50</v>
      </c>
      <c r="B3353" s="1">
        <v>44075</v>
      </c>
      <c r="C3353" s="2">
        <v>701</v>
      </c>
      <c r="D3353" s="2" t="s">
        <v>3</v>
      </c>
      <c r="E3353" s="2">
        <v>602</v>
      </c>
      <c r="F3353" s="2" t="s">
        <v>3</v>
      </c>
      <c r="G3353" s="2" t="s">
        <v>3</v>
      </c>
      <c r="H3353" s="2">
        <v>99</v>
      </c>
      <c r="I3353" s="2">
        <v>9</v>
      </c>
    </row>
    <row r="3354" spans="1:9" hidden="1" x14ac:dyDescent="0.3">
      <c r="A3354" t="s">
        <v>50</v>
      </c>
      <c r="B3354" s="1">
        <v>44044</v>
      </c>
      <c r="C3354" s="2">
        <v>705</v>
      </c>
      <c r="D3354" s="2" t="s">
        <v>3</v>
      </c>
      <c r="E3354" s="2">
        <v>615</v>
      </c>
      <c r="F3354" s="2" t="s">
        <v>3</v>
      </c>
      <c r="G3354" s="2" t="s">
        <v>3</v>
      </c>
      <c r="H3354" s="2">
        <v>90</v>
      </c>
      <c r="I3354" s="2">
        <v>17</v>
      </c>
    </row>
    <row r="3355" spans="1:9" hidden="1" x14ac:dyDescent="0.3">
      <c r="A3355" t="s">
        <v>50</v>
      </c>
      <c r="B3355" s="1">
        <v>44013</v>
      </c>
      <c r="C3355" s="2">
        <v>694</v>
      </c>
      <c r="D3355" s="2" t="s">
        <v>3</v>
      </c>
      <c r="E3355" s="2">
        <v>621</v>
      </c>
      <c r="F3355" s="2" t="s">
        <v>3</v>
      </c>
      <c r="G3355" s="2" t="s">
        <v>3</v>
      </c>
      <c r="H3355" s="2">
        <v>73</v>
      </c>
      <c r="I3355" s="2">
        <v>14</v>
      </c>
    </row>
    <row r="3356" spans="1:9" hidden="1" x14ac:dyDescent="0.3">
      <c r="A3356" t="s">
        <v>50</v>
      </c>
      <c r="B3356" s="1">
        <v>43983</v>
      </c>
      <c r="C3356" s="2">
        <v>682</v>
      </c>
      <c r="D3356" s="2" t="s">
        <v>3</v>
      </c>
      <c r="E3356" s="2">
        <v>623</v>
      </c>
      <c r="F3356" s="2" t="s">
        <v>3</v>
      </c>
      <c r="G3356" s="2" t="s">
        <v>3</v>
      </c>
      <c r="H3356" s="2">
        <v>59</v>
      </c>
      <c r="I3356" s="2">
        <v>12</v>
      </c>
    </row>
    <row r="3357" spans="1:9" hidden="1" x14ac:dyDescent="0.3">
      <c r="A3357" t="s">
        <v>50</v>
      </c>
      <c r="B3357" s="1">
        <v>43952</v>
      </c>
      <c r="C3357" s="2">
        <v>682</v>
      </c>
      <c r="D3357" s="2" t="s">
        <v>3</v>
      </c>
      <c r="E3357" s="2">
        <v>635</v>
      </c>
      <c r="F3357" s="2" t="s">
        <v>3</v>
      </c>
      <c r="G3357" s="2" t="s">
        <v>3</v>
      </c>
      <c r="H3357" s="2">
        <v>47</v>
      </c>
      <c r="I3357" s="2">
        <v>3</v>
      </c>
    </row>
    <row r="3358" spans="1:9" hidden="1" x14ac:dyDescent="0.3">
      <c r="A3358" t="s">
        <v>50</v>
      </c>
      <c r="B3358" s="1">
        <v>43922</v>
      </c>
      <c r="C3358" s="2">
        <v>680</v>
      </c>
      <c r="D3358" s="2" t="s">
        <v>3</v>
      </c>
      <c r="E3358" s="2">
        <v>636</v>
      </c>
      <c r="F3358" s="2" t="s">
        <v>3</v>
      </c>
      <c r="G3358" s="2" t="s">
        <v>3</v>
      </c>
      <c r="H3358" s="2">
        <v>44</v>
      </c>
      <c r="I3358" s="2">
        <v>-33</v>
      </c>
    </row>
    <row r="3359" spans="1:9" hidden="1" x14ac:dyDescent="0.3">
      <c r="A3359" t="s">
        <v>50</v>
      </c>
      <c r="B3359" s="1">
        <v>43891</v>
      </c>
      <c r="C3359" s="2">
        <v>740</v>
      </c>
      <c r="D3359" s="2" t="s">
        <v>3</v>
      </c>
      <c r="E3359" s="2">
        <v>663</v>
      </c>
      <c r="F3359" s="2" t="s">
        <v>3</v>
      </c>
      <c r="G3359" s="2" t="s">
        <v>3</v>
      </c>
      <c r="H3359" s="2">
        <v>77</v>
      </c>
      <c r="I3359" s="2">
        <v>32</v>
      </c>
    </row>
    <row r="3360" spans="1:9" hidden="1" x14ac:dyDescent="0.3">
      <c r="A3360" t="s">
        <v>50</v>
      </c>
      <c r="B3360" s="1">
        <v>43862</v>
      </c>
      <c r="C3360" s="2">
        <v>717</v>
      </c>
      <c r="D3360" s="2" t="s">
        <v>3</v>
      </c>
      <c r="E3360" s="2">
        <v>672</v>
      </c>
      <c r="F3360" s="2" t="s">
        <v>3</v>
      </c>
      <c r="G3360" s="2" t="s">
        <v>3</v>
      </c>
      <c r="H3360" s="2">
        <v>45</v>
      </c>
      <c r="I3360" s="2">
        <v>-14</v>
      </c>
    </row>
    <row r="3361" spans="1:9" hidden="1" x14ac:dyDescent="0.3">
      <c r="A3361" t="s">
        <v>50</v>
      </c>
      <c r="B3361" s="1">
        <v>43831</v>
      </c>
      <c r="C3361" s="2">
        <v>721</v>
      </c>
      <c r="D3361" s="2" t="s">
        <v>3</v>
      </c>
      <c r="E3361" s="2">
        <v>662</v>
      </c>
      <c r="F3361" s="2" t="s">
        <v>3</v>
      </c>
      <c r="G3361" s="2" t="s">
        <v>3</v>
      </c>
      <c r="H3361" s="2">
        <v>59</v>
      </c>
      <c r="I3361" s="2">
        <v>-27</v>
      </c>
    </row>
    <row r="3362" spans="1:9" x14ac:dyDescent="0.3">
      <c r="A3362" t="s">
        <v>51</v>
      </c>
      <c r="B3362" s="1">
        <v>45931</v>
      </c>
      <c r="C3362" s="2">
        <v>4115</v>
      </c>
      <c r="D3362" s="2">
        <v>-190</v>
      </c>
      <c r="E3362" s="2">
        <v>2537</v>
      </c>
      <c r="F3362" s="2">
        <v>-46</v>
      </c>
      <c r="G3362" s="2">
        <v>3</v>
      </c>
      <c r="H3362" s="2">
        <v>1578</v>
      </c>
      <c r="I3362" s="2">
        <v>-144</v>
      </c>
    </row>
    <row r="3363" spans="1:9" x14ac:dyDescent="0.3">
      <c r="A3363" t="s">
        <v>51</v>
      </c>
      <c r="B3363" s="1">
        <v>45901</v>
      </c>
      <c r="C3363" s="2">
        <v>4304</v>
      </c>
      <c r="D3363" s="2">
        <v>251</v>
      </c>
      <c r="E3363" s="2">
        <v>2582</v>
      </c>
      <c r="F3363" s="2">
        <v>129</v>
      </c>
      <c r="G3363" s="2">
        <v>1</v>
      </c>
      <c r="H3363" s="2">
        <v>1722</v>
      </c>
      <c r="I3363" s="2">
        <v>122</v>
      </c>
    </row>
    <row r="3364" spans="1:9" x14ac:dyDescent="0.3">
      <c r="A3364" t="s">
        <v>51</v>
      </c>
      <c r="B3364" s="1">
        <v>45870</v>
      </c>
      <c r="C3364" s="2">
        <v>4148</v>
      </c>
      <c r="D3364" s="2">
        <v>-108</v>
      </c>
      <c r="E3364" s="2">
        <v>2548</v>
      </c>
      <c r="F3364" s="2">
        <v>52</v>
      </c>
      <c r="G3364" s="2">
        <v>15</v>
      </c>
      <c r="H3364" s="2">
        <v>1600</v>
      </c>
      <c r="I3364" s="2">
        <v>-160</v>
      </c>
    </row>
    <row r="3365" spans="1:9" x14ac:dyDescent="0.3">
      <c r="A3365" t="s">
        <v>51</v>
      </c>
      <c r="B3365" s="1">
        <v>45839</v>
      </c>
      <c r="C3365" s="2">
        <v>4242</v>
      </c>
      <c r="D3365" s="2">
        <v>-29</v>
      </c>
      <c r="E3365" s="2">
        <v>2482</v>
      </c>
      <c r="F3365" s="2">
        <v>-210</v>
      </c>
      <c r="G3365" s="2">
        <v>-8</v>
      </c>
      <c r="H3365" s="2">
        <v>1760</v>
      </c>
      <c r="I3365" s="2">
        <v>181</v>
      </c>
    </row>
    <row r="3366" spans="1:9" x14ac:dyDescent="0.3">
      <c r="A3366" t="s">
        <v>51</v>
      </c>
      <c r="B3366" s="1">
        <v>45809</v>
      </c>
      <c r="C3366" s="2">
        <v>4283</v>
      </c>
      <c r="D3366" s="2">
        <v>-68</v>
      </c>
      <c r="E3366" s="2">
        <v>2704</v>
      </c>
      <c r="F3366" s="2">
        <v>-89</v>
      </c>
      <c r="G3366" s="2">
        <v>10</v>
      </c>
      <c r="H3366" s="2">
        <v>1579</v>
      </c>
      <c r="I3366" s="2">
        <v>21</v>
      </c>
    </row>
    <row r="3367" spans="1:9" x14ac:dyDescent="0.3">
      <c r="A3367" t="s">
        <v>51</v>
      </c>
      <c r="B3367" s="1">
        <v>45778</v>
      </c>
      <c r="C3367" s="2">
        <v>4352</v>
      </c>
      <c r="D3367" s="2">
        <v>28</v>
      </c>
      <c r="E3367" s="2">
        <v>2794</v>
      </c>
      <c r="F3367" s="2">
        <v>-20</v>
      </c>
      <c r="G3367" s="2">
        <v>-18</v>
      </c>
      <c r="H3367" s="2">
        <v>1558</v>
      </c>
      <c r="I3367" s="2">
        <v>48</v>
      </c>
    </row>
    <row r="3368" spans="1:9" x14ac:dyDescent="0.3">
      <c r="A3368" t="s">
        <v>51</v>
      </c>
      <c r="B3368" s="1">
        <v>45748</v>
      </c>
      <c r="C3368" s="2">
        <v>4343</v>
      </c>
      <c r="D3368" s="2">
        <v>-14</v>
      </c>
      <c r="E3368" s="2">
        <v>2833</v>
      </c>
      <c r="F3368" s="2">
        <v>84</v>
      </c>
      <c r="G3368" s="2">
        <v>18</v>
      </c>
      <c r="H3368" s="2">
        <v>1510</v>
      </c>
      <c r="I3368" s="2">
        <v>-98</v>
      </c>
    </row>
    <row r="3369" spans="1:9" x14ac:dyDescent="0.3">
      <c r="A3369" t="s">
        <v>51</v>
      </c>
      <c r="B3369" s="1">
        <v>45717</v>
      </c>
      <c r="C3369" s="2">
        <v>4344</v>
      </c>
      <c r="D3369" s="2">
        <v>-33</v>
      </c>
      <c r="E3369" s="2">
        <v>2736</v>
      </c>
      <c r="F3369" s="2">
        <v>-49</v>
      </c>
      <c r="G3369" s="2">
        <v>8</v>
      </c>
      <c r="H3369" s="2">
        <v>1608</v>
      </c>
      <c r="I3369" s="2">
        <v>16</v>
      </c>
    </row>
    <row r="3370" spans="1:9" x14ac:dyDescent="0.3">
      <c r="A3370" t="s">
        <v>51</v>
      </c>
      <c r="B3370" s="1">
        <v>45689</v>
      </c>
      <c r="C3370" s="2">
        <v>4370</v>
      </c>
      <c r="D3370" s="2">
        <v>1</v>
      </c>
      <c r="E3370" s="2">
        <v>2778</v>
      </c>
      <c r="F3370" s="2">
        <v>-11</v>
      </c>
      <c r="G3370" s="2">
        <v>28</v>
      </c>
      <c r="H3370" s="2">
        <v>1592</v>
      </c>
      <c r="I3370" s="2">
        <v>12</v>
      </c>
    </row>
    <row r="3371" spans="1:9" x14ac:dyDescent="0.3">
      <c r="A3371" t="s">
        <v>51</v>
      </c>
      <c r="B3371" s="1">
        <v>45658</v>
      </c>
      <c r="C3371" s="2">
        <v>4359</v>
      </c>
      <c r="D3371" s="2">
        <v>14</v>
      </c>
      <c r="E3371" s="2">
        <v>2779</v>
      </c>
      <c r="F3371" s="2">
        <v>3</v>
      </c>
      <c r="G3371" s="2">
        <v>6</v>
      </c>
      <c r="H3371" s="2">
        <v>1580</v>
      </c>
      <c r="I3371" s="2">
        <v>11</v>
      </c>
    </row>
    <row r="3372" spans="1:9" x14ac:dyDescent="0.3">
      <c r="A3372" t="s">
        <v>51</v>
      </c>
      <c r="B3372" s="1">
        <v>45627</v>
      </c>
      <c r="C3372" s="2">
        <v>4344</v>
      </c>
      <c r="D3372" s="2">
        <v>231</v>
      </c>
      <c r="E3372" s="2">
        <v>2775</v>
      </c>
      <c r="F3372" s="2">
        <v>82</v>
      </c>
      <c r="G3372" s="2">
        <v>-20</v>
      </c>
      <c r="H3372" s="2">
        <v>1569</v>
      </c>
      <c r="I3372" s="2">
        <v>149</v>
      </c>
    </row>
    <row r="3373" spans="1:9" x14ac:dyDescent="0.3">
      <c r="A3373" t="s">
        <v>51</v>
      </c>
      <c r="B3373" s="1">
        <v>45597</v>
      </c>
      <c r="C3373" s="2">
        <v>4137</v>
      </c>
      <c r="D3373" s="2">
        <v>-194</v>
      </c>
      <c r="E3373" s="2">
        <v>2717</v>
      </c>
      <c r="F3373" s="2">
        <v>-95</v>
      </c>
      <c r="G3373" s="2">
        <v>7</v>
      </c>
      <c r="H3373" s="2">
        <v>1420</v>
      </c>
      <c r="I3373" s="2">
        <v>-99</v>
      </c>
    </row>
    <row r="3374" spans="1:9" x14ac:dyDescent="0.3">
      <c r="A3374" t="s">
        <v>51</v>
      </c>
      <c r="B3374" s="1">
        <v>45566</v>
      </c>
      <c r="C3374" s="2">
        <v>4309</v>
      </c>
      <c r="D3374" s="2">
        <v>-197</v>
      </c>
      <c r="E3374" s="2">
        <v>2790</v>
      </c>
      <c r="F3374" s="2">
        <v>115</v>
      </c>
      <c r="G3374" s="2">
        <v>-36</v>
      </c>
      <c r="H3374" s="2">
        <v>1519</v>
      </c>
      <c r="I3374" s="2">
        <v>-312</v>
      </c>
    </row>
    <row r="3375" spans="1:9" x14ac:dyDescent="0.3">
      <c r="A3375" t="s">
        <v>51</v>
      </c>
      <c r="B3375" s="1">
        <v>45536</v>
      </c>
      <c r="C3375" s="2">
        <v>4496</v>
      </c>
      <c r="D3375" s="2">
        <v>-19</v>
      </c>
      <c r="E3375" s="2">
        <v>2665</v>
      </c>
      <c r="F3375" s="2">
        <v>-29</v>
      </c>
      <c r="G3375" s="2">
        <v>20</v>
      </c>
      <c r="H3375" s="2">
        <v>1831</v>
      </c>
      <c r="I3375" s="2">
        <v>10</v>
      </c>
    </row>
    <row r="3376" spans="1:9" x14ac:dyDescent="0.3">
      <c r="A3376" t="s">
        <v>51</v>
      </c>
      <c r="B3376" s="1">
        <v>45505</v>
      </c>
      <c r="C3376" s="2">
        <v>4451</v>
      </c>
      <c r="D3376" s="2">
        <v>93</v>
      </c>
      <c r="E3376" s="2">
        <v>2630</v>
      </c>
      <c r="F3376" s="2">
        <v>59</v>
      </c>
      <c r="G3376" s="2">
        <v>23</v>
      </c>
      <c r="H3376" s="2">
        <v>1821</v>
      </c>
      <c r="I3376" s="2">
        <v>34</v>
      </c>
    </row>
    <row r="3377" spans="1:9" x14ac:dyDescent="0.3">
      <c r="A3377" t="s">
        <v>51</v>
      </c>
      <c r="B3377" s="1">
        <v>45474</v>
      </c>
      <c r="C3377" s="2">
        <v>4235</v>
      </c>
      <c r="D3377" s="2">
        <v>32</v>
      </c>
      <c r="E3377" s="2">
        <v>2448</v>
      </c>
      <c r="F3377" s="2">
        <v>23</v>
      </c>
      <c r="G3377" s="2">
        <v>25</v>
      </c>
      <c r="H3377" s="2">
        <v>1787</v>
      </c>
      <c r="I3377" s="2">
        <v>9</v>
      </c>
    </row>
    <row r="3378" spans="1:9" x14ac:dyDescent="0.3">
      <c r="A3378" t="s">
        <v>51</v>
      </c>
      <c r="B3378" s="1">
        <v>45444</v>
      </c>
      <c r="C3378" s="2">
        <v>4127</v>
      </c>
      <c r="D3378" s="2">
        <v>184</v>
      </c>
      <c r="E3378" s="2">
        <v>2349</v>
      </c>
      <c r="F3378" s="2">
        <v>18</v>
      </c>
      <c r="G3378" s="2">
        <v>14</v>
      </c>
      <c r="H3378" s="2">
        <v>1778</v>
      </c>
      <c r="I3378" s="2">
        <v>166</v>
      </c>
    </row>
    <row r="3379" spans="1:9" x14ac:dyDescent="0.3">
      <c r="A3379" t="s">
        <v>51</v>
      </c>
      <c r="B3379" s="1">
        <v>45413</v>
      </c>
      <c r="C3379" s="2">
        <v>3924</v>
      </c>
      <c r="D3379" s="2">
        <v>134</v>
      </c>
      <c r="E3379" s="2">
        <v>2312</v>
      </c>
      <c r="F3379" s="2">
        <v>58</v>
      </c>
      <c r="G3379" s="2">
        <v>16</v>
      </c>
      <c r="H3379" s="2">
        <v>1612</v>
      </c>
      <c r="I3379" s="2">
        <v>76</v>
      </c>
    </row>
    <row r="3380" spans="1:9" x14ac:dyDescent="0.3">
      <c r="A3380" t="s">
        <v>51</v>
      </c>
      <c r="B3380" s="1">
        <v>45383</v>
      </c>
      <c r="C3380" s="2">
        <v>3817</v>
      </c>
      <c r="D3380" s="2">
        <v>-367</v>
      </c>
      <c r="E3380" s="2">
        <v>2281</v>
      </c>
      <c r="F3380" s="2">
        <v>-173</v>
      </c>
      <c r="G3380" s="2">
        <v>-20</v>
      </c>
      <c r="H3380" s="2">
        <v>1536</v>
      </c>
      <c r="I3380" s="2">
        <v>-194</v>
      </c>
    </row>
    <row r="3381" spans="1:9" x14ac:dyDescent="0.3">
      <c r="A3381" t="s">
        <v>51</v>
      </c>
      <c r="B3381" s="1">
        <v>45352</v>
      </c>
      <c r="C3381" s="2">
        <v>4218</v>
      </c>
      <c r="D3381" s="2">
        <v>28</v>
      </c>
      <c r="E3381" s="2">
        <v>2488</v>
      </c>
      <c r="F3381" s="2">
        <v>-125</v>
      </c>
      <c r="G3381" s="2">
        <v>8</v>
      </c>
      <c r="H3381" s="2">
        <v>1730</v>
      </c>
      <c r="I3381" s="2">
        <v>153</v>
      </c>
    </row>
    <row r="3382" spans="1:9" x14ac:dyDescent="0.3">
      <c r="A3382" t="s">
        <v>51</v>
      </c>
      <c r="B3382" s="1">
        <v>45323</v>
      </c>
      <c r="C3382" s="2">
        <v>4192</v>
      </c>
      <c r="D3382" s="2">
        <v>224</v>
      </c>
      <c r="E3382" s="2">
        <v>2615</v>
      </c>
      <c r="F3382" s="2">
        <v>45</v>
      </c>
      <c r="G3382" s="2">
        <v>-17</v>
      </c>
      <c r="H3382" s="2">
        <v>1577</v>
      </c>
      <c r="I3382" s="2">
        <v>179</v>
      </c>
    </row>
    <row r="3383" spans="1:9" x14ac:dyDescent="0.3">
      <c r="A3383" t="s">
        <v>51</v>
      </c>
      <c r="B3383" s="1">
        <v>45292</v>
      </c>
      <c r="C3383" s="2">
        <v>4008</v>
      </c>
      <c r="D3383" s="2">
        <v>67</v>
      </c>
      <c r="E3383" s="2">
        <v>2610</v>
      </c>
      <c r="F3383" s="2">
        <v>269</v>
      </c>
      <c r="G3383" s="2">
        <v>-1</v>
      </c>
      <c r="H3383" s="2">
        <v>1398</v>
      </c>
      <c r="I3383" s="2">
        <v>-202</v>
      </c>
    </row>
    <row r="3384" spans="1:9" x14ac:dyDescent="0.3">
      <c r="A3384" t="s">
        <v>51</v>
      </c>
      <c r="B3384" s="1">
        <v>45261</v>
      </c>
      <c r="C3384" s="2">
        <v>3957</v>
      </c>
      <c r="D3384" s="2">
        <v>177</v>
      </c>
      <c r="E3384" s="2">
        <v>2357</v>
      </c>
      <c r="F3384" s="2">
        <v>41</v>
      </c>
      <c r="G3384" s="2">
        <v>33</v>
      </c>
      <c r="H3384" s="2">
        <v>1600</v>
      </c>
      <c r="I3384" s="2">
        <v>136</v>
      </c>
    </row>
    <row r="3385" spans="1:9" x14ac:dyDescent="0.3">
      <c r="A3385" t="s">
        <v>51</v>
      </c>
      <c r="B3385" s="1">
        <v>45231</v>
      </c>
      <c r="C3385" s="2">
        <v>3739</v>
      </c>
      <c r="D3385" s="2">
        <v>-73</v>
      </c>
      <c r="E3385" s="2">
        <v>2275</v>
      </c>
      <c r="F3385" s="2">
        <v>13</v>
      </c>
      <c r="G3385" s="2">
        <v>32</v>
      </c>
      <c r="H3385" s="2">
        <v>1464</v>
      </c>
      <c r="I3385" s="2">
        <v>-86</v>
      </c>
    </row>
    <row r="3386" spans="1:9" x14ac:dyDescent="0.3">
      <c r="A3386" t="s">
        <v>51</v>
      </c>
      <c r="B3386" s="1">
        <v>45200</v>
      </c>
      <c r="C3386" s="2">
        <v>3803</v>
      </c>
      <c r="D3386" s="2">
        <v>-61</v>
      </c>
      <c r="E3386" s="2">
        <v>2253</v>
      </c>
      <c r="F3386" s="2">
        <v>-75</v>
      </c>
      <c r="G3386" s="2">
        <v>-8</v>
      </c>
      <c r="H3386" s="2">
        <v>1550</v>
      </c>
      <c r="I3386" s="2">
        <v>14</v>
      </c>
    </row>
    <row r="3387" spans="1:9" x14ac:dyDescent="0.3">
      <c r="A3387" t="s">
        <v>51</v>
      </c>
      <c r="B3387" s="1">
        <v>45170</v>
      </c>
      <c r="C3387" s="2">
        <v>3863</v>
      </c>
      <c r="D3387" s="2">
        <v>194</v>
      </c>
      <c r="E3387" s="2">
        <v>2327</v>
      </c>
      <c r="F3387" s="2">
        <v>44</v>
      </c>
      <c r="G3387" s="2">
        <v>-13</v>
      </c>
      <c r="H3387" s="2">
        <v>1536</v>
      </c>
      <c r="I3387" s="2">
        <v>150</v>
      </c>
    </row>
    <row r="3388" spans="1:9" x14ac:dyDescent="0.3">
      <c r="A3388" t="s">
        <v>51</v>
      </c>
      <c r="B3388" s="1">
        <v>45139</v>
      </c>
      <c r="C3388" s="2">
        <v>3671</v>
      </c>
      <c r="D3388" s="2">
        <v>-165</v>
      </c>
      <c r="E3388" s="2">
        <v>2285</v>
      </c>
      <c r="F3388" s="2">
        <v>-9</v>
      </c>
      <c r="G3388" s="2">
        <v>-2</v>
      </c>
      <c r="H3388" s="2">
        <v>1386</v>
      </c>
      <c r="I3388" s="2">
        <v>-156</v>
      </c>
    </row>
    <row r="3389" spans="1:9" x14ac:dyDescent="0.3">
      <c r="A3389" t="s">
        <v>51</v>
      </c>
      <c r="B3389" s="1">
        <v>45108</v>
      </c>
      <c r="C3389" s="2">
        <v>3834</v>
      </c>
      <c r="D3389" s="2">
        <v>-40</v>
      </c>
      <c r="E3389" s="2">
        <v>2292</v>
      </c>
      <c r="F3389" s="2">
        <v>-1</v>
      </c>
      <c r="G3389" s="2">
        <v>2</v>
      </c>
      <c r="H3389" s="2">
        <v>1542</v>
      </c>
      <c r="I3389" s="2">
        <v>-39</v>
      </c>
    </row>
    <row r="3390" spans="1:9" x14ac:dyDescent="0.3">
      <c r="A3390" t="s">
        <v>51</v>
      </c>
      <c r="B3390" s="1">
        <v>45078</v>
      </c>
      <c r="C3390" s="2">
        <v>3871</v>
      </c>
      <c r="D3390" s="2">
        <v>9</v>
      </c>
      <c r="E3390" s="2">
        <v>2290</v>
      </c>
      <c r="F3390" s="2">
        <v>47</v>
      </c>
      <c r="G3390" s="2">
        <v>-8</v>
      </c>
      <c r="H3390" s="2">
        <v>1581</v>
      </c>
      <c r="I3390" s="2">
        <v>-38</v>
      </c>
    </row>
    <row r="3391" spans="1:9" x14ac:dyDescent="0.3">
      <c r="A3391" t="s">
        <v>51</v>
      </c>
      <c r="B3391" s="1">
        <v>45047</v>
      </c>
      <c r="C3391" s="2">
        <v>3862</v>
      </c>
      <c r="D3391" s="2">
        <v>381</v>
      </c>
      <c r="E3391" s="2">
        <v>2243</v>
      </c>
      <c r="F3391" s="2">
        <v>116</v>
      </c>
      <c r="G3391" s="2">
        <v>-12</v>
      </c>
      <c r="H3391" s="2">
        <v>1619</v>
      </c>
      <c r="I3391" s="2">
        <v>265</v>
      </c>
    </row>
    <row r="3392" spans="1:9" x14ac:dyDescent="0.3">
      <c r="A3392" t="s">
        <v>51</v>
      </c>
      <c r="B3392" s="1">
        <v>45017</v>
      </c>
      <c r="C3392" s="2">
        <v>3491</v>
      </c>
      <c r="D3392" s="2">
        <v>-95</v>
      </c>
      <c r="E3392" s="2">
        <v>2137</v>
      </c>
      <c r="F3392" s="2">
        <v>172</v>
      </c>
      <c r="G3392" s="2">
        <v>3</v>
      </c>
      <c r="H3392" s="2">
        <v>1354</v>
      </c>
      <c r="I3392" s="2">
        <v>-267</v>
      </c>
    </row>
    <row r="3393" spans="1:9" x14ac:dyDescent="0.3">
      <c r="A3393" t="s">
        <v>51</v>
      </c>
      <c r="B3393" s="1">
        <v>44986</v>
      </c>
      <c r="C3393" s="2">
        <v>3591</v>
      </c>
      <c r="D3393" s="2">
        <v>140</v>
      </c>
      <c r="E3393" s="2">
        <v>1970</v>
      </c>
      <c r="F3393" s="2">
        <v>-42</v>
      </c>
      <c r="G3393" s="2">
        <v>32</v>
      </c>
      <c r="H3393" s="2">
        <v>1621</v>
      </c>
      <c r="I3393" s="2">
        <v>182</v>
      </c>
    </row>
    <row r="3394" spans="1:9" x14ac:dyDescent="0.3">
      <c r="A3394" t="s">
        <v>51</v>
      </c>
      <c r="B3394" s="1">
        <v>44958</v>
      </c>
      <c r="C3394" s="2">
        <v>3430</v>
      </c>
      <c r="D3394" s="2">
        <v>167</v>
      </c>
      <c r="E3394" s="2">
        <v>1991</v>
      </c>
      <c r="F3394" s="2">
        <v>25</v>
      </c>
      <c r="G3394" s="2">
        <v>-21</v>
      </c>
      <c r="H3394" s="2">
        <v>1439</v>
      </c>
      <c r="I3394" s="2">
        <v>142</v>
      </c>
    </row>
    <row r="3395" spans="1:9" hidden="1" x14ac:dyDescent="0.3">
      <c r="A3395" t="s">
        <v>51</v>
      </c>
      <c r="B3395" s="1">
        <v>44927</v>
      </c>
      <c r="C3395" s="2">
        <v>3293</v>
      </c>
      <c r="D3395" s="2" t="s">
        <v>3</v>
      </c>
      <c r="E3395" s="2">
        <v>1996</v>
      </c>
      <c r="F3395" s="2" t="s">
        <v>3</v>
      </c>
      <c r="G3395" s="2" t="s">
        <v>3</v>
      </c>
      <c r="H3395" s="2">
        <v>1297</v>
      </c>
      <c r="I3395" s="2">
        <v>-126</v>
      </c>
    </row>
    <row r="3396" spans="1:9" hidden="1" x14ac:dyDescent="0.3">
      <c r="A3396" t="s">
        <v>51</v>
      </c>
      <c r="B3396" s="1">
        <v>44896</v>
      </c>
      <c r="C3396" s="2">
        <v>3438</v>
      </c>
      <c r="D3396" s="2" t="s">
        <v>3</v>
      </c>
      <c r="E3396" s="2">
        <v>2015</v>
      </c>
      <c r="F3396" s="2" t="s">
        <v>3</v>
      </c>
      <c r="G3396" s="2" t="s">
        <v>3</v>
      </c>
      <c r="H3396" s="2">
        <v>1423</v>
      </c>
      <c r="I3396" s="2">
        <v>298</v>
      </c>
    </row>
    <row r="3397" spans="1:9" hidden="1" x14ac:dyDescent="0.3">
      <c r="A3397" t="s">
        <v>51</v>
      </c>
      <c r="B3397" s="1">
        <v>44866</v>
      </c>
      <c r="C3397" s="2">
        <v>3127</v>
      </c>
      <c r="D3397" s="2" t="s">
        <v>3</v>
      </c>
      <c r="E3397" s="2">
        <v>2002</v>
      </c>
      <c r="F3397" s="2" t="s">
        <v>3</v>
      </c>
      <c r="G3397" s="2" t="s">
        <v>3</v>
      </c>
      <c r="H3397" s="2">
        <v>1125</v>
      </c>
      <c r="I3397" s="2">
        <v>-116</v>
      </c>
    </row>
    <row r="3398" spans="1:9" hidden="1" x14ac:dyDescent="0.3">
      <c r="A3398" t="s">
        <v>51</v>
      </c>
      <c r="B3398" s="1">
        <v>44835</v>
      </c>
      <c r="C3398" s="2">
        <v>3165</v>
      </c>
      <c r="D3398" s="2" t="s">
        <v>3</v>
      </c>
      <c r="E3398" s="2">
        <v>1924</v>
      </c>
      <c r="F3398" s="2" t="s">
        <v>3</v>
      </c>
      <c r="G3398" s="2" t="s">
        <v>3</v>
      </c>
      <c r="H3398" s="2">
        <v>1241</v>
      </c>
      <c r="I3398" s="2">
        <v>141</v>
      </c>
    </row>
    <row r="3399" spans="1:9" hidden="1" x14ac:dyDescent="0.3">
      <c r="A3399" t="s">
        <v>51</v>
      </c>
      <c r="B3399" s="1">
        <v>44805</v>
      </c>
      <c r="C3399" s="2">
        <v>3002</v>
      </c>
      <c r="D3399" s="2" t="s">
        <v>3</v>
      </c>
      <c r="E3399" s="2">
        <v>1902</v>
      </c>
      <c r="F3399" s="2" t="s">
        <v>3</v>
      </c>
      <c r="G3399" s="2" t="s">
        <v>3</v>
      </c>
      <c r="H3399" s="2">
        <v>1100</v>
      </c>
      <c r="I3399" s="2">
        <v>29</v>
      </c>
    </row>
    <row r="3400" spans="1:9" hidden="1" x14ac:dyDescent="0.3">
      <c r="A3400" t="s">
        <v>51</v>
      </c>
      <c r="B3400" s="1">
        <v>44774</v>
      </c>
      <c r="C3400" s="2">
        <v>3045</v>
      </c>
      <c r="D3400" s="2" t="s">
        <v>3</v>
      </c>
      <c r="E3400" s="2">
        <v>1974</v>
      </c>
      <c r="F3400" s="2" t="s">
        <v>3</v>
      </c>
      <c r="G3400" s="2" t="s">
        <v>3</v>
      </c>
      <c r="H3400" s="2">
        <v>1071</v>
      </c>
      <c r="I3400" s="2">
        <v>184</v>
      </c>
    </row>
    <row r="3401" spans="1:9" hidden="1" x14ac:dyDescent="0.3">
      <c r="A3401" t="s">
        <v>51</v>
      </c>
      <c r="B3401" s="1">
        <v>44743</v>
      </c>
      <c r="C3401" s="2">
        <v>2716</v>
      </c>
      <c r="D3401" s="2" t="s">
        <v>3</v>
      </c>
      <c r="E3401" s="2">
        <v>1829</v>
      </c>
      <c r="F3401" s="2" t="s">
        <v>3</v>
      </c>
      <c r="G3401" s="2" t="s">
        <v>3</v>
      </c>
      <c r="H3401" s="2">
        <v>887</v>
      </c>
      <c r="I3401" s="2">
        <v>118</v>
      </c>
    </row>
    <row r="3402" spans="1:9" hidden="1" x14ac:dyDescent="0.3">
      <c r="A3402" t="s">
        <v>51</v>
      </c>
      <c r="B3402" s="1">
        <v>44713</v>
      </c>
      <c r="C3402" s="2">
        <v>2634</v>
      </c>
      <c r="D3402" s="2" t="s">
        <v>3</v>
      </c>
      <c r="E3402" s="2">
        <v>1865</v>
      </c>
      <c r="F3402" s="2" t="s">
        <v>3</v>
      </c>
      <c r="G3402" s="2" t="s">
        <v>3</v>
      </c>
      <c r="H3402" s="2">
        <v>769</v>
      </c>
      <c r="I3402" s="2">
        <v>14</v>
      </c>
    </row>
    <row r="3403" spans="1:9" hidden="1" x14ac:dyDescent="0.3">
      <c r="A3403" t="s">
        <v>51</v>
      </c>
      <c r="B3403" s="1">
        <v>44682</v>
      </c>
      <c r="C3403" s="2">
        <v>2642</v>
      </c>
      <c r="D3403" s="2" t="s">
        <v>3</v>
      </c>
      <c r="E3403" s="2">
        <v>1887</v>
      </c>
      <c r="F3403" s="2" t="s">
        <v>3</v>
      </c>
      <c r="G3403" s="2" t="s">
        <v>3</v>
      </c>
      <c r="H3403" s="2">
        <v>755</v>
      </c>
      <c r="I3403" s="2">
        <v>17</v>
      </c>
    </row>
    <row r="3404" spans="1:9" hidden="1" x14ac:dyDescent="0.3">
      <c r="A3404" t="s">
        <v>51</v>
      </c>
      <c r="B3404" s="1">
        <v>44652</v>
      </c>
      <c r="C3404" s="2">
        <v>2604</v>
      </c>
      <c r="D3404" s="2" t="s">
        <v>3</v>
      </c>
      <c r="E3404" s="2">
        <v>1866</v>
      </c>
      <c r="F3404" s="2" t="s">
        <v>3</v>
      </c>
      <c r="G3404" s="2" t="s">
        <v>3</v>
      </c>
      <c r="H3404" s="2">
        <v>738</v>
      </c>
      <c r="I3404" s="2">
        <v>20</v>
      </c>
    </row>
    <row r="3405" spans="1:9" hidden="1" x14ac:dyDescent="0.3">
      <c r="A3405" t="s">
        <v>51</v>
      </c>
      <c r="B3405" s="1">
        <v>44621</v>
      </c>
      <c r="C3405" s="2">
        <v>2653</v>
      </c>
      <c r="D3405" s="2" t="s">
        <v>3</v>
      </c>
      <c r="E3405" s="2">
        <v>1935</v>
      </c>
      <c r="F3405" s="2" t="s">
        <v>3</v>
      </c>
      <c r="G3405" s="2" t="s">
        <v>3</v>
      </c>
      <c r="H3405" s="2">
        <v>718</v>
      </c>
      <c r="I3405" s="2">
        <v>84</v>
      </c>
    </row>
    <row r="3406" spans="1:9" hidden="1" x14ac:dyDescent="0.3">
      <c r="A3406" t="s">
        <v>51</v>
      </c>
      <c r="B3406" s="1">
        <v>44593</v>
      </c>
      <c r="C3406" s="2">
        <v>2631</v>
      </c>
      <c r="D3406" s="2" t="s">
        <v>3</v>
      </c>
      <c r="E3406" s="2">
        <v>1997</v>
      </c>
      <c r="F3406" s="2" t="s">
        <v>3</v>
      </c>
      <c r="G3406" s="2" t="s">
        <v>3</v>
      </c>
      <c r="H3406" s="2">
        <v>634</v>
      </c>
      <c r="I3406" s="2">
        <v>-66</v>
      </c>
    </row>
    <row r="3407" spans="1:9" hidden="1" x14ac:dyDescent="0.3">
      <c r="A3407" t="s">
        <v>51</v>
      </c>
      <c r="B3407" s="1">
        <v>44562</v>
      </c>
      <c r="C3407" s="2">
        <v>2629</v>
      </c>
      <c r="D3407" s="2" t="s">
        <v>3</v>
      </c>
      <c r="E3407" s="2">
        <v>1929</v>
      </c>
      <c r="F3407" s="2" t="s">
        <v>3</v>
      </c>
      <c r="G3407" s="2" t="s">
        <v>3</v>
      </c>
      <c r="H3407" s="2">
        <v>700</v>
      </c>
      <c r="I3407" s="2">
        <v>70</v>
      </c>
    </row>
    <row r="3408" spans="1:9" hidden="1" x14ac:dyDescent="0.3">
      <c r="A3408" t="s">
        <v>51</v>
      </c>
      <c r="B3408" s="1">
        <v>44531</v>
      </c>
      <c r="C3408" s="2">
        <v>2583</v>
      </c>
      <c r="D3408" s="2" t="s">
        <v>3</v>
      </c>
      <c r="E3408" s="2">
        <v>1953</v>
      </c>
      <c r="F3408" s="2" t="s">
        <v>3</v>
      </c>
      <c r="G3408" s="2" t="s">
        <v>3</v>
      </c>
      <c r="H3408" s="2">
        <v>630</v>
      </c>
      <c r="I3408" s="2">
        <v>48</v>
      </c>
    </row>
    <row r="3409" spans="1:9" hidden="1" x14ac:dyDescent="0.3">
      <c r="A3409" t="s">
        <v>51</v>
      </c>
      <c r="B3409" s="1">
        <v>44501</v>
      </c>
      <c r="C3409" s="2">
        <v>2448</v>
      </c>
      <c r="D3409" s="2" t="s">
        <v>3</v>
      </c>
      <c r="E3409" s="2">
        <v>1866</v>
      </c>
      <c r="F3409" s="2" t="s">
        <v>3</v>
      </c>
      <c r="G3409" s="2" t="s">
        <v>3</v>
      </c>
      <c r="H3409" s="2">
        <v>582</v>
      </c>
      <c r="I3409" s="2">
        <v>-127</v>
      </c>
    </row>
    <row r="3410" spans="1:9" hidden="1" x14ac:dyDescent="0.3">
      <c r="A3410" t="s">
        <v>51</v>
      </c>
      <c r="B3410" s="1">
        <v>44470</v>
      </c>
      <c r="C3410" s="2">
        <v>2608</v>
      </c>
      <c r="D3410" s="2" t="s">
        <v>3</v>
      </c>
      <c r="E3410" s="2">
        <v>1899</v>
      </c>
      <c r="F3410" s="2" t="s">
        <v>3</v>
      </c>
      <c r="G3410" s="2" t="s">
        <v>3</v>
      </c>
      <c r="H3410" s="2">
        <v>709</v>
      </c>
      <c r="I3410" s="2">
        <v>43</v>
      </c>
    </row>
    <row r="3411" spans="1:9" hidden="1" x14ac:dyDescent="0.3">
      <c r="A3411" t="s">
        <v>51</v>
      </c>
      <c r="B3411" s="1">
        <v>44440</v>
      </c>
      <c r="C3411" s="2">
        <v>2566</v>
      </c>
      <c r="D3411" s="2" t="s">
        <v>3</v>
      </c>
      <c r="E3411" s="2">
        <v>1900</v>
      </c>
      <c r="F3411" s="2" t="s">
        <v>3</v>
      </c>
      <c r="G3411" s="2" t="s">
        <v>3</v>
      </c>
      <c r="H3411" s="2">
        <v>666</v>
      </c>
      <c r="I3411" s="2">
        <v>77</v>
      </c>
    </row>
    <row r="3412" spans="1:9" hidden="1" x14ac:dyDescent="0.3">
      <c r="A3412" t="s">
        <v>51</v>
      </c>
      <c r="B3412" s="1">
        <v>44409</v>
      </c>
      <c r="C3412" s="2">
        <v>2532</v>
      </c>
      <c r="D3412" s="2" t="s">
        <v>3</v>
      </c>
      <c r="E3412" s="2">
        <v>1943</v>
      </c>
      <c r="F3412" s="2" t="s">
        <v>3</v>
      </c>
      <c r="G3412" s="2" t="s">
        <v>3</v>
      </c>
      <c r="H3412" s="2">
        <v>589</v>
      </c>
      <c r="I3412" s="2">
        <v>40</v>
      </c>
    </row>
    <row r="3413" spans="1:9" hidden="1" x14ac:dyDescent="0.3">
      <c r="A3413" t="s">
        <v>51</v>
      </c>
      <c r="B3413" s="1">
        <v>44378</v>
      </c>
      <c r="C3413" s="2">
        <v>2576</v>
      </c>
      <c r="D3413" s="2" t="s">
        <v>3</v>
      </c>
      <c r="E3413" s="2">
        <v>2027</v>
      </c>
      <c r="F3413" s="2" t="s">
        <v>3</v>
      </c>
      <c r="G3413" s="2" t="s">
        <v>3</v>
      </c>
      <c r="H3413" s="2">
        <v>549</v>
      </c>
      <c r="I3413" s="2">
        <v>-84</v>
      </c>
    </row>
    <row r="3414" spans="1:9" hidden="1" x14ac:dyDescent="0.3">
      <c r="A3414" t="s">
        <v>51</v>
      </c>
      <c r="B3414" s="1">
        <v>44348</v>
      </c>
      <c r="C3414" s="2">
        <v>2699</v>
      </c>
      <c r="D3414" s="2" t="s">
        <v>3</v>
      </c>
      <c r="E3414" s="2">
        <v>2066</v>
      </c>
      <c r="F3414" s="2" t="s">
        <v>3</v>
      </c>
      <c r="G3414" s="2" t="s">
        <v>3</v>
      </c>
      <c r="H3414" s="2">
        <v>633</v>
      </c>
      <c r="I3414" s="2">
        <v>31</v>
      </c>
    </row>
    <row r="3415" spans="1:9" hidden="1" x14ac:dyDescent="0.3">
      <c r="A3415" t="s">
        <v>51</v>
      </c>
      <c r="B3415" s="1">
        <v>44317</v>
      </c>
      <c r="C3415" s="2">
        <v>2684</v>
      </c>
      <c r="D3415" s="2" t="s">
        <v>3</v>
      </c>
      <c r="E3415" s="2">
        <v>2082</v>
      </c>
      <c r="F3415" s="2" t="s">
        <v>3</v>
      </c>
      <c r="G3415" s="2" t="s">
        <v>3</v>
      </c>
      <c r="H3415" s="2">
        <v>602</v>
      </c>
      <c r="I3415" s="2">
        <v>62</v>
      </c>
    </row>
    <row r="3416" spans="1:9" hidden="1" x14ac:dyDescent="0.3">
      <c r="A3416" t="s">
        <v>51</v>
      </c>
      <c r="B3416" s="1">
        <v>44287</v>
      </c>
      <c r="C3416" s="2">
        <v>2626</v>
      </c>
      <c r="D3416" s="2" t="s">
        <v>3</v>
      </c>
      <c r="E3416" s="2">
        <v>2086</v>
      </c>
      <c r="F3416" s="2" t="s">
        <v>3</v>
      </c>
      <c r="G3416" s="2" t="s">
        <v>3</v>
      </c>
      <c r="H3416" s="2">
        <v>540</v>
      </c>
      <c r="I3416" s="2">
        <v>-57</v>
      </c>
    </row>
    <row r="3417" spans="1:9" hidden="1" x14ac:dyDescent="0.3">
      <c r="A3417" t="s">
        <v>51</v>
      </c>
      <c r="B3417" s="1">
        <v>44256</v>
      </c>
      <c r="C3417" s="2">
        <v>2538</v>
      </c>
      <c r="D3417" s="2" t="s">
        <v>3</v>
      </c>
      <c r="E3417" s="2">
        <v>1941</v>
      </c>
      <c r="F3417" s="2" t="s">
        <v>3</v>
      </c>
      <c r="G3417" s="2" t="s">
        <v>3</v>
      </c>
      <c r="H3417" s="2">
        <v>597</v>
      </c>
      <c r="I3417" s="2">
        <v>-90</v>
      </c>
    </row>
    <row r="3418" spans="1:9" hidden="1" x14ac:dyDescent="0.3">
      <c r="A3418" t="s">
        <v>51</v>
      </c>
      <c r="B3418" s="1">
        <v>44228</v>
      </c>
      <c r="C3418" s="2">
        <v>2647</v>
      </c>
      <c r="D3418" s="2" t="s">
        <v>3</v>
      </c>
      <c r="E3418" s="2">
        <v>1960</v>
      </c>
      <c r="F3418" s="2" t="s">
        <v>3</v>
      </c>
      <c r="G3418" s="2" t="s">
        <v>3</v>
      </c>
      <c r="H3418" s="2">
        <v>687</v>
      </c>
      <c r="I3418" s="2">
        <v>-267</v>
      </c>
    </row>
    <row r="3419" spans="1:9" hidden="1" x14ac:dyDescent="0.3">
      <c r="A3419" t="s">
        <v>51</v>
      </c>
      <c r="B3419" s="1">
        <v>44197</v>
      </c>
      <c r="C3419" s="2">
        <v>2985</v>
      </c>
      <c r="D3419" s="2" t="s">
        <v>3</v>
      </c>
      <c r="E3419" s="2">
        <v>2031</v>
      </c>
      <c r="F3419" s="2" t="s">
        <v>3</v>
      </c>
      <c r="G3419" s="2" t="s">
        <v>3</v>
      </c>
      <c r="H3419" s="2">
        <v>954</v>
      </c>
      <c r="I3419" s="2">
        <v>-119</v>
      </c>
    </row>
    <row r="3420" spans="1:9" hidden="1" x14ac:dyDescent="0.3">
      <c r="A3420" t="s">
        <v>51</v>
      </c>
      <c r="B3420" s="1">
        <v>44166</v>
      </c>
      <c r="C3420" s="2">
        <v>2980</v>
      </c>
      <c r="D3420" s="2" t="s">
        <v>3</v>
      </c>
      <c r="E3420" s="2">
        <v>1907</v>
      </c>
      <c r="F3420" s="2" t="s">
        <v>3</v>
      </c>
      <c r="G3420" s="2" t="s">
        <v>3</v>
      </c>
      <c r="H3420" s="2">
        <v>1073</v>
      </c>
      <c r="I3420" s="2">
        <v>-28</v>
      </c>
    </row>
    <row r="3421" spans="1:9" hidden="1" x14ac:dyDescent="0.3">
      <c r="A3421" t="s">
        <v>51</v>
      </c>
      <c r="B3421" s="1">
        <v>44136</v>
      </c>
      <c r="C3421" s="2">
        <v>2807</v>
      </c>
      <c r="D3421" s="2" t="s">
        <v>3</v>
      </c>
      <c r="E3421" s="2">
        <v>1706</v>
      </c>
      <c r="F3421" s="2" t="s">
        <v>3</v>
      </c>
      <c r="G3421" s="2" t="s">
        <v>3</v>
      </c>
      <c r="H3421" s="2">
        <v>1101</v>
      </c>
      <c r="I3421" s="2">
        <v>209</v>
      </c>
    </row>
    <row r="3422" spans="1:9" hidden="1" x14ac:dyDescent="0.3">
      <c r="A3422" t="s">
        <v>51</v>
      </c>
      <c r="B3422" s="1">
        <v>44105</v>
      </c>
      <c r="C3422" s="2">
        <v>2761</v>
      </c>
      <c r="D3422" s="2" t="s">
        <v>3</v>
      </c>
      <c r="E3422" s="2">
        <v>1869</v>
      </c>
      <c r="F3422" s="2" t="s">
        <v>3</v>
      </c>
      <c r="G3422" s="2" t="s">
        <v>3</v>
      </c>
      <c r="H3422" s="2">
        <v>892</v>
      </c>
      <c r="I3422" s="2">
        <v>268</v>
      </c>
    </row>
    <row r="3423" spans="1:9" hidden="1" x14ac:dyDescent="0.3">
      <c r="A3423" t="s">
        <v>51</v>
      </c>
      <c r="B3423" s="1">
        <v>44075</v>
      </c>
      <c r="C3423" s="2">
        <v>2482</v>
      </c>
      <c r="D3423" s="2" t="s">
        <v>3</v>
      </c>
      <c r="E3423" s="2">
        <v>1858</v>
      </c>
      <c r="F3423" s="2" t="s">
        <v>3</v>
      </c>
      <c r="G3423" s="2" t="s">
        <v>3</v>
      </c>
      <c r="H3423" s="2">
        <v>624</v>
      </c>
      <c r="I3423" s="2">
        <v>-71</v>
      </c>
    </row>
    <row r="3424" spans="1:9" hidden="1" x14ac:dyDescent="0.3">
      <c r="A3424" t="s">
        <v>51</v>
      </c>
      <c r="B3424" s="1">
        <v>44044</v>
      </c>
      <c r="C3424" s="2">
        <v>2547</v>
      </c>
      <c r="D3424" s="2" t="s">
        <v>3</v>
      </c>
      <c r="E3424" s="2">
        <v>1852</v>
      </c>
      <c r="F3424" s="2" t="s">
        <v>3</v>
      </c>
      <c r="G3424" s="2" t="s">
        <v>3</v>
      </c>
      <c r="H3424" s="2">
        <v>695</v>
      </c>
      <c r="I3424" s="2">
        <v>111</v>
      </c>
    </row>
    <row r="3425" spans="1:9" hidden="1" x14ac:dyDescent="0.3">
      <c r="A3425" t="s">
        <v>51</v>
      </c>
      <c r="B3425" s="1">
        <v>44013</v>
      </c>
      <c r="C3425" s="2">
        <v>2549</v>
      </c>
      <c r="D3425" s="2" t="s">
        <v>3</v>
      </c>
      <c r="E3425" s="2">
        <v>1965</v>
      </c>
      <c r="F3425" s="2" t="s">
        <v>3</v>
      </c>
      <c r="G3425" s="2" t="s">
        <v>3</v>
      </c>
      <c r="H3425" s="2">
        <v>584</v>
      </c>
      <c r="I3425" s="2">
        <v>-81</v>
      </c>
    </row>
    <row r="3426" spans="1:9" hidden="1" x14ac:dyDescent="0.3">
      <c r="A3426" t="s">
        <v>51</v>
      </c>
      <c r="B3426" s="1">
        <v>43983</v>
      </c>
      <c r="C3426" s="2">
        <v>2677</v>
      </c>
      <c r="D3426" s="2" t="s">
        <v>3</v>
      </c>
      <c r="E3426" s="2">
        <v>2012</v>
      </c>
      <c r="F3426" s="2" t="s">
        <v>3</v>
      </c>
      <c r="G3426" s="2" t="s">
        <v>3</v>
      </c>
      <c r="H3426" s="2">
        <v>665</v>
      </c>
      <c r="I3426" s="2">
        <v>166</v>
      </c>
    </row>
    <row r="3427" spans="1:9" hidden="1" x14ac:dyDescent="0.3">
      <c r="A3427" t="s">
        <v>51</v>
      </c>
      <c r="B3427" s="1">
        <v>43952</v>
      </c>
      <c r="C3427" s="2">
        <v>2592</v>
      </c>
      <c r="D3427" s="2" t="s">
        <v>3</v>
      </c>
      <c r="E3427" s="2">
        <v>2093</v>
      </c>
      <c r="F3427" s="2" t="s">
        <v>3</v>
      </c>
      <c r="G3427" s="2" t="s">
        <v>3</v>
      </c>
      <c r="H3427" s="2">
        <v>499</v>
      </c>
      <c r="I3427" s="2">
        <v>19</v>
      </c>
    </row>
    <row r="3428" spans="1:9" hidden="1" x14ac:dyDescent="0.3">
      <c r="A3428" t="s">
        <v>51</v>
      </c>
      <c r="B3428" s="1">
        <v>43922</v>
      </c>
      <c r="C3428" s="2">
        <v>3013</v>
      </c>
      <c r="D3428" s="2" t="s">
        <v>3</v>
      </c>
      <c r="E3428" s="2">
        <v>2533</v>
      </c>
      <c r="F3428" s="2" t="s">
        <v>3</v>
      </c>
      <c r="G3428" s="2" t="s">
        <v>3</v>
      </c>
      <c r="H3428" s="2">
        <v>480</v>
      </c>
      <c r="I3428" s="2">
        <v>-46</v>
      </c>
    </row>
    <row r="3429" spans="1:9" hidden="1" x14ac:dyDescent="0.3">
      <c r="A3429" t="s">
        <v>51</v>
      </c>
      <c r="B3429" s="1">
        <v>43891</v>
      </c>
      <c r="C3429" s="2">
        <v>3236</v>
      </c>
      <c r="D3429" s="2" t="s">
        <v>3</v>
      </c>
      <c r="E3429" s="2">
        <v>2710</v>
      </c>
      <c r="F3429" s="2" t="s">
        <v>3</v>
      </c>
      <c r="G3429" s="2" t="s">
        <v>3</v>
      </c>
      <c r="H3429" s="2">
        <v>526</v>
      </c>
      <c r="I3429" s="2">
        <v>-401</v>
      </c>
    </row>
    <row r="3430" spans="1:9" hidden="1" x14ac:dyDescent="0.3">
      <c r="A3430" t="s">
        <v>51</v>
      </c>
      <c r="B3430" s="1">
        <v>43862</v>
      </c>
      <c r="C3430" s="2">
        <v>3499</v>
      </c>
      <c r="D3430" s="2" t="s">
        <v>3</v>
      </c>
      <c r="E3430" s="2">
        <v>2572</v>
      </c>
      <c r="F3430" s="2" t="s">
        <v>3</v>
      </c>
      <c r="G3430" s="2" t="s">
        <v>3</v>
      </c>
      <c r="H3430" s="2">
        <v>927</v>
      </c>
      <c r="I3430" s="2">
        <v>-55</v>
      </c>
    </row>
    <row r="3431" spans="1:9" hidden="1" x14ac:dyDescent="0.3">
      <c r="A3431" t="s">
        <v>51</v>
      </c>
      <c r="B3431" s="1">
        <v>43831</v>
      </c>
      <c r="C3431" s="2">
        <v>3388</v>
      </c>
      <c r="D3431" s="2" t="s">
        <v>3</v>
      </c>
      <c r="E3431" s="2">
        <v>2406</v>
      </c>
      <c r="F3431" s="2" t="s">
        <v>3</v>
      </c>
      <c r="G3431" s="2" t="s">
        <v>3</v>
      </c>
      <c r="H3431" s="2">
        <v>982</v>
      </c>
      <c r="I3431" s="2">
        <v>117</v>
      </c>
    </row>
    <row r="3432" spans="1:9" x14ac:dyDescent="0.3">
      <c r="A3432" t="s">
        <v>52</v>
      </c>
      <c r="B3432" s="1">
        <v>45931</v>
      </c>
      <c r="C3432" s="2" t="s">
        <v>3</v>
      </c>
      <c r="D3432" s="2" t="s">
        <v>3</v>
      </c>
      <c r="E3432" s="2">
        <v>805</v>
      </c>
      <c r="F3432" s="2">
        <v>9</v>
      </c>
      <c r="G3432" s="2">
        <v>1</v>
      </c>
      <c r="H3432" s="2" t="s">
        <v>3</v>
      </c>
      <c r="I3432" s="2" t="s">
        <v>3</v>
      </c>
    </row>
    <row r="3433" spans="1:9" x14ac:dyDescent="0.3">
      <c r="A3433" t="s">
        <v>52</v>
      </c>
      <c r="B3433" s="1">
        <v>45901</v>
      </c>
      <c r="C3433" s="2" t="s">
        <v>3</v>
      </c>
      <c r="D3433" s="2" t="s">
        <v>3</v>
      </c>
      <c r="E3433" s="2">
        <v>798</v>
      </c>
      <c r="F3433" s="2">
        <v>6</v>
      </c>
      <c r="G3433" s="2">
        <v>1</v>
      </c>
      <c r="H3433" s="2" t="s">
        <v>3</v>
      </c>
      <c r="I3433" s="2" t="s">
        <v>3</v>
      </c>
    </row>
    <row r="3434" spans="1:9" x14ac:dyDescent="0.3">
      <c r="A3434" t="s">
        <v>52</v>
      </c>
      <c r="B3434" s="1">
        <v>45870</v>
      </c>
      <c r="C3434" s="2" t="s">
        <v>3</v>
      </c>
      <c r="D3434" s="2" t="s">
        <v>3</v>
      </c>
      <c r="E3434" s="2">
        <v>795</v>
      </c>
      <c r="F3434" s="2">
        <v>106</v>
      </c>
      <c r="G3434" s="2">
        <v>4</v>
      </c>
      <c r="H3434" s="2" t="s">
        <v>3</v>
      </c>
      <c r="I3434" s="2" t="s">
        <v>3</v>
      </c>
    </row>
    <row r="3435" spans="1:9" x14ac:dyDescent="0.3">
      <c r="A3435" t="s">
        <v>52</v>
      </c>
      <c r="B3435" s="1">
        <v>45839</v>
      </c>
      <c r="C3435" s="2" t="s">
        <v>3</v>
      </c>
      <c r="D3435" s="2" t="s">
        <v>3</v>
      </c>
      <c r="E3435" s="2">
        <v>689</v>
      </c>
      <c r="F3435" s="2">
        <v>4</v>
      </c>
      <c r="G3435" s="2">
        <v>-4</v>
      </c>
      <c r="H3435" s="2" t="s">
        <v>3</v>
      </c>
      <c r="I3435" s="2" t="s">
        <v>3</v>
      </c>
    </row>
    <row r="3436" spans="1:9" x14ac:dyDescent="0.3">
      <c r="A3436" t="s">
        <v>52</v>
      </c>
      <c r="B3436" s="1">
        <v>45809</v>
      </c>
      <c r="C3436" s="2" t="s">
        <v>3</v>
      </c>
      <c r="D3436" s="2" t="s">
        <v>3</v>
      </c>
      <c r="E3436" s="2">
        <v>689</v>
      </c>
      <c r="F3436" s="2">
        <v>4</v>
      </c>
      <c r="G3436" s="2">
        <v>5</v>
      </c>
      <c r="H3436" s="2" t="s">
        <v>3</v>
      </c>
      <c r="I3436" s="2" t="s">
        <v>3</v>
      </c>
    </row>
    <row r="3437" spans="1:9" x14ac:dyDescent="0.3">
      <c r="A3437" t="s">
        <v>52</v>
      </c>
      <c r="B3437" s="1">
        <v>45778</v>
      </c>
      <c r="C3437" s="2" t="s">
        <v>3</v>
      </c>
      <c r="D3437" s="2" t="s">
        <v>3</v>
      </c>
      <c r="E3437" s="2">
        <v>679</v>
      </c>
      <c r="F3437" s="2">
        <v>9</v>
      </c>
      <c r="G3437" s="2">
        <v>-5</v>
      </c>
      <c r="H3437" s="2" t="s">
        <v>3</v>
      </c>
      <c r="I3437" s="2" t="s">
        <v>3</v>
      </c>
    </row>
    <row r="3438" spans="1:9" x14ac:dyDescent="0.3">
      <c r="A3438" t="s">
        <v>52</v>
      </c>
      <c r="B3438" s="1">
        <v>45748</v>
      </c>
      <c r="C3438" s="2" t="s">
        <v>3</v>
      </c>
      <c r="D3438" s="2" t="s">
        <v>3</v>
      </c>
      <c r="E3438" s="2">
        <v>674</v>
      </c>
      <c r="F3438" s="2">
        <v>21</v>
      </c>
      <c r="G3438" s="2">
        <v>5</v>
      </c>
      <c r="H3438" s="2" t="s">
        <v>3</v>
      </c>
      <c r="I3438" s="2" t="s">
        <v>3</v>
      </c>
    </row>
    <row r="3439" spans="1:9" x14ac:dyDescent="0.3">
      <c r="A3439" t="s">
        <v>52</v>
      </c>
      <c r="B3439" s="1">
        <v>45717</v>
      </c>
      <c r="C3439" s="2" t="s">
        <v>3</v>
      </c>
      <c r="D3439" s="2" t="s">
        <v>3</v>
      </c>
      <c r="E3439" s="2">
        <v>654</v>
      </c>
      <c r="F3439" s="2">
        <v>19</v>
      </c>
      <c r="G3439" s="2">
        <v>4</v>
      </c>
      <c r="H3439" s="2" t="s">
        <v>3</v>
      </c>
      <c r="I3439" s="2" t="s">
        <v>3</v>
      </c>
    </row>
    <row r="3440" spans="1:9" x14ac:dyDescent="0.3">
      <c r="A3440" t="s">
        <v>52</v>
      </c>
      <c r="B3440" s="1">
        <v>45689</v>
      </c>
      <c r="C3440" s="2" t="s">
        <v>3</v>
      </c>
      <c r="D3440" s="2" t="s">
        <v>3</v>
      </c>
      <c r="E3440" s="2">
        <v>631</v>
      </c>
      <c r="F3440" s="2">
        <v>-32</v>
      </c>
      <c r="G3440" s="2">
        <v>6</v>
      </c>
      <c r="H3440" s="2" t="s">
        <v>3</v>
      </c>
      <c r="I3440" s="2" t="s">
        <v>3</v>
      </c>
    </row>
    <row r="3441" spans="1:9" x14ac:dyDescent="0.3">
      <c r="A3441" t="s">
        <v>52</v>
      </c>
      <c r="B3441" s="1">
        <v>45658</v>
      </c>
      <c r="C3441" s="2" t="s">
        <v>3</v>
      </c>
      <c r="D3441" s="2" t="s">
        <v>3</v>
      </c>
      <c r="E3441" s="2">
        <v>656</v>
      </c>
      <c r="F3441" s="2">
        <v>-1</v>
      </c>
      <c r="G3441" s="2">
        <v>1</v>
      </c>
      <c r="H3441" s="2" t="s">
        <v>3</v>
      </c>
      <c r="I3441" s="2" t="s">
        <v>3</v>
      </c>
    </row>
    <row r="3442" spans="1:9" x14ac:dyDescent="0.3">
      <c r="A3442" t="s">
        <v>52</v>
      </c>
      <c r="B3442" s="1">
        <v>45627</v>
      </c>
      <c r="C3442" s="2" t="s">
        <v>3</v>
      </c>
      <c r="D3442" s="2" t="s">
        <v>3</v>
      </c>
      <c r="E3442" s="2">
        <v>631</v>
      </c>
      <c r="F3442" s="2">
        <v>25</v>
      </c>
      <c r="G3442" s="2">
        <v>2</v>
      </c>
      <c r="H3442" s="2" t="s">
        <v>3</v>
      </c>
      <c r="I3442" s="2" t="s">
        <v>3</v>
      </c>
    </row>
    <row r="3443" spans="1:9" x14ac:dyDescent="0.3">
      <c r="A3443" t="s">
        <v>52</v>
      </c>
      <c r="B3443" s="1">
        <v>45597</v>
      </c>
      <c r="C3443" s="2" t="s">
        <v>3</v>
      </c>
      <c r="D3443" s="2" t="s">
        <v>3</v>
      </c>
      <c r="E3443" s="2">
        <v>603</v>
      </c>
      <c r="F3443" s="2">
        <v>4</v>
      </c>
      <c r="G3443" s="2">
        <v>2</v>
      </c>
      <c r="H3443" s="2" t="s">
        <v>3</v>
      </c>
      <c r="I3443" s="2" t="s">
        <v>3</v>
      </c>
    </row>
    <row r="3444" spans="1:9" x14ac:dyDescent="0.3">
      <c r="A3444" t="s">
        <v>52</v>
      </c>
      <c r="B3444" s="1">
        <v>45566</v>
      </c>
      <c r="C3444" s="2" t="s">
        <v>3</v>
      </c>
      <c r="D3444" s="2" t="s">
        <v>3</v>
      </c>
      <c r="E3444" s="2">
        <v>596</v>
      </c>
      <c r="F3444" s="2">
        <v>18</v>
      </c>
      <c r="G3444" s="2">
        <v>-11</v>
      </c>
      <c r="H3444" s="2" t="s">
        <v>3</v>
      </c>
      <c r="I3444" s="2" t="s">
        <v>3</v>
      </c>
    </row>
    <row r="3445" spans="1:9" x14ac:dyDescent="0.3">
      <c r="A3445" t="s">
        <v>52</v>
      </c>
      <c r="B3445" s="1">
        <v>45536</v>
      </c>
      <c r="C3445" s="2" t="s">
        <v>3</v>
      </c>
      <c r="D3445" s="2" t="s">
        <v>3</v>
      </c>
      <c r="E3445" s="2">
        <v>589</v>
      </c>
      <c r="F3445" s="2">
        <v>54</v>
      </c>
      <c r="G3445" s="2">
        <v>-6</v>
      </c>
      <c r="H3445" s="2" t="s">
        <v>3</v>
      </c>
      <c r="I3445" s="2" t="s">
        <v>3</v>
      </c>
    </row>
    <row r="3446" spans="1:9" x14ac:dyDescent="0.3">
      <c r="A3446" t="s">
        <v>52</v>
      </c>
      <c r="B3446" s="1">
        <v>45505</v>
      </c>
      <c r="C3446" s="2" t="s">
        <v>3</v>
      </c>
      <c r="D3446" s="2" t="s">
        <v>3</v>
      </c>
      <c r="E3446" s="2">
        <v>534</v>
      </c>
      <c r="F3446" s="2">
        <v>12</v>
      </c>
      <c r="G3446" s="2">
        <v>8</v>
      </c>
      <c r="H3446" s="2" t="s">
        <v>3</v>
      </c>
      <c r="I3446" s="2" t="s">
        <v>3</v>
      </c>
    </row>
    <row r="3447" spans="1:9" x14ac:dyDescent="0.3">
      <c r="A3447" t="s">
        <v>52</v>
      </c>
      <c r="B3447" s="1">
        <v>45474</v>
      </c>
      <c r="C3447" s="2" t="s">
        <v>3</v>
      </c>
      <c r="D3447" s="2" t="s">
        <v>3</v>
      </c>
      <c r="E3447" s="2">
        <v>512</v>
      </c>
      <c r="F3447" s="2">
        <v>48</v>
      </c>
      <c r="G3447" s="2">
        <v>5</v>
      </c>
      <c r="H3447" s="2" t="s">
        <v>3</v>
      </c>
      <c r="I3447" s="2" t="s">
        <v>3</v>
      </c>
    </row>
    <row r="3448" spans="1:9" x14ac:dyDescent="0.3">
      <c r="A3448" t="s">
        <v>52</v>
      </c>
      <c r="B3448" s="1">
        <v>45444</v>
      </c>
      <c r="C3448" s="2" t="s">
        <v>3</v>
      </c>
      <c r="D3448" s="2" t="s">
        <v>3</v>
      </c>
      <c r="E3448" s="2">
        <v>462</v>
      </c>
      <c r="F3448" s="2">
        <v>-3</v>
      </c>
      <c r="G3448" s="2">
        <v>2</v>
      </c>
      <c r="H3448" s="2" t="s">
        <v>3</v>
      </c>
      <c r="I3448" s="2" t="s">
        <v>3</v>
      </c>
    </row>
    <row r="3449" spans="1:9" x14ac:dyDescent="0.3">
      <c r="A3449" t="s">
        <v>52</v>
      </c>
      <c r="B3449" s="1">
        <v>45413</v>
      </c>
      <c r="C3449" s="2" t="s">
        <v>3</v>
      </c>
      <c r="D3449" s="2" t="s">
        <v>3</v>
      </c>
      <c r="E3449" s="2">
        <v>462</v>
      </c>
      <c r="F3449" s="2">
        <v>39</v>
      </c>
      <c r="G3449" s="2">
        <v>3</v>
      </c>
      <c r="H3449" s="2" t="s">
        <v>3</v>
      </c>
      <c r="I3449" s="2" t="s">
        <v>3</v>
      </c>
    </row>
    <row r="3450" spans="1:9" x14ac:dyDescent="0.3">
      <c r="A3450" t="s">
        <v>52</v>
      </c>
      <c r="B3450" s="1">
        <v>45383</v>
      </c>
      <c r="C3450" s="2" t="s">
        <v>3</v>
      </c>
      <c r="D3450" s="2" t="s">
        <v>3</v>
      </c>
      <c r="E3450" s="2">
        <v>421</v>
      </c>
      <c r="F3450" s="2">
        <v>13</v>
      </c>
      <c r="G3450" s="2">
        <v>-6</v>
      </c>
      <c r="H3450" s="2" t="s">
        <v>3</v>
      </c>
      <c r="I3450" s="2" t="s">
        <v>3</v>
      </c>
    </row>
    <row r="3451" spans="1:9" x14ac:dyDescent="0.3">
      <c r="A3451" t="s">
        <v>52</v>
      </c>
      <c r="B3451" s="1">
        <v>45352</v>
      </c>
      <c r="C3451" s="2" t="s">
        <v>3</v>
      </c>
      <c r="D3451" s="2" t="s">
        <v>3</v>
      </c>
      <c r="E3451" s="2">
        <v>415</v>
      </c>
      <c r="F3451" s="2">
        <v>6</v>
      </c>
      <c r="G3451" s="2">
        <v>1</v>
      </c>
      <c r="H3451" s="2" t="s">
        <v>3</v>
      </c>
      <c r="I3451" s="2" t="s">
        <v>3</v>
      </c>
    </row>
    <row r="3452" spans="1:9" x14ac:dyDescent="0.3">
      <c r="A3452" t="s">
        <v>52</v>
      </c>
      <c r="B3452" s="1">
        <v>45323</v>
      </c>
      <c r="C3452" s="2" t="s">
        <v>3</v>
      </c>
      <c r="D3452" s="2" t="s">
        <v>3</v>
      </c>
      <c r="E3452" s="2">
        <v>402</v>
      </c>
      <c r="F3452" s="2">
        <v>49</v>
      </c>
      <c r="G3452" s="2">
        <v>-5</v>
      </c>
      <c r="H3452" s="2" t="s">
        <v>3</v>
      </c>
      <c r="I3452" s="2" t="s">
        <v>3</v>
      </c>
    </row>
    <row r="3453" spans="1:9" x14ac:dyDescent="0.3">
      <c r="A3453" t="s">
        <v>52</v>
      </c>
      <c r="B3453" s="1">
        <v>45292</v>
      </c>
      <c r="C3453" s="2" t="s">
        <v>3</v>
      </c>
      <c r="D3453" s="2" t="s">
        <v>3</v>
      </c>
      <c r="E3453" s="2">
        <v>359</v>
      </c>
      <c r="F3453" s="2">
        <v>-15</v>
      </c>
      <c r="G3453" s="2">
        <v>0</v>
      </c>
      <c r="H3453" s="2" t="s">
        <v>3</v>
      </c>
      <c r="I3453" s="2" t="s">
        <v>3</v>
      </c>
    </row>
    <row r="3454" spans="1:9" x14ac:dyDescent="0.3">
      <c r="A3454" t="s">
        <v>52</v>
      </c>
      <c r="B3454" s="1">
        <v>45261</v>
      </c>
      <c r="C3454" s="2" t="s">
        <v>3</v>
      </c>
      <c r="D3454" s="2" t="s">
        <v>3</v>
      </c>
      <c r="E3454" s="2">
        <v>374</v>
      </c>
      <c r="F3454" s="2">
        <v>23</v>
      </c>
      <c r="G3454" s="2">
        <v>5</v>
      </c>
      <c r="H3454" s="2" t="s">
        <v>3</v>
      </c>
      <c r="I3454" s="2" t="s">
        <v>3</v>
      </c>
    </row>
    <row r="3455" spans="1:9" x14ac:dyDescent="0.3">
      <c r="A3455" t="s">
        <v>52</v>
      </c>
      <c r="B3455" s="1">
        <v>45231</v>
      </c>
      <c r="C3455" s="2" t="s">
        <v>3</v>
      </c>
      <c r="D3455" s="2" t="s">
        <v>3</v>
      </c>
      <c r="E3455" s="2">
        <v>340</v>
      </c>
      <c r="F3455" s="2">
        <v>11</v>
      </c>
      <c r="G3455" s="2">
        <v>6</v>
      </c>
      <c r="H3455" s="2" t="s">
        <v>3</v>
      </c>
      <c r="I3455" s="2" t="s">
        <v>3</v>
      </c>
    </row>
    <row r="3456" spans="1:9" x14ac:dyDescent="0.3">
      <c r="A3456" t="s">
        <v>52</v>
      </c>
      <c r="B3456" s="1">
        <v>45200</v>
      </c>
      <c r="C3456" s="2" t="s">
        <v>3</v>
      </c>
      <c r="D3456" s="2" t="s">
        <v>3</v>
      </c>
      <c r="E3456" s="2">
        <v>334</v>
      </c>
      <c r="F3456" s="2">
        <v>16</v>
      </c>
      <c r="G3456" s="2">
        <v>0</v>
      </c>
      <c r="H3456" s="2" t="s">
        <v>3</v>
      </c>
      <c r="I3456" s="2" t="s">
        <v>3</v>
      </c>
    </row>
    <row r="3457" spans="1:9" x14ac:dyDescent="0.3">
      <c r="A3457" t="s">
        <v>52</v>
      </c>
      <c r="B3457" s="1">
        <v>45170</v>
      </c>
      <c r="C3457" s="2" t="s">
        <v>3</v>
      </c>
      <c r="D3457" s="2" t="s">
        <v>3</v>
      </c>
      <c r="E3457" s="2">
        <v>320</v>
      </c>
      <c r="F3457" s="2">
        <v>2</v>
      </c>
      <c r="G3457" s="2">
        <v>-3</v>
      </c>
      <c r="H3457" s="2" t="s">
        <v>3</v>
      </c>
      <c r="I3457" s="2" t="s">
        <v>3</v>
      </c>
    </row>
    <row r="3458" spans="1:9" x14ac:dyDescent="0.3">
      <c r="A3458" t="s">
        <v>52</v>
      </c>
      <c r="B3458" s="1">
        <v>45139</v>
      </c>
      <c r="C3458" s="2" t="s">
        <v>3</v>
      </c>
      <c r="D3458" s="2" t="s">
        <v>3</v>
      </c>
      <c r="E3458" s="2">
        <v>323</v>
      </c>
      <c r="F3458" s="2">
        <v>4</v>
      </c>
      <c r="G3458" s="2">
        <v>-1</v>
      </c>
      <c r="H3458" s="2" t="s">
        <v>3</v>
      </c>
      <c r="I3458" s="2" t="s">
        <v>3</v>
      </c>
    </row>
    <row r="3459" spans="1:9" x14ac:dyDescent="0.3">
      <c r="A3459" t="s">
        <v>52</v>
      </c>
      <c r="B3459" s="1">
        <v>45108</v>
      </c>
      <c r="C3459" s="2" t="s">
        <v>3</v>
      </c>
      <c r="D3459" s="2" t="s">
        <v>3</v>
      </c>
      <c r="E3459" s="2">
        <v>322</v>
      </c>
      <c r="F3459" s="2">
        <v>-92</v>
      </c>
      <c r="G3459" s="2">
        <v>0</v>
      </c>
      <c r="H3459" s="2" t="s">
        <v>3</v>
      </c>
      <c r="I3459" s="2" t="s">
        <v>3</v>
      </c>
    </row>
    <row r="3460" spans="1:9" x14ac:dyDescent="0.3">
      <c r="A3460" t="s">
        <v>52</v>
      </c>
      <c r="B3460" s="1">
        <v>45078</v>
      </c>
      <c r="C3460" s="2" t="s">
        <v>3</v>
      </c>
      <c r="D3460" s="2" t="s">
        <v>3</v>
      </c>
      <c r="E3460" s="2">
        <v>277</v>
      </c>
      <c r="F3460" s="2">
        <v>12</v>
      </c>
      <c r="G3460" s="2">
        <v>-2</v>
      </c>
      <c r="H3460" s="2" t="s">
        <v>3</v>
      </c>
      <c r="I3460" s="2" t="s">
        <v>3</v>
      </c>
    </row>
    <row r="3461" spans="1:9" x14ac:dyDescent="0.3">
      <c r="A3461" t="s">
        <v>52</v>
      </c>
      <c r="B3461" s="1">
        <v>45047</v>
      </c>
      <c r="C3461" s="2" t="s">
        <v>3</v>
      </c>
      <c r="D3461" s="2" t="s">
        <v>3</v>
      </c>
      <c r="E3461" s="2">
        <v>268</v>
      </c>
      <c r="F3461" s="2">
        <v>-14</v>
      </c>
      <c r="G3461" s="2">
        <v>-2</v>
      </c>
      <c r="H3461" s="2" t="s">
        <v>3</v>
      </c>
      <c r="I3461" s="2" t="s">
        <v>3</v>
      </c>
    </row>
    <row r="3462" spans="1:9" x14ac:dyDescent="0.3">
      <c r="A3462" t="s">
        <v>52</v>
      </c>
      <c r="B3462" s="1">
        <v>45017</v>
      </c>
      <c r="C3462" s="2" t="s">
        <v>3</v>
      </c>
      <c r="D3462" s="2" t="s">
        <v>3</v>
      </c>
      <c r="E3462" s="2">
        <v>283</v>
      </c>
      <c r="F3462" s="2">
        <v>18</v>
      </c>
      <c r="G3462" s="2">
        <v>1</v>
      </c>
      <c r="H3462" s="2" t="s">
        <v>3</v>
      </c>
      <c r="I3462" s="2" t="s">
        <v>3</v>
      </c>
    </row>
    <row r="3463" spans="1:9" x14ac:dyDescent="0.3">
      <c r="A3463" t="s">
        <v>52</v>
      </c>
      <c r="B3463" s="1">
        <v>44986</v>
      </c>
      <c r="C3463" s="2" t="s">
        <v>3</v>
      </c>
      <c r="D3463" s="2" t="s">
        <v>3</v>
      </c>
      <c r="E3463" s="2">
        <v>264</v>
      </c>
      <c r="F3463" s="2">
        <v>1</v>
      </c>
      <c r="G3463" s="2">
        <v>4</v>
      </c>
      <c r="H3463" s="2" t="s">
        <v>3</v>
      </c>
      <c r="I3463" s="2" t="s">
        <v>3</v>
      </c>
    </row>
    <row r="3464" spans="1:9" x14ac:dyDescent="0.3">
      <c r="A3464" t="s">
        <v>52</v>
      </c>
      <c r="B3464" s="1">
        <v>44958</v>
      </c>
      <c r="C3464" s="2" t="s">
        <v>3</v>
      </c>
      <c r="D3464" s="2" t="s">
        <v>3</v>
      </c>
      <c r="E3464" s="2">
        <v>258</v>
      </c>
      <c r="F3464" s="2">
        <v>8</v>
      </c>
      <c r="G3464" s="2">
        <v>-4</v>
      </c>
      <c r="H3464" s="2" t="s">
        <v>3</v>
      </c>
      <c r="I3464" s="2" t="s">
        <v>3</v>
      </c>
    </row>
    <row r="3465" spans="1:9" hidden="1" x14ac:dyDescent="0.3">
      <c r="A3465" t="s">
        <v>52</v>
      </c>
      <c r="B3465" s="1">
        <v>44927</v>
      </c>
      <c r="C3465" s="2" t="s">
        <v>3</v>
      </c>
      <c r="D3465" s="2" t="s">
        <v>3</v>
      </c>
      <c r="E3465" s="2">
        <v>257</v>
      </c>
      <c r="F3465" s="2" t="s">
        <v>3</v>
      </c>
      <c r="G3465" s="2" t="s">
        <v>3</v>
      </c>
      <c r="H3465" s="2" t="s">
        <v>3</v>
      </c>
      <c r="I3465" s="2" t="s">
        <v>3</v>
      </c>
    </row>
    <row r="3466" spans="1:9" hidden="1" x14ac:dyDescent="0.3">
      <c r="A3466" t="s">
        <v>52</v>
      </c>
      <c r="B3466" s="1">
        <v>44896</v>
      </c>
      <c r="C3466" s="2" t="s">
        <v>3</v>
      </c>
      <c r="D3466" s="2" t="s">
        <v>3</v>
      </c>
      <c r="E3466" s="2">
        <v>243</v>
      </c>
      <c r="F3466" s="2" t="s">
        <v>3</v>
      </c>
      <c r="G3466" s="2" t="s">
        <v>3</v>
      </c>
      <c r="H3466" s="2" t="s">
        <v>3</v>
      </c>
      <c r="I3466" s="2" t="s">
        <v>3</v>
      </c>
    </row>
    <row r="3467" spans="1:9" hidden="1" x14ac:dyDescent="0.3">
      <c r="A3467" t="s">
        <v>52</v>
      </c>
      <c r="B3467" s="1">
        <v>44866</v>
      </c>
      <c r="C3467" s="2" t="s">
        <v>3</v>
      </c>
      <c r="D3467" s="2" t="s">
        <v>3</v>
      </c>
      <c r="E3467" s="2">
        <v>257</v>
      </c>
      <c r="F3467" s="2" t="s">
        <v>3</v>
      </c>
      <c r="G3467" s="2" t="s">
        <v>3</v>
      </c>
      <c r="H3467" s="2" t="s">
        <v>3</v>
      </c>
      <c r="I3467" s="2" t="s">
        <v>3</v>
      </c>
    </row>
    <row r="3468" spans="1:9" hidden="1" x14ac:dyDescent="0.3">
      <c r="A3468" t="s">
        <v>52</v>
      </c>
      <c r="B3468" s="1">
        <v>44835</v>
      </c>
      <c r="C3468" s="2" t="s">
        <v>3</v>
      </c>
      <c r="D3468" s="2" t="s">
        <v>3</v>
      </c>
      <c r="E3468" s="2">
        <v>218</v>
      </c>
      <c r="F3468" s="2" t="s">
        <v>3</v>
      </c>
      <c r="G3468" s="2" t="s">
        <v>3</v>
      </c>
      <c r="H3468" s="2" t="s">
        <v>3</v>
      </c>
      <c r="I3468" s="2" t="s">
        <v>3</v>
      </c>
    </row>
    <row r="3469" spans="1:9" hidden="1" x14ac:dyDescent="0.3">
      <c r="A3469" t="s">
        <v>52</v>
      </c>
      <c r="B3469" s="1">
        <v>44805</v>
      </c>
      <c r="C3469" s="2" t="s">
        <v>3</v>
      </c>
      <c r="D3469" s="2" t="s">
        <v>3</v>
      </c>
      <c r="E3469" s="2">
        <v>219</v>
      </c>
      <c r="F3469" s="2" t="s">
        <v>3</v>
      </c>
      <c r="G3469" s="2" t="s">
        <v>3</v>
      </c>
      <c r="H3469" s="2" t="s">
        <v>3</v>
      </c>
      <c r="I3469" s="2" t="s">
        <v>3</v>
      </c>
    </row>
    <row r="3470" spans="1:9" hidden="1" x14ac:dyDescent="0.3">
      <c r="A3470" t="s">
        <v>52</v>
      </c>
      <c r="B3470" s="1">
        <v>44774</v>
      </c>
      <c r="C3470" s="2" t="s">
        <v>3</v>
      </c>
      <c r="D3470" s="2" t="s">
        <v>3</v>
      </c>
      <c r="E3470" s="2">
        <v>243</v>
      </c>
      <c r="F3470" s="2" t="s">
        <v>3</v>
      </c>
      <c r="G3470" s="2" t="s">
        <v>3</v>
      </c>
      <c r="H3470" s="2" t="s">
        <v>3</v>
      </c>
      <c r="I3470" s="2" t="s">
        <v>3</v>
      </c>
    </row>
    <row r="3471" spans="1:9" hidden="1" x14ac:dyDescent="0.3">
      <c r="A3471" t="s">
        <v>52</v>
      </c>
      <c r="B3471" s="1">
        <v>44743</v>
      </c>
      <c r="C3471" s="2" t="s">
        <v>3</v>
      </c>
      <c r="D3471" s="2" t="s">
        <v>3</v>
      </c>
      <c r="E3471" s="2">
        <v>245</v>
      </c>
      <c r="F3471" s="2" t="s">
        <v>3</v>
      </c>
      <c r="G3471" s="2" t="s">
        <v>3</v>
      </c>
      <c r="H3471" s="2" t="s">
        <v>3</v>
      </c>
      <c r="I3471" s="2" t="s">
        <v>3</v>
      </c>
    </row>
    <row r="3472" spans="1:9" hidden="1" x14ac:dyDescent="0.3">
      <c r="A3472" t="s">
        <v>52</v>
      </c>
      <c r="B3472" s="1">
        <v>44713</v>
      </c>
      <c r="C3472" s="2" t="s">
        <v>3</v>
      </c>
      <c r="D3472" s="2" t="s">
        <v>3</v>
      </c>
      <c r="E3472" s="2">
        <v>265</v>
      </c>
      <c r="F3472" s="2" t="s">
        <v>3</v>
      </c>
      <c r="G3472" s="2" t="s">
        <v>3</v>
      </c>
      <c r="H3472" s="2" t="s">
        <v>3</v>
      </c>
      <c r="I3472" s="2" t="s">
        <v>3</v>
      </c>
    </row>
    <row r="3473" spans="1:9" hidden="1" x14ac:dyDescent="0.3">
      <c r="A3473" t="s">
        <v>52</v>
      </c>
      <c r="B3473" s="1">
        <v>44682</v>
      </c>
      <c r="C3473" s="2" t="s">
        <v>3</v>
      </c>
      <c r="D3473" s="2" t="s">
        <v>3</v>
      </c>
      <c r="E3473" s="2">
        <v>250</v>
      </c>
      <c r="F3473" s="2" t="s">
        <v>3</v>
      </c>
      <c r="G3473" s="2" t="s">
        <v>3</v>
      </c>
      <c r="H3473" s="2" t="s">
        <v>3</v>
      </c>
      <c r="I3473" s="2" t="s">
        <v>3</v>
      </c>
    </row>
    <row r="3474" spans="1:9" hidden="1" x14ac:dyDescent="0.3">
      <c r="A3474" t="s">
        <v>52</v>
      </c>
      <c r="B3474" s="1">
        <v>44652</v>
      </c>
      <c r="C3474" s="2" t="s">
        <v>3</v>
      </c>
      <c r="D3474" s="2" t="s">
        <v>3</v>
      </c>
      <c r="E3474" s="2">
        <v>233</v>
      </c>
      <c r="F3474" s="2" t="s">
        <v>3</v>
      </c>
      <c r="G3474" s="2" t="s">
        <v>3</v>
      </c>
      <c r="H3474" s="2" t="s">
        <v>3</v>
      </c>
      <c r="I3474" s="2" t="s">
        <v>3</v>
      </c>
    </row>
    <row r="3475" spans="1:9" hidden="1" x14ac:dyDescent="0.3">
      <c r="A3475" t="s">
        <v>52</v>
      </c>
      <c r="B3475" s="1">
        <v>44621</v>
      </c>
      <c r="C3475" s="2" t="s">
        <v>3</v>
      </c>
      <c r="D3475" s="2" t="s">
        <v>3</v>
      </c>
      <c r="E3475" s="2">
        <v>237</v>
      </c>
      <c r="F3475" s="2" t="s">
        <v>3</v>
      </c>
      <c r="G3475" s="2" t="s">
        <v>3</v>
      </c>
      <c r="H3475" s="2" t="s">
        <v>3</v>
      </c>
      <c r="I3475" s="2" t="s">
        <v>3</v>
      </c>
    </row>
    <row r="3476" spans="1:9" hidden="1" x14ac:dyDescent="0.3">
      <c r="A3476" t="s">
        <v>52</v>
      </c>
      <c r="B3476" s="1">
        <v>44593</v>
      </c>
      <c r="C3476" s="2" t="s">
        <v>3</v>
      </c>
      <c r="D3476" s="2" t="s">
        <v>3</v>
      </c>
      <c r="E3476" s="2">
        <v>248</v>
      </c>
      <c r="F3476" s="2" t="s">
        <v>3</v>
      </c>
      <c r="G3476" s="2" t="s">
        <v>3</v>
      </c>
      <c r="H3476" s="2" t="s">
        <v>3</v>
      </c>
      <c r="I3476" s="2" t="s">
        <v>3</v>
      </c>
    </row>
    <row r="3477" spans="1:9" hidden="1" x14ac:dyDescent="0.3">
      <c r="A3477" t="s">
        <v>52</v>
      </c>
      <c r="B3477" s="1">
        <v>44562</v>
      </c>
      <c r="C3477" s="2" t="s">
        <v>3</v>
      </c>
      <c r="D3477" s="2" t="s">
        <v>3</v>
      </c>
      <c r="E3477" s="2">
        <v>93</v>
      </c>
      <c r="F3477" s="2" t="s">
        <v>3</v>
      </c>
      <c r="G3477" s="2" t="s">
        <v>3</v>
      </c>
      <c r="H3477" s="2" t="s">
        <v>3</v>
      </c>
      <c r="I3477" s="2" t="s">
        <v>3</v>
      </c>
    </row>
    <row r="3478" spans="1:9" hidden="1" x14ac:dyDescent="0.3">
      <c r="A3478" t="s">
        <v>52</v>
      </c>
      <c r="B3478" s="1">
        <v>44531</v>
      </c>
      <c r="C3478" s="2" t="s">
        <v>3</v>
      </c>
      <c r="D3478" s="2" t="s">
        <v>3</v>
      </c>
      <c r="E3478" s="2">
        <v>89</v>
      </c>
      <c r="F3478" s="2" t="s">
        <v>3</v>
      </c>
      <c r="G3478" s="2" t="s">
        <v>3</v>
      </c>
      <c r="H3478" s="2" t="s">
        <v>3</v>
      </c>
      <c r="I3478" s="2" t="s">
        <v>3</v>
      </c>
    </row>
    <row r="3479" spans="1:9" hidden="1" x14ac:dyDescent="0.3">
      <c r="A3479" t="s">
        <v>52</v>
      </c>
      <c r="B3479" s="1">
        <v>44501</v>
      </c>
      <c r="C3479" s="2" t="s">
        <v>3</v>
      </c>
      <c r="D3479" s="2" t="s">
        <v>3</v>
      </c>
      <c r="E3479" s="2">
        <v>107</v>
      </c>
      <c r="F3479" s="2" t="s">
        <v>3</v>
      </c>
      <c r="G3479" s="2" t="s">
        <v>3</v>
      </c>
      <c r="H3479" s="2" t="s">
        <v>3</v>
      </c>
      <c r="I3479" s="2" t="s">
        <v>3</v>
      </c>
    </row>
    <row r="3480" spans="1:9" hidden="1" x14ac:dyDescent="0.3">
      <c r="A3480" t="s">
        <v>52</v>
      </c>
      <c r="B3480" s="1">
        <v>44470</v>
      </c>
      <c r="C3480" s="2" t="s">
        <v>3</v>
      </c>
      <c r="D3480" s="2" t="s">
        <v>3</v>
      </c>
      <c r="E3480" s="2">
        <v>87</v>
      </c>
      <c r="F3480" s="2" t="s">
        <v>3</v>
      </c>
      <c r="G3480" s="2" t="s">
        <v>3</v>
      </c>
      <c r="H3480" s="2" t="s">
        <v>3</v>
      </c>
      <c r="I3480" s="2" t="s">
        <v>3</v>
      </c>
    </row>
    <row r="3481" spans="1:9" hidden="1" x14ac:dyDescent="0.3">
      <c r="A3481" t="s">
        <v>52</v>
      </c>
      <c r="B3481" s="1">
        <v>44440</v>
      </c>
      <c r="C3481" s="2" t="s">
        <v>3</v>
      </c>
      <c r="D3481" s="2" t="s">
        <v>3</v>
      </c>
      <c r="E3481" s="2">
        <v>78</v>
      </c>
      <c r="F3481" s="2" t="s">
        <v>3</v>
      </c>
      <c r="G3481" s="2" t="s">
        <v>3</v>
      </c>
      <c r="H3481" s="2" t="s">
        <v>3</v>
      </c>
      <c r="I3481" s="2" t="s">
        <v>3</v>
      </c>
    </row>
    <row r="3482" spans="1:9" hidden="1" x14ac:dyDescent="0.3">
      <c r="A3482" t="s">
        <v>52</v>
      </c>
      <c r="B3482" s="1">
        <v>44409</v>
      </c>
      <c r="C3482" s="2" t="s">
        <v>3</v>
      </c>
      <c r="D3482" s="2" t="s">
        <v>3</v>
      </c>
      <c r="E3482" s="2">
        <v>81</v>
      </c>
      <c r="F3482" s="2" t="s">
        <v>3</v>
      </c>
      <c r="G3482" s="2" t="s">
        <v>3</v>
      </c>
      <c r="H3482" s="2" t="s">
        <v>3</v>
      </c>
      <c r="I3482" s="2" t="s">
        <v>3</v>
      </c>
    </row>
    <row r="3483" spans="1:9" hidden="1" x14ac:dyDescent="0.3">
      <c r="A3483" t="s">
        <v>52</v>
      </c>
      <c r="B3483" s="1">
        <v>44378</v>
      </c>
      <c r="C3483" s="2" t="s">
        <v>3</v>
      </c>
      <c r="D3483" s="2" t="s">
        <v>3</v>
      </c>
      <c r="E3483" s="2">
        <v>87</v>
      </c>
      <c r="F3483" s="2" t="s">
        <v>3</v>
      </c>
      <c r="G3483" s="2" t="s">
        <v>3</v>
      </c>
      <c r="H3483" s="2" t="s">
        <v>3</v>
      </c>
      <c r="I3483" s="2" t="s">
        <v>3</v>
      </c>
    </row>
    <row r="3484" spans="1:9" hidden="1" x14ac:dyDescent="0.3">
      <c r="A3484" t="s">
        <v>52</v>
      </c>
      <c r="B3484" s="1">
        <v>44348</v>
      </c>
      <c r="C3484" s="2" t="s">
        <v>3</v>
      </c>
      <c r="D3484" s="2" t="s">
        <v>3</v>
      </c>
      <c r="E3484" s="2">
        <v>80</v>
      </c>
      <c r="F3484" s="2" t="s">
        <v>3</v>
      </c>
      <c r="G3484" s="2" t="s">
        <v>3</v>
      </c>
      <c r="H3484" s="2" t="s">
        <v>3</v>
      </c>
      <c r="I3484" s="2" t="s">
        <v>3</v>
      </c>
    </row>
    <row r="3485" spans="1:9" hidden="1" x14ac:dyDescent="0.3">
      <c r="A3485" t="s">
        <v>52</v>
      </c>
      <c r="B3485" s="1">
        <v>44317</v>
      </c>
      <c r="C3485" s="2" t="s">
        <v>3</v>
      </c>
      <c r="D3485" s="2" t="s">
        <v>3</v>
      </c>
      <c r="E3485" s="2">
        <v>96</v>
      </c>
      <c r="F3485" s="2" t="s">
        <v>3</v>
      </c>
      <c r="G3485" s="2" t="s">
        <v>3</v>
      </c>
      <c r="H3485" s="2" t="s">
        <v>3</v>
      </c>
      <c r="I3485" s="2" t="s">
        <v>3</v>
      </c>
    </row>
    <row r="3486" spans="1:9" hidden="1" x14ac:dyDescent="0.3">
      <c r="A3486" t="s">
        <v>52</v>
      </c>
      <c r="B3486" s="1">
        <v>44287</v>
      </c>
      <c r="C3486" s="2" t="s">
        <v>3</v>
      </c>
      <c r="D3486" s="2" t="s">
        <v>3</v>
      </c>
      <c r="E3486" s="2">
        <v>105</v>
      </c>
      <c r="F3486" s="2" t="s">
        <v>3</v>
      </c>
      <c r="G3486" s="2" t="s">
        <v>3</v>
      </c>
      <c r="H3486" s="2" t="s">
        <v>3</v>
      </c>
      <c r="I3486" s="2" t="s">
        <v>3</v>
      </c>
    </row>
    <row r="3487" spans="1:9" hidden="1" x14ac:dyDescent="0.3">
      <c r="A3487" t="s">
        <v>52</v>
      </c>
      <c r="B3487" s="1">
        <v>44256</v>
      </c>
      <c r="C3487" s="2" t="s">
        <v>3</v>
      </c>
      <c r="D3487" s="2" t="s">
        <v>3</v>
      </c>
      <c r="E3487" s="2">
        <v>107</v>
      </c>
      <c r="F3487" s="2" t="s">
        <v>3</v>
      </c>
      <c r="G3487" s="2" t="s">
        <v>3</v>
      </c>
      <c r="H3487" s="2" t="s">
        <v>3</v>
      </c>
      <c r="I3487" s="2" t="s">
        <v>3</v>
      </c>
    </row>
    <row r="3488" spans="1:9" hidden="1" x14ac:dyDescent="0.3">
      <c r="A3488" t="s">
        <v>52</v>
      </c>
      <c r="B3488" s="1">
        <v>44228</v>
      </c>
      <c r="C3488" s="2" t="s">
        <v>3</v>
      </c>
      <c r="D3488" s="2" t="s">
        <v>3</v>
      </c>
      <c r="E3488" s="2">
        <v>107</v>
      </c>
      <c r="F3488" s="2" t="s">
        <v>3</v>
      </c>
      <c r="G3488" s="2" t="s">
        <v>3</v>
      </c>
      <c r="H3488" s="2" t="s">
        <v>3</v>
      </c>
      <c r="I3488" s="2" t="s">
        <v>3</v>
      </c>
    </row>
    <row r="3489" spans="1:9" hidden="1" x14ac:dyDescent="0.3">
      <c r="A3489" t="s">
        <v>52</v>
      </c>
      <c r="B3489" s="1">
        <v>44197</v>
      </c>
      <c r="C3489" s="2" t="s">
        <v>3</v>
      </c>
      <c r="D3489" s="2" t="s">
        <v>3</v>
      </c>
      <c r="E3489" s="2">
        <v>105</v>
      </c>
      <c r="F3489" s="2" t="s">
        <v>3</v>
      </c>
      <c r="G3489" s="2" t="s">
        <v>3</v>
      </c>
      <c r="H3489" s="2" t="s">
        <v>3</v>
      </c>
      <c r="I3489" s="2" t="s">
        <v>3</v>
      </c>
    </row>
    <row r="3490" spans="1:9" hidden="1" x14ac:dyDescent="0.3">
      <c r="A3490" t="s">
        <v>52</v>
      </c>
      <c r="B3490" s="1">
        <v>44166</v>
      </c>
      <c r="C3490" s="2" t="s">
        <v>3</v>
      </c>
      <c r="D3490" s="2" t="s">
        <v>3</v>
      </c>
      <c r="E3490" s="2">
        <v>109</v>
      </c>
      <c r="F3490" s="2" t="s">
        <v>3</v>
      </c>
      <c r="G3490" s="2" t="s">
        <v>3</v>
      </c>
      <c r="H3490" s="2" t="s">
        <v>3</v>
      </c>
      <c r="I3490" s="2" t="s">
        <v>3</v>
      </c>
    </row>
    <row r="3491" spans="1:9" hidden="1" x14ac:dyDescent="0.3">
      <c r="A3491" t="s">
        <v>52</v>
      </c>
      <c r="B3491" s="1">
        <v>44136</v>
      </c>
      <c r="C3491" s="2" t="s">
        <v>3</v>
      </c>
      <c r="D3491" s="2" t="s">
        <v>3</v>
      </c>
      <c r="E3491" s="2">
        <v>82</v>
      </c>
      <c r="F3491" s="2" t="s">
        <v>3</v>
      </c>
      <c r="G3491" s="2" t="s">
        <v>3</v>
      </c>
      <c r="H3491" s="2" t="s">
        <v>3</v>
      </c>
      <c r="I3491" s="2" t="s">
        <v>3</v>
      </c>
    </row>
    <row r="3492" spans="1:9" hidden="1" x14ac:dyDescent="0.3">
      <c r="A3492" t="s">
        <v>52</v>
      </c>
      <c r="B3492" s="1">
        <v>44105</v>
      </c>
      <c r="C3492" s="2" t="s">
        <v>3</v>
      </c>
      <c r="D3492" s="2" t="s">
        <v>3</v>
      </c>
      <c r="E3492" s="2">
        <v>82</v>
      </c>
      <c r="F3492" s="2" t="s">
        <v>3</v>
      </c>
      <c r="G3492" s="2" t="s">
        <v>3</v>
      </c>
      <c r="H3492" s="2" t="s">
        <v>3</v>
      </c>
      <c r="I3492" s="2" t="s">
        <v>3</v>
      </c>
    </row>
    <row r="3493" spans="1:9" hidden="1" x14ac:dyDescent="0.3">
      <c r="A3493" t="s">
        <v>52</v>
      </c>
      <c r="B3493" s="1">
        <v>44075</v>
      </c>
      <c r="C3493" s="2" t="s">
        <v>3</v>
      </c>
      <c r="D3493" s="2" t="s">
        <v>3</v>
      </c>
      <c r="E3493" s="2">
        <v>82</v>
      </c>
      <c r="F3493" s="2" t="s">
        <v>3</v>
      </c>
      <c r="G3493" s="2" t="s">
        <v>3</v>
      </c>
      <c r="H3493" s="2" t="s">
        <v>3</v>
      </c>
      <c r="I3493" s="2" t="s">
        <v>3</v>
      </c>
    </row>
    <row r="3494" spans="1:9" hidden="1" x14ac:dyDescent="0.3">
      <c r="A3494" t="s">
        <v>52</v>
      </c>
      <c r="B3494" s="1">
        <v>44044</v>
      </c>
      <c r="C3494" s="2" t="s">
        <v>3</v>
      </c>
      <c r="D3494" s="2" t="s">
        <v>3</v>
      </c>
      <c r="E3494" s="2">
        <v>82</v>
      </c>
      <c r="F3494" s="2" t="s">
        <v>3</v>
      </c>
      <c r="G3494" s="2" t="s">
        <v>3</v>
      </c>
      <c r="H3494" s="2" t="s">
        <v>3</v>
      </c>
      <c r="I3494" s="2" t="s">
        <v>3</v>
      </c>
    </row>
    <row r="3495" spans="1:9" hidden="1" x14ac:dyDescent="0.3">
      <c r="A3495" t="s">
        <v>52</v>
      </c>
      <c r="B3495" s="1">
        <v>44013</v>
      </c>
      <c r="C3495" s="2" t="s">
        <v>3</v>
      </c>
      <c r="D3495" s="2" t="s">
        <v>3</v>
      </c>
      <c r="E3495" s="2">
        <v>82</v>
      </c>
      <c r="F3495" s="2" t="s">
        <v>3</v>
      </c>
      <c r="G3495" s="2" t="s">
        <v>3</v>
      </c>
      <c r="H3495" s="2" t="s">
        <v>3</v>
      </c>
      <c r="I3495" s="2" t="s">
        <v>3</v>
      </c>
    </row>
    <row r="3496" spans="1:9" hidden="1" x14ac:dyDescent="0.3">
      <c r="A3496" t="s">
        <v>52</v>
      </c>
      <c r="B3496" s="1">
        <v>43983</v>
      </c>
      <c r="C3496" s="2" t="s">
        <v>3</v>
      </c>
      <c r="D3496" s="2" t="s">
        <v>3</v>
      </c>
      <c r="E3496" s="2">
        <v>94</v>
      </c>
      <c r="F3496" s="2" t="s">
        <v>3</v>
      </c>
      <c r="G3496" s="2" t="s">
        <v>3</v>
      </c>
      <c r="H3496" s="2" t="s">
        <v>3</v>
      </c>
      <c r="I3496" s="2" t="s">
        <v>3</v>
      </c>
    </row>
    <row r="3497" spans="1:9" hidden="1" x14ac:dyDescent="0.3">
      <c r="A3497" t="s">
        <v>52</v>
      </c>
      <c r="B3497" s="1">
        <v>43952</v>
      </c>
      <c r="C3497" s="2" t="s">
        <v>3</v>
      </c>
      <c r="D3497" s="2" t="s">
        <v>3</v>
      </c>
      <c r="E3497" s="2">
        <v>95</v>
      </c>
      <c r="F3497" s="2" t="s">
        <v>3</v>
      </c>
      <c r="G3497" s="2" t="s">
        <v>3</v>
      </c>
      <c r="H3497" s="2" t="s">
        <v>3</v>
      </c>
      <c r="I3497" s="2" t="s">
        <v>3</v>
      </c>
    </row>
    <row r="3498" spans="1:9" hidden="1" x14ac:dyDescent="0.3">
      <c r="A3498" t="s">
        <v>52</v>
      </c>
      <c r="B3498" s="1">
        <v>43922</v>
      </c>
      <c r="C3498" s="2" t="s">
        <v>3</v>
      </c>
      <c r="D3498" s="2" t="s">
        <v>3</v>
      </c>
      <c r="E3498" s="2">
        <v>90</v>
      </c>
      <c r="F3498" s="2" t="s">
        <v>3</v>
      </c>
      <c r="G3498" s="2" t="s">
        <v>3</v>
      </c>
      <c r="H3498" s="2" t="s">
        <v>3</v>
      </c>
      <c r="I3498" s="2" t="s">
        <v>3</v>
      </c>
    </row>
    <row r="3499" spans="1:9" hidden="1" x14ac:dyDescent="0.3">
      <c r="A3499" t="s">
        <v>52</v>
      </c>
      <c r="B3499" s="1">
        <v>43891</v>
      </c>
      <c r="C3499" s="2" t="s">
        <v>3</v>
      </c>
      <c r="D3499" s="2" t="s">
        <v>3</v>
      </c>
      <c r="E3499" s="2">
        <v>86</v>
      </c>
      <c r="F3499" s="2" t="s">
        <v>3</v>
      </c>
      <c r="G3499" s="2" t="s">
        <v>3</v>
      </c>
      <c r="H3499" s="2" t="s">
        <v>3</v>
      </c>
      <c r="I3499" s="2" t="s">
        <v>3</v>
      </c>
    </row>
    <row r="3500" spans="1:9" hidden="1" x14ac:dyDescent="0.3">
      <c r="A3500" t="s">
        <v>52</v>
      </c>
      <c r="B3500" s="1">
        <v>43862</v>
      </c>
      <c r="C3500" s="2" t="s">
        <v>3</v>
      </c>
      <c r="D3500" s="2" t="s">
        <v>3</v>
      </c>
      <c r="E3500" s="2">
        <v>91</v>
      </c>
      <c r="F3500" s="2" t="s">
        <v>3</v>
      </c>
      <c r="G3500" s="2" t="s">
        <v>3</v>
      </c>
      <c r="H3500" s="2" t="s">
        <v>3</v>
      </c>
      <c r="I3500" s="2" t="s">
        <v>3</v>
      </c>
    </row>
    <row r="3501" spans="1:9" hidden="1" x14ac:dyDescent="0.3">
      <c r="A3501" t="s">
        <v>52</v>
      </c>
      <c r="B3501" s="1">
        <v>43831</v>
      </c>
      <c r="C3501" s="2" t="s">
        <v>3</v>
      </c>
      <c r="D3501" s="2" t="s">
        <v>3</v>
      </c>
      <c r="E3501" s="2">
        <v>90</v>
      </c>
      <c r="F3501" s="2" t="s">
        <v>3</v>
      </c>
      <c r="G3501" s="2" t="s">
        <v>3</v>
      </c>
      <c r="H3501" s="2" t="s">
        <v>3</v>
      </c>
      <c r="I3501" s="2" t="s">
        <v>3</v>
      </c>
    </row>
    <row r="3502" spans="1:9" x14ac:dyDescent="0.3">
      <c r="A3502" t="s">
        <v>53</v>
      </c>
      <c r="B3502" s="1">
        <v>45931</v>
      </c>
      <c r="C3502" s="2">
        <v>27149</v>
      </c>
      <c r="D3502" s="2">
        <v>962</v>
      </c>
      <c r="E3502" s="2">
        <v>8964</v>
      </c>
      <c r="F3502" s="2">
        <v>784</v>
      </c>
      <c r="G3502" s="2">
        <v>-20</v>
      </c>
      <c r="H3502" s="2">
        <v>18185</v>
      </c>
      <c r="I3502" s="2">
        <v>178</v>
      </c>
    </row>
    <row r="3503" spans="1:9" x14ac:dyDescent="0.3">
      <c r="A3503" t="s">
        <v>53</v>
      </c>
      <c r="B3503" s="1">
        <v>45901</v>
      </c>
      <c r="C3503" s="2">
        <v>26222</v>
      </c>
      <c r="D3503" s="2">
        <v>1648</v>
      </c>
      <c r="E3503" s="2">
        <v>8215</v>
      </c>
      <c r="F3503" s="2">
        <v>116</v>
      </c>
      <c r="G3503" s="2">
        <v>-83</v>
      </c>
      <c r="H3503" s="2">
        <v>18007</v>
      </c>
      <c r="I3503" s="2">
        <v>1532</v>
      </c>
    </row>
    <row r="3504" spans="1:9" x14ac:dyDescent="0.3">
      <c r="A3504" t="s">
        <v>53</v>
      </c>
      <c r="B3504" s="1">
        <v>45870</v>
      </c>
      <c r="C3504" s="2">
        <v>24689</v>
      </c>
      <c r="D3504" s="2">
        <v>8</v>
      </c>
      <c r="E3504" s="2">
        <v>8214</v>
      </c>
      <c r="F3504" s="2">
        <v>141</v>
      </c>
      <c r="G3504" s="2">
        <v>49</v>
      </c>
      <c r="H3504" s="2">
        <v>16475</v>
      </c>
      <c r="I3504" s="2">
        <v>-133</v>
      </c>
    </row>
    <row r="3505" spans="1:9" x14ac:dyDescent="0.3">
      <c r="A3505" t="s">
        <v>53</v>
      </c>
      <c r="B3505" s="1">
        <v>45839</v>
      </c>
      <c r="C3505" s="2">
        <v>24718</v>
      </c>
      <c r="D3505" s="2">
        <v>-688</v>
      </c>
      <c r="E3505" s="2">
        <v>8110</v>
      </c>
      <c r="F3505" s="2">
        <v>222</v>
      </c>
      <c r="G3505" s="2">
        <v>-51</v>
      </c>
      <c r="H3505" s="2">
        <v>16608</v>
      </c>
      <c r="I3505" s="2">
        <v>-910</v>
      </c>
    </row>
    <row r="3506" spans="1:9" x14ac:dyDescent="0.3">
      <c r="A3506" t="s">
        <v>53</v>
      </c>
      <c r="B3506" s="1">
        <v>45809</v>
      </c>
      <c r="C3506" s="2">
        <v>25530</v>
      </c>
      <c r="D3506" s="2">
        <v>-891</v>
      </c>
      <c r="E3506" s="2">
        <v>8012</v>
      </c>
      <c r="F3506" s="2">
        <v>-363</v>
      </c>
      <c r="G3506" s="2">
        <v>17</v>
      </c>
      <c r="H3506" s="2">
        <v>17518</v>
      </c>
      <c r="I3506" s="2">
        <v>-528</v>
      </c>
    </row>
    <row r="3507" spans="1:9" x14ac:dyDescent="0.3">
      <c r="A3507" t="s">
        <v>53</v>
      </c>
      <c r="B3507" s="1">
        <v>45778</v>
      </c>
      <c r="C3507" s="2">
        <v>26509</v>
      </c>
      <c r="D3507" s="2">
        <v>1288</v>
      </c>
      <c r="E3507" s="2">
        <v>8463</v>
      </c>
      <c r="F3507" s="2">
        <v>115</v>
      </c>
      <c r="G3507" s="2">
        <v>-62</v>
      </c>
      <c r="H3507" s="2">
        <v>18046</v>
      </c>
      <c r="I3507" s="2">
        <v>1173</v>
      </c>
    </row>
    <row r="3508" spans="1:9" x14ac:dyDescent="0.3">
      <c r="A3508" t="s">
        <v>53</v>
      </c>
      <c r="B3508" s="1">
        <v>45748</v>
      </c>
      <c r="C3508" s="2">
        <v>25285</v>
      </c>
      <c r="D3508" s="2">
        <v>126</v>
      </c>
      <c r="E3508" s="2">
        <v>8412</v>
      </c>
      <c r="F3508" s="2">
        <v>231</v>
      </c>
      <c r="G3508" s="2">
        <v>28</v>
      </c>
      <c r="H3508" s="2">
        <v>16873</v>
      </c>
      <c r="I3508" s="2">
        <v>-105</v>
      </c>
    </row>
    <row r="3509" spans="1:9" x14ac:dyDescent="0.3">
      <c r="A3509" t="s">
        <v>53</v>
      </c>
      <c r="B3509" s="1">
        <v>45717</v>
      </c>
      <c r="C3509" s="2">
        <v>25005</v>
      </c>
      <c r="D3509" s="2">
        <v>373</v>
      </c>
      <c r="E3509" s="2">
        <v>8027</v>
      </c>
      <c r="F3509" s="2">
        <v>-43</v>
      </c>
      <c r="G3509" s="2">
        <v>10</v>
      </c>
      <c r="H3509" s="2">
        <v>16978</v>
      </c>
      <c r="I3509" s="2">
        <v>416</v>
      </c>
    </row>
    <row r="3510" spans="1:9" x14ac:dyDescent="0.3">
      <c r="A3510" t="s">
        <v>53</v>
      </c>
      <c r="B3510" s="1">
        <v>45689</v>
      </c>
      <c r="C3510" s="2">
        <v>24623</v>
      </c>
      <c r="D3510" s="2">
        <v>-19570</v>
      </c>
      <c r="E3510" s="2">
        <v>8061</v>
      </c>
      <c r="F3510" s="2">
        <v>79</v>
      </c>
      <c r="G3510" s="2">
        <v>68</v>
      </c>
      <c r="H3510" s="2">
        <v>16562</v>
      </c>
      <c r="I3510" s="2">
        <v>-19649</v>
      </c>
    </row>
    <row r="3511" spans="1:9" x14ac:dyDescent="0.3">
      <c r="A3511" t="s">
        <v>53</v>
      </c>
      <c r="B3511" s="1">
        <v>45658</v>
      </c>
      <c r="C3511" s="2">
        <v>43905</v>
      </c>
      <c r="D3511" s="2">
        <v>-65</v>
      </c>
      <c r="E3511" s="2">
        <v>7694</v>
      </c>
      <c r="F3511" s="2">
        <v>-555</v>
      </c>
      <c r="G3511" s="2">
        <v>3</v>
      </c>
      <c r="H3511" s="2">
        <v>36211</v>
      </c>
      <c r="I3511" s="2">
        <v>490</v>
      </c>
    </row>
    <row r="3512" spans="1:9" x14ac:dyDescent="0.3">
      <c r="A3512" t="s">
        <v>53</v>
      </c>
      <c r="B3512" s="1">
        <v>45627</v>
      </c>
      <c r="C3512" s="2">
        <v>43802</v>
      </c>
      <c r="D3512" s="2">
        <v>4599</v>
      </c>
      <c r="E3512" s="2">
        <v>8081</v>
      </c>
      <c r="F3512" s="2">
        <v>579</v>
      </c>
      <c r="G3512" s="2">
        <v>-76</v>
      </c>
      <c r="H3512" s="2">
        <v>35721</v>
      </c>
      <c r="I3512" s="2">
        <v>4020</v>
      </c>
    </row>
    <row r="3513" spans="1:9" x14ac:dyDescent="0.3">
      <c r="A3513" t="s">
        <v>53</v>
      </c>
      <c r="B3513" s="1">
        <v>45597</v>
      </c>
      <c r="C3513" s="2">
        <v>39306</v>
      </c>
      <c r="D3513" s="2">
        <v>-1894</v>
      </c>
      <c r="E3513" s="2">
        <v>7605</v>
      </c>
      <c r="F3513" s="2">
        <v>283</v>
      </c>
      <c r="G3513" s="2">
        <v>32</v>
      </c>
      <c r="H3513" s="2">
        <v>31701</v>
      </c>
      <c r="I3513" s="2">
        <v>-2177</v>
      </c>
    </row>
    <row r="3514" spans="1:9" x14ac:dyDescent="0.3">
      <c r="A3514" t="s">
        <v>53</v>
      </c>
      <c r="B3514" s="1">
        <v>45566</v>
      </c>
      <c r="C3514" s="2">
        <v>41198</v>
      </c>
      <c r="D3514" s="2">
        <v>3376</v>
      </c>
      <c r="E3514" s="2">
        <v>7320</v>
      </c>
      <c r="F3514" s="2">
        <v>547</v>
      </c>
      <c r="G3514" s="2">
        <v>-121</v>
      </c>
      <c r="H3514" s="2">
        <v>33878</v>
      </c>
      <c r="I3514" s="2">
        <v>2829</v>
      </c>
    </row>
    <row r="3515" spans="1:9" x14ac:dyDescent="0.3">
      <c r="A3515" t="s">
        <v>53</v>
      </c>
      <c r="B3515" s="1">
        <v>45536</v>
      </c>
      <c r="C3515" s="2">
        <v>38043</v>
      </c>
      <c r="D3515" s="2">
        <v>-4022</v>
      </c>
      <c r="E3515" s="2">
        <v>6994</v>
      </c>
      <c r="F3515" s="2">
        <v>-1250</v>
      </c>
      <c r="G3515" s="2">
        <v>38</v>
      </c>
      <c r="H3515" s="2">
        <v>31049</v>
      </c>
      <c r="I3515" s="2">
        <v>-2772</v>
      </c>
    </row>
    <row r="3516" spans="1:9" x14ac:dyDescent="0.3">
      <c r="A3516" t="s">
        <v>53</v>
      </c>
      <c r="B3516" s="1">
        <v>45505</v>
      </c>
      <c r="C3516" s="2">
        <v>49851</v>
      </c>
      <c r="D3516" s="2">
        <v>5989</v>
      </c>
      <c r="E3516" s="2">
        <v>16030</v>
      </c>
      <c r="F3516" s="2">
        <v>1827</v>
      </c>
      <c r="G3516" s="2">
        <v>125</v>
      </c>
      <c r="H3516" s="2">
        <v>33821</v>
      </c>
      <c r="I3516" s="2">
        <v>4162</v>
      </c>
    </row>
    <row r="3517" spans="1:9" x14ac:dyDescent="0.3">
      <c r="A3517" t="s">
        <v>53</v>
      </c>
      <c r="B3517" s="1">
        <v>45474</v>
      </c>
      <c r="C3517" s="2">
        <v>44453</v>
      </c>
      <c r="D3517" s="2">
        <v>-1331</v>
      </c>
      <c r="E3517" s="2">
        <v>14794</v>
      </c>
      <c r="F3517" s="2">
        <v>3528</v>
      </c>
      <c r="G3517" s="2">
        <v>71</v>
      </c>
      <c r="H3517" s="2">
        <v>29659</v>
      </c>
      <c r="I3517" s="2">
        <v>-4859</v>
      </c>
    </row>
    <row r="3518" spans="1:9" x14ac:dyDescent="0.3">
      <c r="A3518" t="s">
        <v>53</v>
      </c>
      <c r="B3518" s="1">
        <v>45444</v>
      </c>
      <c r="C3518" s="2">
        <v>47616</v>
      </c>
      <c r="D3518" s="2">
        <v>25887</v>
      </c>
      <c r="E3518" s="2">
        <v>13098</v>
      </c>
      <c r="F3518" s="2">
        <v>-8</v>
      </c>
      <c r="G3518" s="2">
        <v>57</v>
      </c>
      <c r="H3518" s="2">
        <v>34518</v>
      </c>
      <c r="I3518" s="2">
        <v>25895</v>
      </c>
    </row>
    <row r="3519" spans="1:9" x14ac:dyDescent="0.3">
      <c r="A3519" t="s">
        <v>53</v>
      </c>
      <c r="B3519" s="1">
        <v>45413</v>
      </c>
      <c r="C3519" s="2">
        <v>16119</v>
      </c>
      <c r="D3519" s="2">
        <v>763</v>
      </c>
      <c r="E3519" s="2">
        <v>7496</v>
      </c>
      <c r="F3519" s="2">
        <v>2212</v>
      </c>
      <c r="G3519" s="2">
        <v>9</v>
      </c>
      <c r="H3519" s="2">
        <v>8623</v>
      </c>
      <c r="I3519" s="2">
        <v>-1449</v>
      </c>
    </row>
    <row r="3520" spans="1:9" x14ac:dyDescent="0.3">
      <c r="A3520" t="s">
        <v>53</v>
      </c>
      <c r="B3520" s="1">
        <v>45383</v>
      </c>
      <c r="C3520" s="2">
        <v>17575</v>
      </c>
      <c r="D3520" s="2">
        <v>690</v>
      </c>
      <c r="E3520" s="2">
        <v>7503</v>
      </c>
      <c r="F3520" s="2">
        <v>1530</v>
      </c>
      <c r="G3520" s="2">
        <v>-27</v>
      </c>
      <c r="H3520" s="2">
        <v>10072</v>
      </c>
      <c r="I3520" s="2">
        <v>-840</v>
      </c>
    </row>
    <row r="3521" spans="1:9" x14ac:dyDescent="0.3">
      <c r="A3521" t="s">
        <v>53</v>
      </c>
      <c r="B3521" s="1">
        <v>45352</v>
      </c>
      <c r="C3521" s="2">
        <v>18449</v>
      </c>
      <c r="D3521" s="2">
        <v>1903</v>
      </c>
      <c r="E3521" s="2">
        <v>7537</v>
      </c>
      <c r="F3521" s="2">
        <v>699</v>
      </c>
      <c r="G3521" s="2">
        <v>40</v>
      </c>
      <c r="H3521" s="2">
        <v>10912</v>
      </c>
      <c r="I3521" s="2">
        <v>1204</v>
      </c>
    </row>
    <row r="3522" spans="1:9" x14ac:dyDescent="0.3">
      <c r="A3522" t="s">
        <v>53</v>
      </c>
      <c r="B3522" s="1">
        <v>45323</v>
      </c>
      <c r="C3522" s="2">
        <v>16967</v>
      </c>
      <c r="D3522" s="2">
        <v>1900</v>
      </c>
      <c r="E3522" s="2">
        <v>7259</v>
      </c>
      <c r="F3522" s="2">
        <v>2115</v>
      </c>
      <c r="G3522" s="2">
        <v>-29</v>
      </c>
      <c r="H3522" s="2">
        <v>9708</v>
      </c>
      <c r="I3522" s="2">
        <v>-215</v>
      </c>
    </row>
    <row r="3523" spans="1:9" x14ac:dyDescent="0.3">
      <c r="A3523" t="s">
        <v>53</v>
      </c>
      <c r="B3523" s="1">
        <v>45292</v>
      </c>
      <c r="C3523" s="2">
        <v>16984</v>
      </c>
      <c r="D3523" s="2">
        <v>2081</v>
      </c>
      <c r="E3523" s="2">
        <v>7061</v>
      </c>
      <c r="F3523" s="2">
        <v>2227</v>
      </c>
      <c r="G3523" s="2">
        <v>-131</v>
      </c>
      <c r="H3523" s="2">
        <v>9923</v>
      </c>
      <c r="I3523" s="2">
        <v>-146</v>
      </c>
    </row>
    <row r="3524" spans="1:9" x14ac:dyDescent="0.3">
      <c r="A3524" t="s">
        <v>53</v>
      </c>
      <c r="B3524" s="1">
        <v>45261</v>
      </c>
      <c r="C3524" s="2">
        <v>16721</v>
      </c>
      <c r="D3524" s="2">
        <v>-421</v>
      </c>
      <c r="E3524" s="2">
        <v>6652</v>
      </c>
      <c r="F3524" s="2">
        <v>63</v>
      </c>
      <c r="G3524" s="2">
        <v>111</v>
      </c>
      <c r="H3524" s="2">
        <v>10069</v>
      </c>
      <c r="I3524" s="2">
        <v>-484</v>
      </c>
    </row>
    <row r="3525" spans="1:9" x14ac:dyDescent="0.3">
      <c r="A3525" t="s">
        <v>53</v>
      </c>
      <c r="B3525" s="1">
        <v>45231</v>
      </c>
      <c r="C3525" s="2">
        <v>17336</v>
      </c>
      <c r="D3525" s="2">
        <v>2574</v>
      </c>
      <c r="E3525" s="2">
        <v>6783</v>
      </c>
      <c r="F3525" s="2">
        <v>2804</v>
      </c>
      <c r="G3525" s="2">
        <v>170</v>
      </c>
      <c r="H3525" s="2">
        <v>10553</v>
      </c>
      <c r="I3525" s="2">
        <v>-230</v>
      </c>
    </row>
    <row r="3526" spans="1:9" x14ac:dyDescent="0.3">
      <c r="A3526" t="s">
        <v>53</v>
      </c>
      <c r="B3526" s="1">
        <v>45200</v>
      </c>
      <c r="C3526" s="2">
        <v>17215</v>
      </c>
      <c r="D3526" s="2">
        <v>2759</v>
      </c>
      <c r="E3526" s="2">
        <v>6432</v>
      </c>
      <c r="F3526" s="2">
        <v>3591</v>
      </c>
      <c r="G3526" s="2">
        <v>-32</v>
      </c>
      <c r="H3526" s="2">
        <v>10783</v>
      </c>
      <c r="I3526" s="2">
        <v>-832</v>
      </c>
    </row>
    <row r="3527" spans="1:9" x14ac:dyDescent="0.3">
      <c r="A3527" t="s">
        <v>53</v>
      </c>
      <c r="B3527" s="1">
        <v>45170</v>
      </c>
      <c r="C3527" s="2">
        <v>17888</v>
      </c>
      <c r="D3527" s="2">
        <v>1547</v>
      </c>
      <c r="E3527" s="2">
        <v>6273</v>
      </c>
      <c r="F3527" s="2">
        <v>998</v>
      </c>
      <c r="G3527" s="2">
        <v>-77</v>
      </c>
      <c r="H3527" s="2">
        <v>11615</v>
      </c>
      <c r="I3527" s="2">
        <v>549</v>
      </c>
    </row>
    <row r="3528" spans="1:9" x14ac:dyDescent="0.3">
      <c r="A3528" t="s">
        <v>53</v>
      </c>
      <c r="B3528" s="1">
        <v>45139</v>
      </c>
      <c r="C3528" s="2">
        <v>16900</v>
      </c>
      <c r="D3528" s="2">
        <v>1725</v>
      </c>
      <c r="E3528" s="2">
        <v>5834</v>
      </c>
      <c r="F3528" s="2">
        <v>2982</v>
      </c>
      <c r="G3528" s="2">
        <v>14</v>
      </c>
      <c r="H3528" s="2">
        <v>11066</v>
      </c>
      <c r="I3528" s="2">
        <v>-1257</v>
      </c>
    </row>
    <row r="3529" spans="1:9" x14ac:dyDescent="0.3">
      <c r="A3529" t="s">
        <v>53</v>
      </c>
      <c r="B3529" s="1">
        <v>45108</v>
      </c>
      <c r="C3529" s="2">
        <v>17564</v>
      </c>
      <c r="D3529" s="2">
        <v>3520</v>
      </c>
      <c r="E3529" s="2">
        <v>5241</v>
      </c>
      <c r="F3529" s="2">
        <v>4738</v>
      </c>
      <c r="G3529" s="2">
        <v>15</v>
      </c>
      <c r="H3529" s="2">
        <v>12323</v>
      </c>
      <c r="I3529" s="2">
        <v>-1218</v>
      </c>
    </row>
    <row r="3530" spans="1:9" x14ac:dyDescent="0.3">
      <c r="A3530" t="s">
        <v>53</v>
      </c>
      <c r="B3530" s="1">
        <v>45078</v>
      </c>
      <c r="C3530" s="2">
        <v>18901</v>
      </c>
      <c r="D3530" s="2">
        <v>1418</v>
      </c>
      <c r="E3530" s="2">
        <v>5360</v>
      </c>
      <c r="F3530" s="2">
        <v>2507</v>
      </c>
      <c r="G3530" s="2">
        <v>329</v>
      </c>
      <c r="H3530" s="2">
        <v>13541</v>
      </c>
      <c r="I3530" s="2">
        <v>-1089</v>
      </c>
    </row>
    <row r="3531" spans="1:9" x14ac:dyDescent="0.3">
      <c r="A3531" t="s">
        <v>53</v>
      </c>
      <c r="B3531" s="1">
        <v>45047</v>
      </c>
      <c r="C3531" s="2">
        <v>19449</v>
      </c>
      <c r="D3531" s="2">
        <v>-6259</v>
      </c>
      <c r="E3531" s="2">
        <v>4819</v>
      </c>
      <c r="F3531" s="2">
        <v>2358</v>
      </c>
      <c r="G3531" s="2">
        <v>-2371</v>
      </c>
      <c r="H3531" s="2">
        <v>14630</v>
      </c>
      <c r="I3531" s="2">
        <v>-8617</v>
      </c>
    </row>
    <row r="3532" spans="1:9" x14ac:dyDescent="0.3">
      <c r="A3532" t="s">
        <v>53</v>
      </c>
      <c r="B3532" s="1">
        <v>45017</v>
      </c>
      <c r="C3532" s="2">
        <v>28038</v>
      </c>
      <c r="D3532" s="2">
        <v>-11491</v>
      </c>
      <c r="E3532" s="2">
        <v>4791</v>
      </c>
      <c r="F3532" s="2">
        <v>372</v>
      </c>
      <c r="G3532" s="2">
        <v>-271</v>
      </c>
      <c r="H3532" s="2">
        <v>23247</v>
      </c>
      <c r="I3532" s="2">
        <v>-11863</v>
      </c>
    </row>
    <row r="3533" spans="1:9" x14ac:dyDescent="0.3">
      <c r="A3533" t="s">
        <v>53</v>
      </c>
      <c r="B3533" s="1">
        <v>44986</v>
      </c>
      <c r="C3533" s="2">
        <v>39843</v>
      </c>
      <c r="D3533" s="2">
        <v>2503</v>
      </c>
      <c r="E3533" s="2">
        <v>4733</v>
      </c>
      <c r="F3533" s="2">
        <v>-304</v>
      </c>
      <c r="G3533" s="2">
        <v>519</v>
      </c>
      <c r="H3533" s="2">
        <v>35110</v>
      </c>
      <c r="I3533" s="2">
        <v>2807</v>
      </c>
    </row>
    <row r="3534" spans="1:9" x14ac:dyDescent="0.3">
      <c r="A3534" t="s">
        <v>53</v>
      </c>
      <c r="B3534" s="1">
        <v>44958</v>
      </c>
      <c r="C3534" s="2">
        <v>36845</v>
      </c>
      <c r="D3534" s="2">
        <v>-1286</v>
      </c>
      <c r="E3534" s="2">
        <v>4542</v>
      </c>
      <c r="F3534" s="2">
        <v>-138</v>
      </c>
      <c r="G3534" s="2">
        <v>17</v>
      </c>
      <c r="H3534" s="2">
        <v>32303</v>
      </c>
      <c r="I3534" s="2">
        <v>-1148</v>
      </c>
    </row>
    <row r="3535" spans="1:9" hidden="1" x14ac:dyDescent="0.3">
      <c r="A3535" t="s">
        <v>53</v>
      </c>
      <c r="B3535" s="1">
        <v>44927</v>
      </c>
      <c r="C3535" s="2">
        <v>38143</v>
      </c>
      <c r="D3535" s="2" t="s">
        <v>3</v>
      </c>
      <c r="E3535" s="2">
        <v>4692</v>
      </c>
      <c r="F3535" s="2" t="s">
        <v>3</v>
      </c>
      <c r="G3535" s="2" t="s">
        <v>3</v>
      </c>
      <c r="H3535" s="2">
        <v>33451</v>
      </c>
      <c r="I3535" s="2">
        <v>-7876</v>
      </c>
    </row>
    <row r="3536" spans="1:9" hidden="1" x14ac:dyDescent="0.3">
      <c r="A3536" t="s">
        <v>53</v>
      </c>
      <c r="B3536" s="1">
        <v>44896</v>
      </c>
      <c r="C3536" s="2">
        <v>45990</v>
      </c>
      <c r="D3536" s="2" t="s">
        <v>3</v>
      </c>
      <c r="E3536" s="2">
        <v>4663</v>
      </c>
      <c r="F3536" s="2" t="s">
        <v>3</v>
      </c>
      <c r="G3536" s="2" t="s">
        <v>3</v>
      </c>
      <c r="H3536" s="2">
        <v>41327</v>
      </c>
      <c r="I3536" s="2">
        <v>1463</v>
      </c>
    </row>
    <row r="3537" spans="1:9" hidden="1" x14ac:dyDescent="0.3">
      <c r="A3537" t="s">
        <v>53</v>
      </c>
      <c r="B3537" s="1">
        <v>44866</v>
      </c>
      <c r="C3537" s="2">
        <v>44053</v>
      </c>
      <c r="D3537" s="2" t="s">
        <v>3</v>
      </c>
      <c r="E3537" s="2">
        <v>4189</v>
      </c>
      <c r="F3537" s="2" t="s">
        <v>3</v>
      </c>
      <c r="G3537" s="2" t="s">
        <v>3</v>
      </c>
      <c r="H3537" s="2">
        <v>39864</v>
      </c>
      <c r="I3537" s="2">
        <v>-1567</v>
      </c>
    </row>
    <row r="3538" spans="1:9" hidden="1" x14ac:dyDescent="0.3">
      <c r="A3538" t="s">
        <v>53</v>
      </c>
      <c r="B3538" s="1">
        <v>44835</v>
      </c>
      <c r="C3538" s="2">
        <v>45130</v>
      </c>
      <c r="D3538" s="2" t="s">
        <v>3</v>
      </c>
      <c r="E3538" s="2">
        <v>3699</v>
      </c>
      <c r="F3538" s="2" t="s">
        <v>3</v>
      </c>
      <c r="G3538" s="2" t="s">
        <v>3</v>
      </c>
      <c r="H3538" s="2">
        <v>41431</v>
      </c>
      <c r="I3538" s="2">
        <v>3432</v>
      </c>
    </row>
    <row r="3539" spans="1:9" hidden="1" x14ac:dyDescent="0.3">
      <c r="A3539" t="s">
        <v>53</v>
      </c>
      <c r="B3539" s="1">
        <v>44805</v>
      </c>
      <c r="C3539" s="2">
        <v>41329</v>
      </c>
      <c r="D3539" s="2" t="s">
        <v>3</v>
      </c>
      <c r="E3539" s="2">
        <v>3330</v>
      </c>
      <c r="F3539" s="2" t="s">
        <v>3</v>
      </c>
      <c r="G3539" s="2" t="s">
        <v>3</v>
      </c>
      <c r="H3539" s="2">
        <v>37999</v>
      </c>
      <c r="I3539" s="2">
        <v>1422</v>
      </c>
    </row>
    <row r="3540" spans="1:9" hidden="1" x14ac:dyDescent="0.3">
      <c r="A3540" t="s">
        <v>53</v>
      </c>
      <c r="B3540" s="1">
        <v>44774</v>
      </c>
      <c r="C3540" s="2">
        <v>39990</v>
      </c>
      <c r="D3540" s="2" t="s">
        <v>3</v>
      </c>
      <c r="E3540" s="2">
        <v>3413</v>
      </c>
      <c r="F3540" s="2" t="s">
        <v>3</v>
      </c>
      <c r="G3540" s="2" t="s">
        <v>3</v>
      </c>
      <c r="H3540" s="2">
        <v>36577</v>
      </c>
      <c r="I3540" s="2">
        <v>4244</v>
      </c>
    </row>
    <row r="3541" spans="1:9" hidden="1" x14ac:dyDescent="0.3">
      <c r="A3541" t="s">
        <v>53</v>
      </c>
      <c r="B3541" s="1">
        <v>44743</v>
      </c>
      <c r="C3541" s="2">
        <v>35737</v>
      </c>
      <c r="D3541" s="2" t="s">
        <v>3</v>
      </c>
      <c r="E3541" s="2">
        <v>3404</v>
      </c>
      <c r="F3541" s="2" t="s">
        <v>3</v>
      </c>
      <c r="G3541" s="2" t="s">
        <v>3</v>
      </c>
      <c r="H3541" s="2">
        <v>32333</v>
      </c>
      <c r="I3541" s="2">
        <v>4912</v>
      </c>
    </row>
    <row r="3542" spans="1:9" hidden="1" x14ac:dyDescent="0.3">
      <c r="A3542" t="s">
        <v>53</v>
      </c>
      <c r="B3542" s="1">
        <v>44713</v>
      </c>
      <c r="C3542" s="2">
        <v>30260</v>
      </c>
      <c r="D3542" s="2" t="s">
        <v>3</v>
      </c>
      <c r="E3542" s="2">
        <v>2839</v>
      </c>
      <c r="F3542" s="2" t="s">
        <v>3</v>
      </c>
      <c r="G3542" s="2" t="s">
        <v>3</v>
      </c>
      <c r="H3542" s="2">
        <v>27421</v>
      </c>
      <c r="I3542" s="2">
        <v>-198</v>
      </c>
    </row>
    <row r="3543" spans="1:9" hidden="1" x14ac:dyDescent="0.3">
      <c r="A3543" t="s">
        <v>53</v>
      </c>
      <c r="B3543" s="1">
        <v>44682</v>
      </c>
      <c r="C3543" s="2">
        <v>30031</v>
      </c>
      <c r="D3543" s="2" t="s">
        <v>3</v>
      </c>
      <c r="E3543" s="2">
        <v>2412</v>
      </c>
      <c r="F3543" s="2" t="s">
        <v>3</v>
      </c>
      <c r="G3543" s="2" t="s">
        <v>3</v>
      </c>
      <c r="H3543" s="2">
        <v>27619</v>
      </c>
      <c r="I3543" s="2">
        <v>-9752</v>
      </c>
    </row>
    <row r="3544" spans="1:9" hidden="1" x14ac:dyDescent="0.3">
      <c r="A3544" t="s">
        <v>53</v>
      </c>
      <c r="B3544" s="1">
        <v>44652</v>
      </c>
      <c r="C3544" s="2">
        <v>39467</v>
      </c>
      <c r="D3544" s="2" t="s">
        <v>3</v>
      </c>
      <c r="E3544" s="2">
        <v>2096</v>
      </c>
      <c r="F3544" s="2" t="s">
        <v>3</v>
      </c>
      <c r="G3544" s="2" t="s">
        <v>3</v>
      </c>
      <c r="H3544" s="2">
        <v>37371</v>
      </c>
      <c r="I3544" s="2">
        <v>3800</v>
      </c>
    </row>
    <row r="3545" spans="1:9" hidden="1" x14ac:dyDescent="0.3">
      <c r="A3545" t="s">
        <v>53</v>
      </c>
      <c r="B3545" s="1">
        <v>44621</v>
      </c>
      <c r="C3545" s="2">
        <v>36125</v>
      </c>
      <c r="D3545" s="2" t="s">
        <v>3</v>
      </c>
      <c r="E3545" s="2">
        <v>2554</v>
      </c>
      <c r="F3545" s="2" t="s">
        <v>3</v>
      </c>
      <c r="G3545" s="2" t="s">
        <v>3</v>
      </c>
      <c r="H3545" s="2">
        <v>33571</v>
      </c>
      <c r="I3545" s="2">
        <v>2824</v>
      </c>
    </row>
    <row r="3546" spans="1:9" hidden="1" x14ac:dyDescent="0.3">
      <c r="A3546" t="s">
        <v>53</v>
      </c>
      <c r="B3546" s="1">
        <v>44593</v>
      </c>
      <c r="C3546" s="2">
        <v>33503</v>
      </c>
      <c r="D3546" s="2" t="s">
        <v>3</v>
      </c>
      <c r="E3546" s="2">
        <v>2756</v>
      </c>
      <c r="F3546" s="2" t="s">
        <v>3</v>
      </c>
      <c r="G3546" s="2" t="s">
        <v>3</v>
      </c>
      <c r="H3546" s="2">
        <v>30747</v>
      </c>
      <c r="I3546" s="2">
        <v>-2065</v>
      </c>
    </row>
    <row r="3547" spans="1:9" hidden="1" x14ac:dyDescent="0.3">
      <c r="A3547" t="s">
        <v>53</v>
      </c>
      <c r="B3547" s="1">
        <v>44562</v>
      </c>
      <c r="C3547" s="2">
        <v>35884</v>
      </c>
      <c r="D3547" s="2" t="s">
        <v>3</v>
      </c>
      <c r="E3547" s="2">
        <v>3072</v>
      </c>
      <c r="F3547" s="2" t="s">
        <v>3</v>
      </c>
      <c r="G3547" s="2" t="s">
        <v>3</v>
      </c>
      <c r="H3547" s="2">
        <v>32812</v>
      </c>
      <c r="I3547" s="2">
        <v>1042</v>
      </c>
    </row>
    <row r="3548" spans="1:9" hidden="1" x14ac:dyDescent="0.3">
      <c r="A3548" t="s">
        <v>53</v>
      </c>
      <c r="B3548" s="1">
        <v>44531</v>
      </c>
      <c r="C3548" s="2">
        <v>34877</v>
      </c>
      <c r="D3548" s="2" t="s">
        <v>3</v>
      </c>
      <c r="E3548" s="2">
        <v>3107</v>
      </c>
      <c r="F3548" s="2" t="s">
        <v>3</v>
      </c>
      <c r="G3548" s="2" t="s">
        <v>3</v>
      </c>
      <c r="H3548" s="2">
        <v>31770</v>
      </c>
      <c r="I3548" s="2">
        <v>6001</v>
      </c>
    </row>
    <row r="3549" spans="1:9" hidden="1" x14ac:dyDescent="0.3">
      <c r="A3549" t="s">
        <v>53</v>
      </c>
      <c r="B3549" s="1">
        <v>44501</v>
      </c>
      <c r="C3549" s="2">
        <v>28285</v>
      </c>
      <c r="D3549" s="2" t="s">
        <v>3</v>
      </c>
      <c r="E3549" s="2">
        <v>2516</v>
      </c>
      <c r="F3549" s="2" t="s">
        <v>3</v>
      </c>
      <c r="G3549" s="2" t="s">
        <v>3</v>
      </c>
      <c r="H3549" s="2">
        <v>25769</v>
      </c>
      <c r="I3549" s="2">
        <v>4544</v>
      </c>
    </row>
    <row r="3550" spans="1:9" hidden="1" x14ac:dyDescent="0.3">
      <c r="A3550" t="s">
        <v>53</v>
      </c>
      <c r="B3550" s="1">
        <v>44470</v>
      </c>
      <c r="C3550" s="2">
        <v>23883</v>
      </c>
      <c r="D3550" s="2" t="s">
        <v>3</v>
      </c>
      <c r="E3550" s="2">
        <v>2658</v>
      </c>
      <c r="F3550" s="2" t="s">
        <v>3</v>
      </c>
      <c r="G3550" s="2" t="s">
        <v>3</v>
      </c>
      <c r="H3550" s="2">
        <v>21225</v>
      </c>
      <c r="I3550" s="2">
        <v>5440</v>
      </c>
    </row>
    <row r="3551" spans="1:9" hidden="1" x14ac:dyDescent="0.3">
      <c r="A3551" t="s">
        <v>53</v>
      </c>
      <c r="B3551" s="1">
        <v>44440</v>
      </c>
      <c r="C3551" s="2">
        <v>18368</v>
      </c>
      <c r="D3551" s="2" t="s">
        <v>3</v>
      </c>
      <c r="E3551" s="2">
        <v>2583</v>
      </c>
      <c r="F3551" s="2" t="s">
        <v>3</v>
      </c>
      <c r="G3551" s="2" t="s">
        <v>3</v>
      </c>
      <c r="H3551" s="2">
        <v>15785</v>
      </c>
      <c r="I3551" s="2">
        <v>-3026</v>
      </c>
    </row>
    <row r="3552" spans="1:9" hidden="1" x14ac:dyDescent="0.3">
      <c r="A3552" t="s">
        <v>53</v>
      </c>
      <c r="B3552" s="1">
        <v>44409</v>
      </c>
      <c r="C3552" s="2">
        <v>21554</v>
      </c>
      <c r="D3552" s="2" t="s">
        <v>3</v>
      </c>
      <c r="E3552" s="2">
        <v>2743</v>
      </c>
      <c r="F3552" s="2" t="s">
        <v>3</v>
      </c>
      <c r="G3552" s="2" t="s">
        <v>3</v>
      </c>
      <c r="H3552" s="2">
        <v>18811</v>
      </c>
      <c r="I3552" s="2">
        <v>4405</v>
      </c>
    </row>
    <row r="3553" spans="1:9" hidden="1" x14ac:dyDescent="0.3">
      <c r="A3553" t="s">
        <v>53</v>
      </c>
      <c r="B3553" s="1">
        <v>44378</v>
      </c>
      <c r="C3553" s="2">
        <v>16716</v>
      </c>
      <c r="D3553" s="2" t="s">
        <v>3</v>
      </c>
      <c r="E3553" s="2">
        <v>2310</v>
      </c>
      <c r="F3553" s="2" t="s">
        <v>3</v>
      </c>
      <c r="G3553" s="2" t="s">
        <v>3</v>
      </c>
      <c r="H3553" s="2">
        <v>14406</v>
      </c>
      <c r="I3553" s="2">
        <v>3153</v>
      </c>
    </row>
    <row r="3554" spans="1:9" hidden="1" x14ac:dyDescent="0.3">
      <c r="A3554" t="s">
        <v>53</v>
      </c>
      <c r="B3554" s="1">
        <v>44348</v>
      </c>
      <c r="C3554" s="2">
        <v>13689</v>
      </c>
      <c r="D3554" s="2" t="s">
        <v>3</v>
      </c>
      <c r="E3554" s="2">
        <v>2436</v>
      </c>
      <c r="F3554" s="2" t="s">
        <v>3</v>
      </c>
      <c r="G3554" s="2" t="s">
        <v>3</v>
      </c>
      <c r="H3554" s="2">
        <v>11253</v>
      </c>
      <c r="I3554" s="2">
        <v>-914</v>
      </c>
    </row>
    <row r="3555" spans="1:9" hidden="1" x14ac:dyDescent="0.3">
      <c r="A3555" t="s">
        <v>53</v>
      </c>
      <c r="B3555" s="1">
        <v>44317</v>
      </c>
      <c r="C3555" s="2">
        <v>14528</v>
      </c>
      <c r="D3555" s="2" t="s">
        <v>3</v>
      </c>
      <c r="E3555" s="2">
        <v>2361</v>
      </c>
      <c r="F3555" s="2" t="s">
        <v>3</v>
      </c>
      <c r="G3555" s="2" t="s">
        <v>3</v>
      </c>
      <c r="H3555" s="2">
        <v>12167</v>
      </c>
      <c r="I3555" s="2">
        <v>7137</v>
      </c>
    </row>
    <row r="3556" spans="1:9" hidden="1" x14ac:dyDescent="0.3">
      <c r="A3556" t="s">
        <v>53</v>
      </c>
      <c r="B3556" s="1">
        <v>44287</v>
      </c>
      <c r="C3556" s="2">
        <v>7387</v>
      </c>
      <c r="D3556" s="2" t="s">
        <v>3</v>
      </c>
      <c r="E3556" s="2">
        <v>2357</v>
      </c>
      <c r="F3556" s="2" t="s">
        <v>3</v>
      </c>
      <c r="G3556" s="2" t="s">
        <v>3</v>
      </c>
      <c r="H3556" s="2">
        <v>5030</v>
      </c>
      <c r="I3556" s="2">
        <v>520</v>
      </c>
    </row>
    <row r="3557" spans="1:9" hidden="1" x14ac:dyDescent="0.3">
      <c r="A3557" t="s">
        <v>53</v>
      </c>
      <c r="B3557" s="1">
        <v>44256</v>
      </c>
      <c r="C3557" s="2">
        <v>7547</v>
      </c>
      <c r="D3557" s="2" t="s">
        <v>3</v>
      </c>
      <c r="E3557" s="2">
        <v>3037</v>
      </c>
      <c r="F3557" s="2" t="s">
        <v>3</v>
      </c>
      <c r="G3557" s="2" t="s">
        <v>3</v>
      </c>
      <c r="H3557" s="2">
        <v>4510</v>
      </c>
      <c r="I3557" s="2">
        <v>-1178</v>
      </c>
    </row>
    <row r="3558" spans="1:9" hidden="1" x14ac:dyDescent="0.3">
      <c r="A3558" t="s">
        <v>53</v>
      </c>
      <c r="B3558" s="1">
        <v>44228</v>
      </c>
      <c r="C3558" s="2">
        <v>8556</v>
      </c>
      <c r="D3558" s="2" t="s">
        <v>3</v>
      </c>
      <c r="E3558" s="2">
        <v>2868</v>
      </c>
      <c r="F3558" s="2" t="s">
        <v>3</v>
      </c>
      <c r="G3558" s="2" t="s">
        <v>3</v>
      </c>
      <c r="H3558" s="2">
        <v>5688</v>
      </c>
      <c r="I3558" s="2">
        <v>536</v>
      </c>
    </row>
    <row r="3559" spans="1:9" hidden="1" x14ac:dyDescent="0.3">
      <c r="A3559" t="s">
        <v>53</v>
      </c>
      <c r="B3559" s="1">
        <v>44197</v>
      </c>
      <c r="C3559" s="2">
        <v>7982</v>
      </c>
      <c r="D3559" s="2" t="s">
        <v>3</v>
      </c>
      <c r="E3559" s="2">
        <v>2830</v>
      </c>
      <c r="F3559" s="2" t="s">
        <v>3</v>
      </c>
      <c r="G3559" s="2" t="s">
        <v>3</v>
      </c>
      <c r="H3559" s="2">
        <v>5152</v>
      </c>
      <c r="I3559" s="2">
        <v>1425</v>
      </c>
    </row>
    <row r="3560" spans="1:9" hidden="1" x14ac:dyDescent="0.3">
      <c r="A3560" t="s">
        <v>53</v>
      </c>
      <c r="B3560" s="1">
        <v>44166</v>
      </c>
      <c r="C3560" s="2">
        <v>6595</v>
      </c>
      <c r="D3560" s="2" t="s">
        <v>3</v>
      </c>
      <c r="E3560" s="2">
        <v>2868</v>
      </c>
      <c r="F3560" s="2" t="s">
        <v>3</v>
      </c>
      <c r="G3560" s="2" t="s">
        <v>3</v>
      </c>
      <c r="H3560" s="2">
        <v>3727</v>
      </c>
      <c r="I3560" s="2">
        <v>-394</v>
      </c>
    </row>
    <row r="3561" spans="1:9" hidden="1" x14ac:dyDescent="0.3">
      <c r="A3561" t="s">
        <v>53</v>
      </c>
      <c r="B3561" s="1">
        <v>44136</v>
      </c>
      <c r="C3561" s="2">
        <v>6637</v>
      </c>
      <c r="D3561" s="2" t="s">
        <v>3</v>
      </c>
      <c r="E3561" s="2">
        <v>2516</v>
      </c>
      <c r="F3561" s="2" t="s">
        <v>3</v>
      </c>
      <c r="G3561" s="2" t="s">
        <v>3</v>
      </c>
      <c r="H3561" s="2">
        <v>4121</v>
      </c>
      <c r="I3561" s="2">
        <v>199</v>
      </c>
    </row>
    <row r="3562" spans="1:9" hidden="1" x14ac:dyDescent="0.3">
      <c r="A3562" t="s">
        <v>53</v>
      </c>
      <c r="B3562" s="1">
        <v>44105</v>
      </c>
      <c r="C3562" s="2">
        <v>6681</v>
      </c>
      <c r="D3562" s="2" t="s">
        <v>3</v>
      </c>
      <c r="E3562" s="2">
        <v>2759</v>
      </c>
      <c r="F3562" s="2" t="s">
        <v>3</v>
      </c>
      <c r="G3562" s="2" t="s">
        <v>3</v>
      </c>
      <c r="H3562" s="2">
        <v>3922</v>
      </c>
      <c r="I3562" s="2">
        <v>120</v>
      </c>
    </row>
    <row r="3563" spans="1:9" hidden="1" x14ac:dyDescent="0.3">
      <c r="A3563" t="s">
        <v>53</v>
      </c>
      <c r="B3563" s="1">
        <v>44075</v>
      </c>
      <c r="C3563" s="2">
        <v>6447</v>
      </c>
      <c r="D3563" s="2" t="s">
        <v>3</v>
      </c>
      <c r="E3563" s="2">
        <v>2645</v>
      </c>
      <c r="F3563" s="2" t="s">
        <v>3</v>
      </c>
      <c r="G3563" s="2" t="s">
        <v>3</v>
      </c>
      <c r="H3563" s="2">
        <v>3802</v>
      </c>
      <c r="I3563" s="2">
        <v>-336</v>
      </c>
    </row>
    <row r="3564" spans="1:9" hidden="1" x14ac:dyDescent="0.3">
      <c r="A3564" t="s">
        <v>53</v>
      </c>
      <c r="B3564" s="1">
        <v>44044</v>
      </c>
      <c r="C3564" s="2">
        <v>7756</v>
      </c>
      <c r="D3564" s="2" t="s">
        <v>3</v>
      </c>
      <c r="E3564" s="2">
        <v>3618</v>
      </c>
      <c r="F3564" s="2" t="s">
        <v>3</v>
      </c>
      <c r="G3564" s="2" t="s">
        <v>3</v>
      </c>
      <c r="H3564" s="2">
        <v>4138</v>
      </c>
      <c r="I3564" s="2">
        <v>-71</v>
      </c>
    </row>
    <row r="3565" spans="1:9" hidden="1" x14ac:dyDescent="0.3">
      <c r="A3565" t="s">
        <v>53</v>
      </c>
      <c r="B3565" s="1">
        <v>44013</v>
      </c>
      <c r="C3565" s="2">
        <v>7883</v>
      </c>
      <c r="D3565" s="2" t="s">
        <v>3</v>
      </c>
      <c r="E3565" s="2">
        <v>3674</v>
      </c>
      <c r="F3565" s="2" t="s">
        <v>3</v>
      </c>
      <c r="G3565" s="2" t="s">
        <v>3</v>
      </c>
      <c r="H3565" s="2">
        <v>4209</v>
      </c>
      <c r="I3565" s="2">
        <v>-12</v>
      </c>
    </row>
    <row r="3566" spans="1:9" hidden="1" x14ac:dyDescent="0.3">
      <c r="A3566" t="s">
        <v>53</v>
      </c>
      <c r="B3566" s="1">
        <v>43983</v>
      </c>
      <c r="C3566" s="2">
        <v>8386</v>
      </c>
      <c r="D3566" s="2" t="s">
        <v>3</v>
      </c>
      <c r="E3566" s="2">
        <v>4165</v>
      </c>
      <c r="F3566" s="2" t="s">
        <v>3</v>
      </c>
      <c r="G3566" s="2" t="s">
        <v>3</v>
      </c>
      <c r="H3566" s="2">
        <v>4221</v>
      </c>
      <c r="I3566" s="2">
        <v>82</v>
      </c>
    </row>
    <row r="3567" spans="1:9" hidden="1" x14ac:dyDescent="0.3">
      <c r="A3567" t="s">
        <v>53</v>
      </c>
      <c r="B3567" s="1">
        <v>43952</v>
      </c>
      <c r="C3567" s="2">
        <v>6984</v>
      </c>
      <c r="D3567" s="2" t="s">
        <v>3</v>
      </c>
      <c r="E3567" s="2">
        <v>2845</v>
      </c>
      <c r="F3567" s="2" t="s">
        <v>3</v>
      </c>
      <c r="G3567" s="2" t="s">
        <v>3</v>
      </c>
      <c r="H3567" s="2">
        <v>4139</v>
      </c>
      <c r="I3567" s="2">
        <v>218</v>
      </c>
    </row>
    <row r="3568" spans="1:9" hidden="1" x14ac:dyDescent="0.3">
      <c r="A3568" t="s">
        <v>53</v>
      </c>
      <c r="B3568" s="1">
        <v>43922</v>
      </c>
      <c r="C3568" s="2">
        <v>6722</v>
      </c>
      <c r="D3568" s="2" t="s">
        <v>3</v>
      </c>
      <c r="E3568" s="2">
        <v>2801</v>
      </c>
      <c r="F3568" s="2" t="s">
        <v>3</v>
      </c>
      <c r="G3568" s="2" t="s">
        <v>3</v>
      </c>
      <c r="H3568" s="2">
        <v>3921</v>
      </c>
      <c r="I3568" s="2">
        <v>219</v>
      </c>
    </row>
    <row r="3569" spans="1:9" hidden="1" x14ac:dyDescent="0.3">
      <c r="A3569" t="s">
        <v>53</v>
      </c>
      <c r="B3569" s="1">
        <v>43891</v>
      </c>
      <c r="C3569" s="2">
        <v>7350</v>
      </c>
      <c r="D3569" s="2" t="s">
        <v>3</v>
      </c>
      <c r="E3569" s="2">
        <v>3648</v>
      </c>
      <c r="F3569" s="2" t="s">
        <v>3</v>
      </c>
      <c r="G3569" s="2" t="s">
        <v>3</v>
      </c>
      <c r="H3569" s="2">
        <v>3702</v>
      </c>
      <c r="I3569" s="2">
        <v>198</v>
      </c>
    </row>
    <row r="3570" spans="1:9" hidden="1" x14ac:dyDescent="0.3">
      <c r="A3570" t="s">
        <v>53</v>
      </c>
      <c r="B3570" s="1">
        <v>43862</v>
      </c>
      <c r="C3570" s="2">
        <v>6347</v>
      </c>
      <c r="D3570" s="2" t="s">
        <v>3</v>
      </c>
      <c r="E3570" s="2">
        <v>2843</v>
      </c>
      <c r="F3570" s="2" t="s">
        <v>3</v>
      </c>
      <c r="G3570" s="2" t="s">
        <v>3</v>
      </c>
      <c r="H3570" s="2">
        <v>3504</v>
      </c>
      <c r="I3570" s="2">
        <v>12</v>
      </c>
    </row>
    <row r="3571" spans="1:9" hidden="1" x14ac:dyDescent="0.3">
      <c r="A3571" t="s">
        <v>53</v>
      </c>
      <c r="B3571" s="1">
        <v>43831</v>
      </c>
      <c r="C3571" s="2">
        <v>6218</v>
      </c>
      <c r="D3571" s="2" t="s">
        <v>3</v>
      </c>
      <c r="E3571" s="2">
        <v>2726</v>
      </c>
      <c r="F3571" s="2" t="s">
        <v>3</v>
      </c>
      <c r="G3571" s="2" t="s">
        <v>3</v>
      </c>
      <c r="H3571" s="2">
        <v>3492</v>
      </c>
      <c r="I3571" s="2">
        <v>-540</v>
      </c>
    </row>
    <row r="3572" spans="1:9" x14ac:dyDescent="0.3">
      <c r="A3572" t="s">
        <v>54</v>
      </c>
      <c r="B3572" s="1">
        <v>45931</v>
      </c>
      <c r="C3572" s="2">
        <v>106070</v>
      </c>
      <c r="D3572" s="2">
        <v>2243</v>
      </c>
      <c r="E3572" s="2">
        <v>59324</v>
      </c>
      <c r="F3572" s="2">
        <v>141</v>
      </c>
      <c r="G3572" s="2">
        <v>206</v>
      </c>
      <c r="H3572" s="2">
        <v>46746</v>
      </c>
      <c r="I3572" s="2">
        <v>2102</v>
      </c>
    </row>
    <row r="3573" spans="1:9" x14ac:dyDescent="0.3">
      <c r="A3573" t="s">
        <v>54</v>
      </c>
      <c r="B3573" s="1">
        <v>45901</v>
      </c>
      <c r="C3573" s="2">
        <v>103654</v>
      </c>
      <c r="D3573" s="2">
        <v>3445</v>
      </c>
      <c r="E3573" s="2">
        <v>59010</v>
      </c>
      <c r="F3573" s="2">
        <v>1530</v>
      </c>
      <c r="G3573" s="2">
        <v>151</v>
      </c>
      <c r="H3573" s="2">
        <v>44644</v>
      </c>
      <c r="I3573" s="2">
        <v>1915</v>
      </c>
    </row>
    <row r="3574" spans="1:9" x14ac:dyDescent="0.3">
      <c r="A3574" t="s">
        <v>54</v>
      </c>
      <c r="B3574" s="1">
        <v>45870</v>
      </c>
      <c r="C3574" s="2">
        <v>99014</v>
      </c>
      <c r="D3574" s="2">
        <v>1064</v>
      </c>
      <c r="E3574" s="2">
        <v>56285</v>
      </c>
      <c r="F3574" s="2">
        <v>1032</v>
      </c>
      <c r="G3574" s="2">
        <v>322</v>
      </c>
      <c r="H3574" s="2">
        <v>42729</v>
      </c>
      <c r="I3574" s="2">
        <v>32</v>
      </c>
    </row>
    <row r="3575" spans="1:9" x14ac:dyDescent="0.3">
      <c r="A3575" t="s">
        <v>54</v>
      </c>
      <c r="B3575" s="1">
        <v>45839</v>
      </c>
      <c r="C3575" s="2">
        <v>97160</v>
      </c>
      <c r="D3575" s="2">
        <v>1811</v>
      </c>
      <c r="E3575" s="2">
        <v>54463</v>
      </c>
      <c r="F3575" s="2">
        <v>2106</v>
      </c>
      <c r="G3575" s="2">
        <v>-326</v>
      </c>
      <c r="H3575" s="2">
        <v>42697</v>
      </c>
      <c r="I3575" s="2">
        <v>-295</v>
      </c>
    </row>
    <row r="3576" spans="1:9" x14ac:dyDescent="0.3">
      <c r="A3576" t="s">
        <v>54</v>
      </c>
      <c r="B3576" s="1">
        <v>45809</v>
      </c>
      <c r="C3576" s="2">
        <v>95900</v>
      </c>
      <c r="D3576" s="2">
        <v>1212</v>
      </c>
      <c r="E3576" s="2">
        <v>52908</v>
      </c>
      <c r="F3576" s="2">
        <v>677</v>
      </c>
      <c r="G3576" s="2">
        <v>441</v>
      </c>
      <c r="H3576" s="2">
        <v>42992</v>
      </c>
      <c r="I3576" s="2">
        <v>535</v>
      </c>
    </row>
    <row r="3577" spans="1:9" x14ac:dyDescent="0.3">
      <c r="A3577" t="s">
        <v>54</v>
      </c>
      <c r="B3577" s="1">
        <v>45778</v>
      </c>
      <c r="C3577" s="2">
        <v>94033</v>
      </c>
      <c r="D3577" s="2">
        <v>-2589</v>
      </c>
      <c r="E3577" s="2">
        <v>51576</v>
      </c>
      <c r="F3577" s="2">
        <v>-233</v>
      </c>
      <c r="G3577" s="2">
        <v>-633</v>
      </c>
      <c r="H3577" s="2">
        <v>42457</v>
      </c>
      <c r="I3577" s="2">
        <v>-2356</v>
      </c>
    </row>
    <row r="3578" spans="1:9" x14ac:dyDescent="0.3">
      <c r="A3578" t="s">
        <v>54</v>
      </c>
      <c r="B3578" s="1">
        <v>45748</v>
      </c>
      <c r="C3578" s="2">
        <v>97493</v>
      </c>
      <c r="D3578" s="2">
        <v>1734</v>
      </c>
      <c r="E3578" s="2">
        <v>52680</v>
      </c>
      <c r="F3578" s="2">
        <v>-381</v>
      </c>
      <c r="G3578" s="2">
        <v>306</v>
      </c>
      <c r="H3578" s="2">
        <v>44813</v>
      </c>
      <c r="I3578" s="2">
        <v>2115</v>
      </c>
    </row>
    <row r="3579" spans="1:9" x14ac:dyDescent="0.3">
      <c r="A3579" t="s">
        <v>54</v>
      </c>
      <c r="B3579" s="1">
        <v>45717</v>
      </c>
      <c r="C3579" s="2">
        <v>95593</v>
      </c>
      <c r="D3579" s="2">
        <v>4095</v>
      </c>
      <c r="E3579" s="2">
        <v>52895</v>
      </c>
      <c r="F3579" s="2">
        <v>1193</v>
      </c>
      <c r="G3579" s="2">
        <v>-41</v>
      </c>
      <c r="H3579" s="2">
        <v>42698</v>
      </c>
      <c r="I3579" s="2">
        <v>2902</v>
      </c>
    </row>
    <row r="3580" spans="1:9" x14ac:dyDescent="0.3">
      <c r="A3580" t="s">
        <v>54</v>
      </c>
      <c r="B3580" s="1">
        <v>45689</v>
      </c>
      <c r="C3580" s="2">
        <v>92372</v>
      </c>
      <c r="D3580" s="2">
        <v>2343</v>
      </c>
      <c r="E3580" s="2">
        <v>52576</v>
      </c>
      <c r="F3580" s="2">
        <v>2235</v>
      </c>
      <c r="G3580" s="2">
        <v>789</v>
      </c>
      <c r="H3580" s="2">
        <v>39796</v>
      </c>
      <c r="I3580" s="2">
        <v>108</v>
      </c>
    </row>
    <row r="3581" spans="1:9" x14ac:dyDescent="0.3">
      <c r="A3581" t="s">
        <v>54</v>
      </c>
      <c r="B3581" s="1">
        <v>45658</v>
      </c>
      <c r="C3581" s="2">
        <v>88863</v>
      </c>
      <c r="D3581" s="2">
        <v>-1197</v>
      </c>
      <c r="E3581" s="2">
        <v>49175</v>
      </c>
      <c r="F3581" s="2">
        <v>-219</v>
      </c>
      <c r="G3581" s="2">
        <v>31</v>
      </c>
      <c r="H3581" s="2">
        <v>39688</v>
      </c>
      <c r="I3581" s="2">
        <v>-978</v>
      </c>
    </row>
    <row r="3582" spans="1:9" x14ac:dyDescent="0.3">
      <c r="A3582" t="s">
        <v>54</v>
      </c>
      <c r="B3582" s="1">
        <v>45627</v>
      </c>
      <c r="C3582" s="2">
        <v>90123</v>
      </c>
      <c r="D3582" s="2">
        <v>-1629</v>
      </c>
      <c r="E3582" s="2">
        <v>49457</v>
      </c>
      <c r="F3582" s="2">
        <v>-1536</v>
      </c>
      <c r="G3582" s="2">
        <v>-529</v>
      </c>
      <c r="H3582" s="2">
        <v>40666</v>
      </c>
      <c r="I3582" s="2">
        <v>-93</v>
      </c>
    </row>
    <row r="3583" spans="1:9" x14ac:dyDescent="0.3">
      <c r="A3583" t="s">
        <v>54</v>
      </c>
      <c r="B3583" s="1">
        <v>45597</v>
      </c>
      <c r="C3583" s="2">
        <v>91589</v>
      </c>
      <c r="D3583" s="2">
        <v>1171</v>
      </c>
      <c r="E3583" s="2">
        <v>50830</v>
      </c>
      <c r="F3583" s="2">
        <v>-27</v>
      </c>
      <c r="G3583" s="2">
        <v>-488</v>
      </c>
      <c r="H3583" s="2">
        <v>40759</v>
      </c>
      <c r="I3583" s="2">
        <v>1198</v>
      </c>
    </row>
    <row r="3584" spans="1:9" x14ac:dyDescent="0.3">
      <c r="A3584" t="s">
        <v>54</v>
      </c>
      <c r="B3584" s="1">
        <v>45566</v>
      </c>
      <c r="C3584" s="2">
        <v>90916</v>
      </c>
      <c r="D3584" s="2">
        <v>-1031</v>
      </c>
      <c r="E3584" s="2">
        <v>51355</v>
      </c>
      <c r="F3584" s="2">
        <v>-419</v>
      </c>
      <c r="G3584" s="2">
        <v>-507</v>
      </c>
      <c r="H3584" s="2">
        <v>39561</v>
      </c>
      <c r="I3584" s="2">
        <v>-612</v>
      </c>
    </row>
    <row r="3585" spans="1:9" x14ac:dyDescent="0.3">
      <c r="A3585" t="s">
        <v>54</v>
      </c>
      <c r="B3585" s="1">
        <v>45536</v>
      </c>
      <c r="C3585" s="2">
        <v>92307</v>
      </c>
      <c r="D3585" s="2">
        <v>-707</v>
      </c>
      <c r="E3585" s="2">
        <v>52134</v>
      </c>
      <c r="F3585" s="2">
        <v>210</v>
      </c>
      <c r="G3585" s="2">
        <v>976</v>
      </c>
      <c r="H3585" s="2">
        <v>40173</v>
      </c>
      <c r="I3585" s="2">
        <v>-917</v>
      </c>
    </row>
    <row r="3586" spans="1:9" x14ac:dyDescent="0.3">
      <c r="A3586" t="s">
        <v>54</v>
      </c>
      <c r="B3586" s="1">
        <v>45505</v>
      </c>
      <c r="C3586" s="2">
        <v>91925</v>
      </c>
      <c r="D3586" s="2">
        <v>85</v>
      </c>
      <c r="E3586" s="2">
        <v>50835</v>
      </c>
      <c r="F3586" s="2">
        <v>862</v>
      </c>
      <c r="G3586" s="2">
        <v>583</v>
      </c>
      <c r="H3586" s="2">
        <v>41090</v>
      </c>
      <c r="I3586" s="2">
        <v>-777</v>
      </c>
    </row>
    <row r="3587" spans="1:9" x14ac:dyDescent="0.3">
      <c r="A3587" t="s">
        <v>54</v>
      </c>
      <c r="B3587" s="1">
        <v>45474</v>
      </c>
      <c r="C3587" s="2">
        <v>90982</v>
      </c>
      <c r="D3587" s="2">
        <v>1776</v>
      </c>
      <c r="E3587" s="2">
        <v>49115</v>
      </c>
      <c r="F3587" s="2">
        <v>723</v>
      </c>
      <c r="G3587" s="2">
        <v>309</v>
      </c>
      <c r="H3587" s="2">
        <v>41867</v>
      </c>
      <c r="I3587" s="2">
        <v>1053</v>
      </c>
    </row>
    <row r="3588" spans="1:9" x14ac:dyDescent="0.3">
      <c r="A3588" t="s">
        <v>54</v>
      </c>
      <c r="B3588" s="1">
        <v>45444</v>
      </c>
      <c r="C3588" s="2">
        <v>89040</v>
      </c>
      <c r="D3588" s="2">
        <v>1268</v>
      </c>
      <c r="E3588" s="2">
        <v>48226</v>
      </c>
      <c r="F3588" s="2">
        <v>248</v>
      </c>
      <c r="G3588" s="2">
        <v>204</v>
      </c>
      <c r="H3588" s="2">
        <v>40814</v>
      </c>
      <c r="I3588" s="2">
        <v>1020</v>
      </c>
    </row>
    <row r="3589" spans="1:9" x14ac:dyDescent="0.3">
      <c r="A3589" t="s">
        <v>54</v>
      </c>
      <c r="B3589" s="1">
        <v>45413</v>
      </c>
      <c r="C3589" s="2">
        <v>87635</v>
      </c>
      <c r="D3589" s="2">
        <v>145</v>
      </c>
      <c r="E3589" s="2">
        <v>47841</v>
      </c>
      <c r="F3589" s="2">
        <v>157</v>
      </c>
      <c r="G3589" s="2">
        <v>158</v>
      </c>
      <c r="H3589" s="2">
        <v>39794</v>
      </c>
      <c r="I3589" s="2">
        <v>-12</v>
      </c>
    </row>
    <row r="3590" spans="1:9" x14ac:dyDescent="0.3">
      <c r="A3590" t="s">
        <v>54</v>
      </c>
      <c r="B3590" s="1">
        <v>45383</v>
      </c>
      <c r="C3590" s="2">
        <v>86897</v>
      </c>
      <c r="D3590" s="2">
        <v>-1475</v>
      </c>
      <c r="E3590" s="2">
        <v>47091</v>
      </c>
      <c r="F3590" s="2">
        <v>-1548</v>
      </c>
      <c r="G3590" s="2">
        <v>-1310</v>
      </c>
      <c r="H3590" s="2">
        <v>39806</v>
      </c>
      <c r="I3590" s="2">
        <v>73</v>
      </c>
    </row>
    <row r="3591" spans="1:9" x14ac:dyDescent="0.3">
      <c r="A3591" t="s">
        <v>54</v>
      </c>
      <c r="B3591" s="1">
        <v>45352</v>
      </c>
      <c r="C3591" s="2">
        <v>90346</v>
      </c>
      <c r="D3591" s="2">
        <v>2854</v>
      </c>
      <c r="E3591" s="2">
        <v>50613</v>
      </c>
      <c r="F3591" s="2">
        <v>2967</v>
      </c>
      <c r="G3591" s="2">
        <v>623</v>
      </c>
      <c r="H3591" s="2">
        <v>39733</v>
      </c>
      <c r="I3591" s="2">
        <v>-113</v>
      </c>
    </row>
    <row r="3592" spans="1:9" x14ac:dyDescent="0.3">
      <c r="A3592" t="s">
        <v>54</v>
      </c>
      <c r="B3592" s="1">
        <v>45323</v>
      </c>
      <c r="C3592" s="2">
        <v>87071</v>
      </c>
      <c r="D3592" s="2">
        <v>299</v>
      </c>
      <c r="E3592" s="2">
        <v>47225</v>
      </c>
      <c r="F3592" s="2">
        <v>-826</v>
      </c>
      <c r="G3592" s="2">
        <v>-212</v>
      </c>
      <c r="H3592" s="2">
        <v>39846</v>
      </c>
      <c r="I3592" s="2">
        <v>1125</v>
      </c>
    </row>
    <row r="3593" spans="1:9" x14ac:dyDescent="0.3">
      <c r="A3593" t="s">
        <v>54</v>
      </c>
      <c r="B3593" s="1">
        <v>45292</v>
      </c>
      <c r="C3593" s="2">
        <v>86762</v>
      </c>
      <c r="D3593" s="2">
        <v>-3817</v>
      </c>
      <c r="E3593" s="2">
        <v>48041</v>
      </c>
      <c r="F3593" s="2">
        <v>-1550</v>
      </c>
      <c r="G3593" s="2">
        <v>318</v>
      </c>
      <c r="H3593" s="2">
        <v>38721</v>
      </c>
      <c r="I3593" s="2">
        <v>-2267</v>
      </c>
    </row>
    <row r="3594" spans="1:9" x14ac:dyDescent="0.3">
      <c r="A3594" t="s">
        <v>54</v>
      </c>
      <c r="B3594" s="1">
        <v>45261</v>
      </c>
      <c r="C3594" s="2">
        <v>90616</v>
      </c>
      <c r="D3594" s="2">
        <v>-1234</v>
      </c>
      <c r="E3594" s="2">
        <v>49628</v>
      </c>
      <c r="F3594" s="2">
        <v>1790</v>
      </c>
      <c r="G3594" s="2">
        <v>893</v>
      </c>
      <c r="H3594" s="2">
        <v>40988</v>
      </c>
      <c r="I3594" s="2">
        <v>-3024</v>
      </c>
    </row>
    <row r="3595" spans="1:9" x14ac:dyDescent="0.3">
      <c r="A3595" t="s">
        <v>54</v>
      </c>
      <c r="B3595" s="1">
        <v>45231</v>
      </c>
      <c r="C3595" s="2">
        <v>89206</v>
      </c>
      <c r="D3595" s="2">
        <v>-778</v>
      </c>
      <c r="E3595" s="2">
        <v>45194</v>
      </c>
      <c r="F3595" s="2">
        <v>1874</v>
      </c>
      <c r="G3595" s="2">
        <v>814</v>
      </c>
      <c r="H3595" s="2">
        <v>44012</v>
      </c>
      <c r="I3595" s="2">
        <v>-2652</v>
      </c>
    </row>
    <row r="3596" spans="1:9" x14ac:dyDescent="0.3">
      <c r="A3596" t="s">
        <v>54</v>
      </c>
      <c r="B3596" s="1">
        <v>45200</v>
      </c>
      <c r="C3596" s="2">
        <v>89149</v>
      </c>
      <c r="D3596" s="2">
        <v>634</v>
      </c>
      <c r="E3596" s="2">
        <v>42485</v>
      </c>
      <c r="F3596" s="2">
        <v>-1491</v>
      </c>
      <c r="G3596" s="2">
        <v>-186</v>
      </c>
      <c r="H3596" s="2">
        <v>46664</v>
      </c>
      <c r="I3596" s="2">
        <v>2125</v>
      </c>
    </row>
    <row r="3597" spans="1:9" x14ac:dyDescent="0.3">
      <c r="A3597" t="s">
        <v>54</v>
      </c>
      <c r="B3597" s="1">
        <v>45170</v>
      </c>
      <c r="C3597" s="2">
        <v>88671</v>
      </c>
      <c r="D3597" s="2">
        <v>2134</v>
      </c>
      <c r="E3597" s="2">
        <v>44132</v>
      </c>
      <c r="F3597" s="2">
        <v>678</v>
      </c>
      <c r="G3597" s="2">
        <v>-855</v>
      </c>
      <c r="H3597" s="2">
        <v>44539</v>
      </c>
      <c r="I3597" s="2">
        <v>1456</v>
      </c>
    </row>
    <row r="3598" spans="1:9" x14ac:dyDescent="0.3">
      <c r="A3598" t="s">
        <v>54</v>
      </c>
      <c r="B3598" s="1">
        <v>45139</v>
      </c>
      <c r="C3598" s="2">
        <v>87820</v>
      </c>
      <c r="D3598" s="2">
        <v>902</v>
      </c>
      <c r="E3598" s="2">
        <v>44737</v>
      </c>
      <c r="F3598" s="2">
        <v>569</v>
      </c>
      <c r="G3598" s="2">
        <v>80</v>
      </c>
      <c r="H3598" s="2">
        <v>43083</v>
      </c>
      <c r="I3598" s="2">
        <v>333</v>
      </c>
    </row>
    <row r="3599" spans="1:9" x14ac:dyDescent="0.3">
      <c r="A3599" t="s">
        <v>54</v>
      </c>
      <c r="B3599" s="1">
        <v>45108</v>
      </c>
      <c r="C3599" s="2">
        <v>86997</v>
      </c>
      <c r="D3599" s="2">
        <v>3061</v>
      </c>
      <c r="E3599" s="2">
        <v>44247</v>
      </c>
      <c r="F3599" s="2">
        <v>2246</v>
      </c>
      <c r="G3599" s="2">
        <v>-367</v>
      </c>
      <c r="H3599" s="2">
        <v>42750</v>
      </c>
      <c r="I3599" s="2">
        <v>815</v>
      </c>
    </row>
    <row r="3600" spans="1:9" x14ac:dyDescent="0.3">
      <c r="A3600" t="s">
        <v>54</v>
      </c>
      <c r="B3600" s="1">
        <v>45078</v>
      </c>
      <c r="C3600" s="2">
        <v>84542</v>
      </c>
      <c r="D3600" s="2">
        <v>11391</v>
      </c>
      <c r="E3600" s="2">
        <v>42607</v>
      </c>
      <c r="F3600" s="2">
        <v>45</v>
      </c>
      <c r="G3600" s="2">
        <v>-194</v>
      </c>
      <c r="H3600" s="2">
        <v>41935</v>
      </c>
      <c r="I3600" s="2">
        <v>11346</v>
      </c>
    </row>
    <row r="3601" spans="1:9" x14ac:dyDescent="0.3">
      <c r="A3601" t="s">
        <v>54</v>
      </c>
      <c r="B3601" s="1">
        <v>45047</v>
      </c>
      <c r="C3601" s="2">
        <v>73020</v>
      </c>
      <c r="D3601" s="2">
        <v>-1721</v>
      </c>
      <c r="E3601" s="2">
        <v>42431</v>
      </c>
      <c r="F3601" s="2">
        <v>329</v>
      </c>
      <c r="G3601" s="2">
        <v>-449</v>
      </c>
      <c r="H3601" s="2">
        <v>30589</v>
      </c>
      <c r="I3601" s="2">
        <v>-2050</v>
      </c>
    </row>
    <row r="3602" spans="1:9" x14ac:dyDescent="0.3">
      <c r="A3602" t="s">
        <v>54</v>
      </c>
      <c r="B3602" s="1">
        <v>45017</v>
      </c>
      <c r="C3602" s="2">
        <v>75084</v>
      </c>
      <c r="D3602" s="2">
        <v>-4408</v>
      </c>
      <c r="E3602" s="2">
        <v>42445</v>
      </c>
      <c r="F3602" s="2">
        <v>495</v>
      </c>
      <c r="G3602" s="2">
        <v>223</v>
      </c>
      <c r="H3602" s="2">
        <v>32639</v>
      </c>
      <c r="I3602" s="2">
        <v>-4903</v>
      </c>
    </row>
    <row r="3603" spans="1:9" x14ac:dyDescent="0.3">
      <c r="A3603" t="s">
        <v>54</v>
      </c>
      <c r="B3603" s="1">
        <v>44986</v>
      </c>
      <c r="C3603" s="2">
        <v>79129</v>
      </c>
      <c r="D3603" s="2">
        <v>1470</v>
      </c>
      <c r="E3603" s="2">
        <v>41587</v>
      </c>
      <c r="F3603" s="2">
        <v>356</v>
      </c>
      <c r="G3603" s="2">
        <v>956</v>
      </c>
      <c r="H3603" s="2">
        <v>37542</v>
      </c>
      <c r="I3603" s="2">
        <v>1114</v>
      </c>
    </row>
    <row r="3604" spans="1:9" x14ac:dyDescent="0.3">
      <c r="A3604" t="s">
        <v>54</v>
      </c>
      <c r="B3604" s="1">
        <v>44958</v>
      </c>
      <c r="C3604" s="2">
        <v>77826</v>
      </c>
      <c r="D3604" s="2">
        <v>808</v>
      </c>
      <c r="E3604" s="2">
        <v>41398</v>
      </c>
      <c r="F3604" s="2">
        <v>-390</v>
      </c>
      <c r="G3604" s="2">
        <v>-549</v>
      </c>
      <c r="H3604" s="2">
        <v>36428</v>
      </c>
      <c r="I3604" s="2">
        <v>1198</v>
      </c>
    </row>
    <row r="3605" spans="1:9" hidden="1" x14ac:dyDescent="0.3">
      <c r="A3605" t="s">
        <v>54</v>
      </c>
      <c r="B3605" s="1">
        <v>44927</v>
      </c>
      <c r="C3605" s="2">
        <v>77445</v>
      </c>
      <c r="D3605" s="2" t="s">
        <v>3</v>
      </c>
      <c r="E3605" s="2">
        <v>42215</v>
      </c>
      <c r="F3605" s="2" t="s">
        <v>3</v>
      </c>
      <c r="G3605" s="2" t="s">
        <v>3</v>
      </c>
      <c r="H3605" s="2">
        <v>35230</v>
      </c>
      <c r="I3605" s="2">
        <v>-5164</v>
      </c>
    </row>
    <row r="3606" spans="1:9" hidden="1" x14ac:dyDescent="0.3">
      <c r="A3606" t="s">
        <v>54</v>
      </c>
      <c r="B3606" s="1">
        <v>44896</v>
      </c>
      <c r="C3606" s="2">
        <v>81556</v>
      </c>
      <c r="D3606" s="2" t="s">
        <v>3</v>
      </c>
      <c r="E3606" s="2">
        <v>41162</v>
      </c>
      <c r="F3606" s="2" t="s">
        <v>3</v>
      </c>
      <c r="G3606" s="2" t="s">
        <v>3</v>
      </c>
      <c r="H3606" s="2">
        <v>40394</v>
      </c>
      <c r="I3606" s="2">
        <v>-2749</v>
      </c>
    </row>
    <row r="3607" spans="1:9" hidden="1" x14ac:dyDescent="0.3">
      <c r="A3607" t="s">
        <v>54</v>
      </c>
      <c r="B3607" s="1">
        <v>44866</v>
      </c>
      <c r="C3607" s="2">
        <v>83649</v>
      </c>
      <c r="D3607" s="2" t="s">
        <v>3</v>
      </c>
      <c r="E3607" s="2">
        <v>40506</v>
      </c>
      <c r="F3607" s="2" t="s">
        <v>3</v>
      </c>
      <c r="G3607" s="2" t="s">
        <v>3</v>
      </c>
      <c r="H3607" s="2">
        <v>43143</v>
      </c>
      <c r="I3607" s="2">
        <v>-2457</v>
      </c>
    </row>
    <row r="3608" spans="1:9" hidden="1" x14ac:dyDescent="0.3">
      <c r="A3608" t="s">
        <v>54</v>
      </c>
      <c r="B3608" s="1">
        <v>44835</v>
      </c>
      <c r="C3608" s="2">
        <v>83640</v>
      </c>
      <c r="D3608" s="2" t="s">
        <v>3</v>
      </c>
      <c r="E3608" s="2">
        <v>38040</v>
      </c>
      <c r="F3608" s="2" t="s">
        <v>3</v>
      </c>
      <c r="G3608" s="2" t="s">
        <v>3</v>
      </c>
      <c r="H3608" s="2">
        <v>45600</v>
      </c>
      <c r="I3608" s="2">
        <v>2272</v>
      </c>
    </row>
    <row r="3609" spans="1:9" hidden="1" x14ac:dyDescent="0.3">
      <c r="A3609" t="s">
        <v>54</v>
      </c>
      <c r="B3609" s="1">
        <v>44805</v>
      </c>
      <c r="C3609" s="2">
        <v>82602</v>
      </c>
      <c r="D3609" s="2" t="s">
        <v>3</v>
      </c>
      <c r="E3609" s="2">
        <v>39274</v>
      </c>
      <c r="F3609" s="2" t="s">
        <v>3</v>
      </c>
      <c r="G3609" s="2" t="s">
        <v>3</v>
      </c>
      <c r="H3609" s="2">
        <v>43328</v>
      </c>
      <c r="I3609" s="2">
        <v>2791</v>
      </c>
    </row>
    <row r="3610" spans="1:9" hidden="1" x14ac:dyDescent="0.3">
      <c r="A3610" t="s">
        <v>54</v>
      </c>
      <c r="B3610" s="1">
        <v>44774</v>
      </c>
      <c r="C3610" s="2">
        <v>82713</v>
      </c>
      <c r="D3610" s="2" t="s">
        <v>3</v>
      </c>
      <c r="E3610" s="2">
        <v>42176</v>
      </c>
      <c r="F3610" s="2" t="s">
        <v>3</v>
      </c>
      <c r="G3610" s="2" t="s">
        <v>3</v>
      </c>
      <c r="H3610" s="2">
        <v>40537</v>
      </c>
      <c r="I3610" s="2">
        <v>-210</v>
      </c>
    </row>
    <row r="3611" spans="1:9" hidden="1" x14ac:dyDescent="0.3">
      <c r="A3611" t="s">
        <v>54</v>
      </c>
      <c r="B3611" s="1">
        <v>44743</v>
      </c>
      <c r="C3611" s="2">
        <v>82338</v>
      </c>
      <c r="D3611" s="2" t="s">
        <v>3</v>
      </c>
      <c r="E3611" s="2">
        <v>41591</v>
      </c>
      <c r="F3611" s="2" t="s">
        <v>3</v>
      </c>
      <c r="G3611" s="2" t="s">
        <v>3</v>
      </c>
      <c r="H3611" s="2">
        <v>40747</v>
      </c>
      <c r="I3611" s="2">
        <v>2563</v>
      </c>
    </row>
    <row r="3612" spans="1:9" hidden="1" x14ac:dyDescent="0.3">
      <c r="A3612" t="s">
        <v>54</v>
      </c>
      <c r="B3612" s="1">
        <v>44713</v>
      </c>
      <c r="C3612" s="2">
        <v>79517</v>
      </c>
      <c r="D3612" s="2" t="s">
        <v>3</v>
      </c>
      <c r="E3612" s="2">
        <v>41333</v>
      </c>
      <c r="F3612" s="2" t="s">
        <v>3</v>
      </c>
      <c r="G3612" s="2" t="s">
        <v>3</v>
      </c>
      <c r="H3612" s="2">
        <v>38184</v>
      </c>
      <c r="I3612" s="2">
        <v>1287</v>
      </c>
    </row>
    <row r="3613" spans="1:9" hidden="1" x14ac:dyDescent="0.3">
      <c r="A3613" t="s">
        <v>54</v>
      </c>
      <c r="B3613" s="1">
        <v>44682</v>
      </c>
      <c r="C3613" s="2">
        <v>77431</v>
      </c>
      <c r="D3613" s="2" t="s">
        <v>3</v>
      </c>
      <c r="E3613" s="2">
        <v>40534</v>
      </c>
      <c r="F3613" s="2" t="s">
        <v>3</v>
      </c>
      <c r="G3613" s="2" t="s">
        <v>3</v>
      </c>
      <c r="H3613" s="2">
        <v>36897</v>
      </c>
      <c r="I3613" s="2">
        <v>245</v>
      </c>
    </row>
    <row r="3614" spans="1:9" hidden="1" x14ac:dyDescent="0.3">
      <c r="A3614" t="s">
        <v>54</v>
      </c>
      <c r="B3614" s="1">
        <v>44652</v>
      </c>
      <c r="C3614" s="2">
        <v>75202</v>
      </c>
      <c r="D3614" s="2" t="s">
        <v>3</v>
      </c>
      <c r="E3614" s="2">
        <v>38550</v>
      </c>
      <c r="F3614" s="2" t="s">
        <v>3</v>
      </c>
      <c r="G3614" s="2" t="s">
        <v>3</v>
      </c>
      <c r="H3614" s="2">
        <v>36652</v>
      </c>
      <c r="I3614" s="2">
        <v>1133</v>
      </c>
    </row>
    <row r="3615" spans="1:9" hidden="1" x14ac:dyDescent="0.3">
      <c r="A3615" t="s">
        <v>54</v>
      </c>
      <c r="B3615" s="1">
        <v>44621</v>
      </c>
      <c r="C3615" s="2">
        <v>72952</v>
      </c>
      <c r="D3615" s="2" t="s">
        <v>3</v>
      </c>
      <c r="E3615" s="2">
        <v>37433</v>
      </c>
      <c r="F3615" s="2" t="s">
        <v>3</v>
      </c>
      <c r="G3615" s="2" t="s">
        <v>3</v>
      </c>
      <c r="H3615" s="2">
        <v>35519</v>
      </c>
      <c r="I3615" s="2">
        <v>2626</v>
      </c>
    </row>
    <row r="3616" spans="1:9" hidden="1" x14ac:dyDescent="0.3">
      <c r="A3616" t="s">
        <v>54</v>
      </c>
      <c r="B3616" s="1">
        <v>44593</v>
      </c>
      <c r="C3616" s="2">
        <v>71176</v>
      </c>
      <c r="D3616" s="2" t="s">
        <v>3</v>
      </c>
      <c r="E3616" s="2">
        <v>38283</v>
      </c>
      <c r="F3616" s="2" t="s">
        <v>3</v>
      </c>
      <c r="G3616" s="2" t="s">
        <v>3</v>
      </c>
      <c r="H3616" s="2">
        <v>32893</v>
      </c>
      <c r="I3616" s="2">
        <v>1736</v>
      </c>
    </row>
    <row r="3617" spans="1:9" hidden="1" x14ac:dyDescent="0.3">
      <c r="A3617" t="s">
        <v>54</v>
      </c>
      <c r="B3617" s="1">
        <v>44562</v>
      </c>
      <c r="C3617" s="2">
        <v>69680</v>
      </c>
      <c r="D3617" s="2" t="s">
        <v>3</v>
      </c>
      <c r="E3617" s="2">
        <v>38523</v>
      </c>
      <c r="F3617" s="2" t="s">
        <v>3</v>
      </c>
      <c r="G3617" s="2" t="s">
        <v>3</v>
      </c>
      <c r="H3617" s="2">
        <v>31157</v>
      </c>
      <c r="I3617" s="2">
        <v>-2462</v>
      </c>
    </row>
    <row r="3618" spans="1:9" hidden="1" x14ac:dyDescent="0.3">
      <c r="A3618" t="s">
        <v>54</v>
      </c>
      <c r="B3618" s="1">
        <v>44531</v>
      </c>
      <c r="C3618" s="2">
        <v>72254</v>
      </c>
      <c r="D3618" s="2" t="s">
        <v>3</v>
      </c>
      <c r="E3618" s="2">
        <v>38635</v>
      </c>
      <c r="F3618" s="2" t="s">
        <v>3</v>
      </c>
      <c r="G3618" s="2" t="s">
        <v>3</v>
      </c>
      <c r="H3618" s="2">
        <v>33619</v>
      </c>
      <c r="I3618" s="2">
        <v>-1537</v>
      </c>
    </row>
    <row r="3619" spans="1:9" hidden="1" x14ac:dyDescent="0.3">
      <c r="A3619" t="s">
        <v>54</v>
      </c>
      <c r="B3619" s="1">
        <v>44501</v>
      </c>
      <c r="C3619" s="2">
        <v>73200</v>
      </c>
      <c r="D3619" s="2" t="s">
        <v>3</v>
      </c>
      <c r="E3619" s="2">
        <v>38044</v>
      </c>
      <c r="F3619" s="2" t="s">
        <v>3</v>
      </c>
      <c r="G3619" s="2" t="s">
        <v>3</v>
      </c>
      <c r="H3619" s="2">
        <v>35156</v>
      </c>
      <c r="I3619" s="2">
        <v>1214</v>
      </c>
    </row>
    <row r="3620" spans="1:9" hidden="1" x14ac:dyDescent="0.3">
      <c r="A3620" t="s">
        <v>54</v>
      </c>
      <c r="B3620" s="1">
        <v>44470</v>
      </c>
      <c r="C3620" s="2">
        <v>70931</v>
      </c>
      <c r="D3620" s="2" t="s">
        <v>3</v>
      </c>
      <c r="E3620" s="2">
        <v>36989</v>
      </c>
      <c r="F3620" s="2" t="s">
        <v>3</v>
      </c>
      <c r="G3620" s="2" t="s">
        <v>3</v>
      </c>
      <c r="H3620" s="2">
        <v>33942</v>
      </c>
      <c r="I3620" s="2">
        <v>-586</v>
      </c>
    </row>
    <row r="3621" spans="1:9" hidden="1" x14ac:dyDescent="0.3">
      <c r="A3621" t="s">
        <v>54</v>
      </c>
      <c r="B3621" s="1">
        <v>44440</v>
      </c>
      <c r="C3621" s="2">
        <v>72278</v>
      </c>
      <c r="D3621" s="2" t="s">
        <v>3</v>
      </c>
      <c r="E3621" s="2">
        <v>37750</v>
      </c>
      <c r="F3621" s="2" t="s">
        <v>3</v>
      </c>
      <c r="G3621" s="2" t="s">
        <v>3</v>
      </c>
      <c r="H3621" s="2">
        <v>34528</v>
      </c>
      <c r="I3621" s="2">
        <v>1218</v>
      </c>
    </row>
    <row r="3622" spans="1:9" hidden="1" x14ac:dyDescent="0.3">
      <c r="A3622" t="s">
        <v>54</v>
      </c>
      <c r="B3622" s="1">
        <v>44409</v>
      </c>
      <c r="C3622" s="2">
        <v>70205</v>
      </c>
      <c r="D3622" s="2" t="s">
        <v>3</v>
      </c>
      <c r="E3622" s="2">
        <v>36895</v>
      </c>
      <c r="F3622" s="2" t="s">
        <v>3</v>
      </c>
      <c r="G3622" s="2" t="s">
        <v>3</v>
      </c>
      <c r="H3622" s="2">
        <v>33310</v>
      </c>
      <c r="I3622" s="2">
        <v>1302</v>
      </c>
    </row>
    <row r="3623" spans="1:9" hidden="1" x14ac:dyDescent="0.3">
      <c r="A3623" t="s">
        <v>54</v>
      </c>
      <c r="B3623" s="1">
        <v>44378</v>
      </c>
      <c r="C3623" s="2">
        <v>68138</v>
      </c>
      <c r="D3623" s="2" t="s">
        <v>3</v>
      </c>
      <c r="E3623" s="2">
        <v>36130</v>
      </c>
      <c r="F3623" s="2" t="s">
        <v>3</v>
      </c>
      <c r="G3623" s="2" t="s">
        <v>3</v>
      </c>
      <c r="H3623" s="2">
        <v>32008</v>
      </c>
      <c r="I3623" s="2">
        <v>-616</v>
      </c>
    </row>
    <row r="3624" spans="1:9" hidden="1" x14ac:dyDescent="0.3">
      <c r="A3624" t="s">
        <v>54</v>
      </c>
      <c r="B3624" s="1">
        <v>44348</v>
      </c>
      <c r="C3624" s="2">
        <v>68004</v>
      </c>
      <c r="D3624" s="2" t="s">
        <v>3</v>
      </c>
      <c r="E3624" s="2">
        <v>35380</v>
      </c>
      <c r="F3624" s="2" t="s">
        <v>3</v>
      </c>
      <c r="G3624" s="2" t="s">
        <v>3</v>
      </c>
      <c r="H3624" s="2">
        <v>32624</v>
      </c>
      <c r="I3624" s="2">
        <v>747</v>
      </c>
    </row>
    <row r="3625" spans="1:9" hidden="1" x14ac:dyDescent="0.3">
      <c r="A3625" t="s">
        <v>54</v>
      </c>
      <c r="B3625" s="1">
        <v>44317</v>
      </c>
      <c r="C3625" s="2">
        <v>66250</v>
      </c>
      <c r="D3625" s="2" t="s">
        <v>3</v>
      </c>
      <c r="E3625" s="2">
        <v>34373</v>
      </c>
      <c r="F3625" s="2" t="s">
        <v>3</v>
      </c>
      <c r="G3625" s="2" t="s">
        <v>3</v>
      </c>
      <c r="H3625" s="2">
        <v>31877</v>
      </c>
      <c r="I3625" s="2">
        <v>-1195</v>
      </c>
    </row>
    <row r="3626" spans="1:9" hidden="1" x14ac:dyDescent="0.3">
      <c r="A3626" t="s">
        <v>54</v>
      </c>
      <c r="B3626" s="1">
        <v>44287</v>
      </c>
      <c r="C3626" s="2">
        <v>67142</v>
      </c>
      <c r="D3626" s="2" t="s">
        <v>3</v>
      </c>
      <c r="E3626" s="2">
        <v>34070</v>
      </c>
      <c r="F3626" s="2" t="s">
        <v>3</v>
      </c>
      <c r="G3626" s="2" t="s">
        <v>3</v>
      </c>
      <c r="H3626" s="2">
        <v>33072</v>
      </c>
      <c r="I3626" s="2">
        <v>30</v>
      </c>
    </row>
    <row r="3627" spans="1:9" hidden="1" x14ac:dyDescent="0.3">
      <c r="A3627" t="s">
        <v>54</v>
      </c>
      <c r="B3627" s="1">
        <v>44256</v>
      </c>
      <c r="C3627" s="2">
        <v>66280</v>
      </c>
      <c r="D3627" s="2" t="s">
        <v>3</v>
      </c>
      <c r="E3627" s="2">
        <v>33238</v>
      </c>
      <c r="F3627" s="2" t="s">
        <v>3</v>
      </c>
      <c r="G3627" s="2" t="s">
        <v>3</v>
      </c>
      <c r="H3627" s="2">
        <v>33042</v>
      </c>
      <c r="I3627" s="2">
        <v>-1286</v>
      </c>
    </row>
    <row r="3628" spans="1:9" hidden="1" x14ac:dyDescent="0.3">
      <c r="A3628" t="s">
        <v>54</v>
      </c>
      <c r="B3628" s="1">
        <v>44228</v>
      </c>
      <c r="C3628" s="2">
        <v>67111</v>
      </c>
      <c r="D3628" s="2" t="s">
        <v>3</v>
      </c>
      <c r="E3628" s="2">
        <v>32783</v>
      </c>
      <c r="F3628" s="2" t="s">
        <v>3</v>
      </c>
      <c r="G3628" s="2" t="s">
        <v>3</v>
      </c>
      <c r="H3628" s="2">
        <v>34328</v>
      </c>
      <c r="I3628" s="2">
        <v>-7</v>
      </c>
    </row>
    <row r="3629" spans="1:9" hidden="1" x14ac:dyDescent="0.3">
      <c r="A3629" t="s">
        <v>54</v>
      </c>
      <c r="B3629" s="1">
        <v>44197</v>
      </c>
      <c r="C3629" s="2">
        <v>68163</v>
      </c>
      <c r="D3629" s="2" t="s">
        <v>3</v>
      </c>
      <c r="E3629" s="2">
        <v>33828</v>
      </c>
      <c r="F3629" s="2" t="s">
        <v>3</v>
      </c>
      <c r="G3629" s="2" t="s">
        <v>3</v>
      </c>
      <c r="H3629" s="2">
        <v>34335</v>
      </c>
      <c r="I3629" s="2">
        <v>-3507</v>
      </c>
    </row>
    <row r="3630" spans="1:9" hidden="1" x14ac:dyDescent="0.3">
      <c r="A3630" t="s">
        <v>54</v>
      </c>
      <c r="B3630" s="1">
        <v>44166</v>
      </c>
      <c r="C3630" s="2">
        <v>72594</v>
      </c>
      <c r="D3630" s="2" t="s">
        <v>3</v>
      </c>
      <c r="E3630" s="2">
        <v>34752</v>
      </c>
      <c r="F3630" s="2" t="s">
        <v>3</v>
      </c>
      <c r="G3630" s="2" t="s">
        <v>3</v>
      </c>
      <c r="H3630" s="2">
        <v>37842</v>
      </c>
      <c r="I3630" s="2">
        <v>-1086</v>
      </c>
    </row>
    <row r="3631" spans="1:9" hidden="1" x14ac:dyDescent="0.3">
      <c r="A3631" t="s">
        <v>54</v>
      </c>
      <c r="B3631" s="1">
        <v>44136</v>
      </c>
      <c r="C3631" s="2">
        <v>74047</v>
      </c>
      <c r="D3631" s="2" t="s">
        <v>3</v>
      </c>
      <c r="E3631" s="2">
        <v>35119</v>
      </c>
      <c r="F3631" s="2" t="s">
        <v>3</v>
      </c>
      <c r="G3631" s="2" t="s">
        <v>3</v>
      </c>
      <c r="H3631" s="2">
        <v>38928</v>
      </c>
      <c r="I3631" s="2">
        <v>827</v>
      </c>
    </row>
    <row r="3632" spans="1:9" hidden="1" x14ac:dyDescent="0.3">
      <c r="A3632" t="s">
        <v>54</v>
      </c>
      <c r="B3632" s="1">
        <v>44105</v>
      </c>
      <c r="C3632" s="2">
        <v>73888</v>
      </c>
      <c r="D3632" s="2" t="s">
        <v>3</v>
      </c>
      <c r="E3632" s="2">
        <v>35787</v>
      </c>
      <c r="F3632" s="2" t="s">
        <v>3</v>
      </c>
      <c r="G3632" s="2" t="s">
        <v>3</v>
      </c>
      <c r="H3632" s="2">
        <v>38101</v>
      </c>
      <c r="I3632" s="2">
        <v>-1336</v>
      </c>
    </row>
    <row r="3633" spans="1:9" hidden="1" x14ac:dyDescent="0.3">
      <c r="A3633" t="s">
        <v>54</v>
      </c>
      <c r="B3633" s="1">
        <v>44075</v>
      </c>
      <c r="C3633" s="2">
        <v>76139</v>
      </c>
      <c r="D3633" s="2" t="s">
        <v>3</v>
      </c>
      <c r="E3633" s="2">
        <v>36702</v>
      </c>
      <c r="F3633" s="2" t="s">
        <v>3</v>
      </c>
      <c r="G3633" s="2" t="s">
        <v>3</v>
      </c>
      <c r="H3633" s="2">
        <v>39437</v>
      </c>
      <c r="I3633" s="2">
        <v>3540</v>
      </c>
    </row>
    <row r="3634" spans="1:9" hidden="1" x14ac:dyDescent="0.3">
      <c r="A3634" t="s">
        <v>54</v>
      </c>
      <c r="B3634" s="1">
        <v>44044</v>
      </c>
      <c r="C3634" s="2">
        <v>74195</v>
      </c>
      <c r="D3634" s="2" t="s">
        <v>3</v>
      </c>
      <c r="E3634" s="2">
        <v>38298</v>
      </c>
      <c r="F3634" s="2" t="s">
        <v>3</v>
      </c>
      <c r="G3634" s="2" t="s">
        <v>3</v>
      </c>
      <c r="H3634" s="2">
        <v>35897</v>
      </c>
      <c r="I3634" s="2">
        <v>4221</v>
      </c>
    </row>
    <row r="3635" spans="1:9" hidden="1" x14ac:dyDescent="0.3">
      <c r="A3635" t="s">
        <v>54</v>
      </c>
      <c r="B3635" s="1">
        <v>44013</v>
      </c>
      <c r="C3635" s="2">
        <v>71055</v>
      </c>
      <c r="D3635" s="2" t="s">
        <v>3</v>
      </c>
      <c r="E3635" s="2">
        <v>39379</v>
      </c>
      <c r="F3635" s="2" t="s">
        <v>3</v>
      </c>
      <c r="G3635" s="2" t="s">
        <v>3</v>
      </c>
      <c r="H3635" s="2">
        <v>31676</v>
      </c>
      <c r="I3635" s="2">
        <v>10</v>
      </c>
    </row>
    <row r="3636" spans="1:9" hidden="1" x14ac:dyDescent="0.3">
      <c r="A3636" t="s">
        <v>54</v>
      </c>
      <c r="B3636" s="1">
        <v>43983</v>
      </c>
      <c r="C3636" s="2">
        <v>70867</v>
      </c>
      <c r="D3636" s="2" t="s">
        <v>3</v>
      </c>
      <c r="E3636" s="2">
        <v>39201</v>
      </c>
      <c r="F3636" s="2" t="s">
        <v>3</v>
      </c>
      <c r="G3636" s="2" t="s">
        <v>3</v>
      </c>
      <c r="H3636" s="2">
        <v>31666</v>
      </c>
      <c r="I3636" s="2">
        <v>3271</v>
      </c>
    </row>
    <row r="3637" spans="1:9" hidden="1" x14ac:dyDescent="0.3">
      <c r="A3637" t="s">
        <v>54</v>
      </c>
      <c r="B3637" s="1">
        <v>43952</v>
      </c>
      <c r="C3637" s="2">
        <v>63854</v>
      </c>
      <c r="D3637" s="2" t="s">
        <v>3</v>
      </c>
      <c r="E3637" s="2">
        <v>35459</v>
      </c>
      <c r="F3637" s="2" t="s">
        <v>3</v>
      </c>
      <c r="G3637" s="2" t="s">
        <v>3</v>
      </c>
      <c r="H3637" s="2">
        <v>28395</v>
      </c>
      <c r="I3637" s="2">
        <v>707</v>
      </c>
    </row>
    <row r="3638" spans="1:9" hidden="1" x14ac:dyDescent="0.3">
      <c r="A3638" t="s">
        <v>54</v>
      </c>
      <c r="B3638" s="1">
        <v>43922</v>
      </c>
      <c r="C3638" s="2">
        <v>65207</v>
      </c>
      <c r="D3638" s="2" t="s">
        <v>3</v>
      </c>
      <c r="E3638" s="2">
        <v>37519</v>
      </c>
      <c r="F3638" s="2" t="s">
        <v>3</v>
      </c>
      <c r="G3638" s="2" t="s">
        <v>3</v>
      </c>
      <c r="H3638" s="2">
        <v>27688</v>
      </c>
      <c r="I3638" s="2">
        <v>2869</v>
      </c>
    </row>
    <row r="3639" spans="1:9" hidden="1" x14ac:dyDescent="0.3">
      <c r="A3639" t="s">
        <v>54</v>
      </c>
      <c r="B3639" s="1">
        <v>43891</v>
      </c>
      <c r="C3639" s="2">
        <v>64223</v>
      </c>
      <c r="D3639" s="2" t="s">
        <v>3</v>
      </c>
      <c r="E3639" s="2">
        <v>39404</v>
      </c>
      <c r="F3639" s="2" t="s">
        <v>3</v>
      </c>
      <c r="G3639" s="2" t="s">
        <v>3</v>
      </c>
      <c r="H3639" s="2">
        <v>24819</v>
      </c>
      <c r="I3639" s="2">
        <v>2829</v>
      </c>
    </row>
    <row r="3640" spans="1:9" hidden="1" x14ac:dyDescent="0.3">
      <c r="A3640" t="s">
        <v>54</v>
      </c>
      <c r="B3640" s="1">
        <v>43862</v>
      </c>
      <c r="C3640" s="2">
        <v>65874</v>
      </c>
      <c r="D3640" s="2" t="s">
        <v>3</v>
      </c>
      <c r="E3640" s="2">
        <v>43884</v>
      </c>
      <c r="F3640" s="2" t="s">
        <v>3</v>
      </c>
      <c r="G3640" s="2" t="s">
        <v>3</v>
      </c>
      <c r="H3640" s="2">
        <v>21990</v>
      </c>
      <c r="I3640" s="2">
        <v>640</v>
      </c>
    </row>
    <row r="3641" spans="1:9" hidden="1" x14ac:dyDescent="0.3">
      <c r="A3641" t="s">
        <v>54</v>
      </c>
      <c r="B3641" s="1">
        <v>43831</v>
      </c>
      <c r="C3641" s="2">
        <v>64820</v>
      </c>
      <c r="D3641" s="2" t="s">
        <v>3</v>
      </c>
      <c r="E3641" s="2">
        <v>43470</v>
      </c>
      <c r="F3641" s="2" t="s">
        <v>3</v>
      </c>
      <c r="G3641" s="2" t="s">
        <v>3</v>
      </c>
      <c r="H3641" s="2">
        <v>21350</v>
      </c>
      <c r="I3641" s="2">
        <v>-560</v>
      </c>
    </row>
    <row r="3642" spans="1:9" x14ac:dyDescent="0.3">
      <c r="A3642" t="s">
        <v>55</v>
      </c>
      <c r="B3642" s="1">
        <v>45931</v>
      </c>
      <c r="C3642" s="2">
        <v>80762</v>
      </c>
      <c r="D3642" s="2">
        <v>1313</v>
      </c>
      <c r="E3642" s="2">
        <v>60246</v>
      </c>
      <c r="F3642" s="2">
        <v>2054</v>
      </c>
      <c r="G3642" s="2">
        <v>-4</v>
      </c>
      <c r="H3642" s="2">
        <v>20516</v>
      </c>
      <c r="I3642" s="2">
        <v>-741</v>
      </c>
    </row>
    <row r="3643" spans="1:9" x14ac:dyDescent="0.3">
      <c r="A3643" t="s">
        <v>55</v>
      </c>
      <c r="B3643" s="1">
        <v>45901</v>
      </c>
      <c r="C3643" s="2">
        <v>79512</v>
      </c>
      <c r="D3643" s="2">
        <v>4610</v>
      </c>
      <c r="E3643" s="2">
        <v>58255</v>
      </c>
      <c r="F3643" s="2">
        <v>5195</v>
      </c>
      <c r="G3643" s="2">
        <v>-72</v>
      </c>
      <c r="H3643" s="2">
        <v>21257</v>
      </c>
      <c r="I3643" s="2">
        <v>-585</v>
      </c>
    </row>
    <row r="3644" spans="1:9" x14ac:dyDescent="0.3">
      <c r="A3644" t="s">
        <v>55</v>
      </c>
      <c r="B3644" s="1">
        <v>45870</v>
      </c>
      <c r="C3644" s="2">
        <v>76339</v>
      </c>
      <c r="D3644" s="2">
        <v>1615</v>
      </c>
      <c r="E3644" s="2">
        <v>54497</v>
      </c>
      <c r="F3644" s="2">
        <v>71</v>
      </c>
      <c r="G3644" s="2">
        <v>214</v>
      </c>
      <c r="H3644" s="2">
        <v>21842</v>
      </c>
      <c r="I3644" s="2">
        <v>1544</v>
      </c>
    </row>
    <row r="3645" spans="1:9" x14ac:dyDescent="0.3">
      <c r="A3645" t="s">
        <v>55</v>
      </c>
      <c r="B3645" s="1">
        <v>45839</v>
      </c>
      <c r="C3645" s="2">
        <v>76083</v>
      </c>
      <c r="D3645" s="2">
        <v>-364</v>
      </c>
      <c r="E3645" s="2">
        <v>55785</v>
      </c>
      <c r="F3645" s="2">
        <v>344</v>
      </c>
      <c r="G3645" s="2">
        <v>-334</v>
      </c>
      <c r="H3645" s="2">
        <v>20298</v>
      </c>
      <c r="I3645" s="2">
        <v>-708</v>
      </c>
    </row>
    <row r="3646" spans="1:9" x14ac:dyDescent="0.3">
      <c r="A3646" t="s">
        <v>55</v>
      </c>
      <c r="B3646" s="1">
        <v>45809</v>
      </c>
      <c r="C3646" s="2">
        <v>77004</v>
      </c>
      <c r="D3646" s="2">
        <v>1197</v>
      </c>
      <c r="E3646" s="2">
        <v>55998</v>
      </c>
      <c r="F3646" s="2">
        <v>1014</v>
      </c>
      <c r="G3646" s="2">
        <v>348</v>
      </c>
      <c r="H3646" s="2">
        <v>21006</v>
      </c>
      <c r="I3646" s="2">
        <v>183</v>
      </c>
    </row>
    <row r="3647" spans="1:9" x14ac:dyDescent="0.3">
      <c r="A3647" t="s">
        <v>55</v>
      </c>
      <c r="B3647" s="1">
        <v>45778</v>
      </c>
      <c r="C3647" s="2">
        <v>75985</v>
      </c>
      <c r="D3647" s="2">
        <v>1675</v>
      </c>
      <c r="E3647" s="2">
        <v>55162</v>
      </c>
      <c r="F3647" s="2">
        <v>1908</v>
      </c>
      <c r="G3647" s="2">
        <v>-1751</v>
      </c>
      <c r="H3647" s="2">
        <v>20823</v>
      </c>
      <c r="I3647" s="2">
        <v>-233</v>
      </c>
    </row>
    <row r="3648" spans="1:9" x14ac:dyDescent="0.3">
      <c r="A3648" t="s">
        <v>55</v>
      </c>
      <c r="B3648" s="1">
        <v>45748</v>
      </c>
      <c r="C3648" s="2">
        <v>77436</v>
      </c>
      <c r="D3648" s="2">
        <v>2647</v>
      </c>
      <c r="E3648" s="2">
        <v>56380</v>
      </c>
      <c r="F3648" s="2">
        <v>1457</v>
      </c>
      <c r="G3648" s="2">
        <v>250</v>
      </c>
      <c r="H3648" s="2">
        <v>21056</v>
      </c>
      <c r="I3648" s="2">
        <v>1190</v>
      </c>
    </row>
    <row r="3649" spans="1:9" x14ac:dyDescent="0.3">
      <c r="A3649" t="s">
        <v>55</v>
      </c>
      <c r="B3649" s="1">
        <v>45717</v>
      </c>
      <c r="C3649" s="2">
        <v>75082</v>
      </c>
      <c r="D3649" s="2">
        <v>-78227</v>
      </c>
      <c r="E3649" s="2">
        <v>55216</v>
      </c>
      <c r="F3649" s="2">
        <v>2745</v>
      </c>
      <c r="G3649" s="2">
        <v>83</v>
      </c>
      <c r="H3649" s="2">
        <v>19866</v>
      </c>
      <c r="I3649" s="2">
        <v>-80972</v>
      </c>
    </row>
    <row r="3650" spans="1:9" x14ac:dyDescent="0.3">
      <c r="A3650" t="s">
        <v>55</v>
      </c>
      <c r="B3650" s="1">
        <v>45689</v>
      </c>
      <c r="C3650" s="2">
        <v>153424</v>
      </c>
      <c r="D3650" s="2">
        <v>24678</v>
      </c>
      <c r="E3650" s="2">
        <v>52586</v>
      </c>
      <c r="F3650" s="2">
        <v>2512</v>
      </c>
      <c r="G3650" s="2">
        <v>539</v>
      </c>
      <c r="H3650" s="2">
        <v>100838</v>
      </c>
      <c r="I3650" s="2">
        <v>22166</v>
      </c>
    </row>
    <row r="3651" spans="1:9" x14ac:dyDescent="0.3">
      <c r="A3651" t="s">
        <v>55</v>
      </c>
      <c r="B3651" s="1">
        <v>45658</v>
      </c>
      <c r="C3651" s="2">
        <v>129807</v>
      </c>
      <c r="D3651" s="2">
        <v>4647</v>
      </c>
      <c r="E3651" s="2">
        <v>51135</v>
      </c>
      <c r="F3651" s="2">
        <v>1811</v>
      </c>
      <c r="G3651" s="2">
        <v>459</v>
      </c>
      <c r="H3651" s="2">
        <v>78672</v>
      </c>
      <c r="I3651" s="2">
        <v>2836</v>
      </c>
    </row>
    <row r="3652" spans="1:9" x14ac:dyDescent="0.3">
      <c r="A3652" t="s">
        <v>55</v>
      </c>
      <c r="B3652" s="1">
        <v>45627</v>
      </c>
      <c r="C3652" s="2">
        <v>125723</v>
      </c>
      <c r="D3652" s="2">
        <v>4783</v>
      </c>
      <c r="E3652" s="2">
        <v>49887</v>
      </c>
      <c r="F3652" s="2">
        <v>-1022</v>
      </c>
      <c r="G3652" s="2">
        <v>-646</v>
      </c>
      <c r="H3652" s="2">
        <v>75836</v>
      </c>
      <c r="I3652" s="2">
        <v>5805</v>
      </c>
    </row>
    <row r="3653" spans="1:9" x14ac:dyDescent="0.3">
      <c r="A3653" t="s">
        <v>55</v>
      </c>
      <c r="B3653" s="1">
        <v>45597</v>
      </c>
      <c r="C3653" s="2">
        <v>120150</v>
      </c>
      <c r="D3653" s="2">
        <v>327</v>
      </c>
      <c r="E3653" s="2">
        <v>50119</v>
      </c>
      <c r="F3653" s="2">
        <v>1012</v>
      </c>
      <c r="G3653" s="2">
        <v>234</v>
      </c>
      <c r="H3653" s="2">
        <v>70031</v>
      </c>
      <c r="I3653" s="2">
        <v>-685</v>
      </c>
    </row>
    <row r="3654" spans="1:9" x14ac:dyDescent="0.3">
      <c r="A3654" t="s">
        <v>55</v>
      </c>
      <c r="B3654" s="1">
        <v>45566</v>
      </c>
      <c r="C3654" s="2">
        <v>119566</v>
      </c>
      <c r="D3654" s="2">
        <v>2231</v>
      </c>
      <c r="E3654" s="2">
        <v>48850</v>
      </c>
      <c r="F3654" s="2">
        <v>-2</v>
      </c>
      <c r="G3654" s="2">
        <v>-658</v>
      </c>
      <c r="H3654" s="2">
        <v>70716</v>
      </c>
      <c r="I3654" s="2">
        <v>2233</v>
      </c>
    </row>
    <row r="3655" spans="1:9" x14ac:dyDescent="0.3">
      <c r="A3655" t="s">
        <v>55</v>
      </c>
      <c r="B3655" s="1">
        <v>45536</v>
      </c>
      <c r="C3655" s="2">
        <v>117851</v>
      </c>
      <c r="D3655" s="2">
        <v>41</v>
      </c>
      <c r="E3655" s="2">
        <v>49368</v>
      </c>
      <c r="F3655" s="2">
        <v>2645</v>
      </c>
      <c r="G3655" s="2">
        <v>213</v>
      </c>
      <c r="H3655" s="2">
        <v>68483</v>
      </c>
      <c r="I3655" s="2">
        <v>-2604</v>
      </c>
    </row>
    <row r="3656" spans="1:9" x14ac:dyDescent="0.3">
      <c r="A3656" t="s">
        <v>55</v>
      </c>
      <c r="B3656" s="1">
        <v>45505</v>
      </c>
      <c r="C3656" s="2">
        <v>110838</v>
      </c>
      <c r="D3656" s="2">
        <v>3957</v>
      </c>
      <c r="E3656" s="2">
        <v>39751</v>
      </c>
      <c r="F3656" s="2">
        <v>-62</v>
      </c>
      <c r="G3656" s="2">
        <v>183</v>
      </c>
      <c r="H3656" s="2">
        <v>71087</v>
      </c>
      <c r="I3656" s="2">
        <v>4019</v>
      </c>
    </row>
    <row r="3657" spans="1:9" x14ac:dyDescent="0.3">
      <c r="A3657" t="s">
        <v>55</v>
      </c>
      <c r="B3657" s="1">
        <v>45474</v>
      </c>
      <c r="C3657" s="2">
        <v>106925</v>
      </c>
      <c r="D3657" s="2">
        <v>-2135</v>
      </c>
      <c r="E3657" s="2">
        <v>39857</v>
      </c>
      <c r="F3657" s="2">
        <v>1660</v>
      </c>
      <c r="G3657" s="2">
        <v>342</v>
      </c>
      <c r="H3657" s="2">
        <v>67068</v>
      </c>
      <c r="I3657" s="2">
        <v>-3795</v>
      </c>
    </row>
    <row r="3658" spans="1:9" x14ac:dyDescent="0.3">
      <c r="A3658" t="s">
        <v>55</v>
      </c>
      <c r="B3658" s="1">
        <v>45444</v>
      </c>
      <c r="C3658" s="2">
        <v>109281</v>
      </c>
      <c r="D3658" s="2">
        <v>50031</v>
      </c>
      <c r="E3658" s="2">
        <v>38418</v>
      </c>
      <c r="F3658" s="2">
        <v>525</v>
      </c>
      <c r="G3658" s="2">
        <v>152</v>
      </c>
      <c r="H3658" s="2">
        <v>70863</v>
      </c>
      <c r="I3658" s="2">
        <v>49506</v>
      </c>
    </row>
    <row r="3659" spans="1:9" x14ac:dyDescent="0.3">
      <c r="A3659" t="s">
        <v>55</v>
      </c>
      <c r="B3659" s="1">
        <v>45413</v>
      </c>
      <c r="C3659" s="2">
        <v>59489</v>
      </c>
      <c r="D3659" s="2">
        <v>-1678</v>
      </c>
      <c r="E3659" s="2">
        <v>38132</v>
      </c>
      <c r="F3659" s="2">
        <v>-1710</v>
      </c>
      <c r="G3659" s="2">
        <v>283</v>
      </c>
      <c r="H3659" s="2">
        <v>21357</v>
      </c>
      <c r="I3659" s="2">
        <v>32</v>
      </c>
    </row>
    <row r="3660" spans="1:9" x14ac:dyDescent="0.3">
      <c r="A3660" t="s">
        <v>55</v>
      </c>
      <c r="B3660" s="1">
        <v>45383</v>
      </c>
      <c r="C3660" s="2">
        <v>60918</v>
      </c>
      <c r="D3660" s="2">
        <v>2863</v>
      </c>
      <c r="E3660" s="2">
        <v>39593</v>
      </c>
      <c r="F3660" s="2">
        <v>1848</v>
      </c>
      <c r="G3660" s="2">
        <v>-451</v>
      </c>
      <c r="H3660" s="2">
        <v>21325</v>
      </c>
      <c r="I3660" s="2">
        <v>1015</v>
      </c>
    </row>
    <row r="3661" spans="1:9" x14ac:dyDescent="0.3">
      <c r="A3661" t="s">
        <v>55</v>
      </c>
      <c r="B3661" s="1">
        <v>45352</v>
      </c>
      <c r="C3661" s="2">
        <v>58411</v>
      </c>
      <c r="D3661" s="2">
        <v>365</v>
      </c>
      <c r="E3661" s="2">
        <v>38101</v>
      </c>
      <c r="F3661" s="2">
        <v>119</v>
      </c>
      <c r="G3661" s="2">
        <v>522</v>
      </c>
      <c r="H3661" s="2">
        <v>20310</v>
      </c>
      <c r="I3661" s="2">
        <v>246</v>
      </c>
    </row>
    <row r="3662" spans="1:9" x14ac:dyDescent="0.3">
      <c r="A3662" t="s">
        <v>55</v>
      </c>
      <c r="B3662" s="1">
        <v>45323</v>
      </c>
      <c r="C3662" s="2">
        <v>58020</v>
      </c>
      <c r="D3662" s="2">
        <v>969</v>
      </c>
      <c r="E3662" s="2">
        <v>37956</v>
      </c>
      <c r="F3662" s="2">
        <v>-1095</v>
      </c>
      <c r="G3662" s="2">
        <v>-264</v>
      </c>
      <c r="H3662" s="2">
        <v>20064</v>
      </c>
      <c r="I3662" s="2">
        <v>2064</v>
      </c>
    </row>
    <row r="3663" spans="1:9" x14ac:dyDescent="0.3">
      <c r="A3663" t="s">
        <v>55</v>
      </c>
      <c r="B3663" s="1">
        <v>45292</v>
      </c>
      <c r="C3663" s="2">
        <v>57674</v>
      </c>
      <c r="D3663" s="2">
        <v>-2254</v>
      </c>
      <c r="E3663" s="2">
        <v>39674</v>
      </c>
      <c r="F3663" s="2">
        <v>11</v>
      </c>
      <c r="G3663" s="2">
        <v>-171</v>
      </c>
      <c r="H3663" s="2">
        <v>18000</v>
      </c>
      <c r="I3663" s="2">
        <v>-2265</v>
      </c>
    </row>
    <row r="3664" spans="1:9" x14ac:dyDescent="0.3">
      <c r="A3664" t="s">
        <v>55</v>
      </c>
      <c r="B3664" s="1">
        <v>45261</v>
      </c>
      <c r="C3664" s="2">
        <v>58999</v>
      </c>
      <c r="D3664" s="2">
        <v>-1370</v>
      </c>
      <c r="E3664" s="2">
        <v>38734</v>
      </c>
      <c r="F3664" s="2">
        <v>194</v>
      </c>
      <c r="G3664" s="2">
        <v>602</v>
      </c>
      <c r="H3664" s="2">
        <v>20265</v>
      </c>
      <c r="I3664" s="2">
        <v>-1564</v>
      </c>
    </row>
    <row r="3665" spans="1:9" x14ac:dyDescent="0.3">
      <c r="A3665" t="s">
        <v>55</v>
      </c>
      <c r="B3665" s="1">
        <v>45231</v>
      </c>
      <c r="C3665" s="2">
        <v>59855</v>
      </c>
      <c r="D3665" s="2">
        <v>570</v>
      </c>
      <c r="E3665" s="2">
        <v>38026</v>
      </c>
      <c r="F3665" s="2">
        <v>897</v>
      </c>
      <c r="G3665" s="2">
        <v>584</v>
      </c>
      <c r="H3665" s="2">
        <v>21829</v>
      </c>
      <c r="I3665" s="2">
        <v>-327</v>
      </c>
    </row>
    <row r="3666" spans="1:9" x14ac:dyDescent="0.3">
      <c r="A3666" t="s">
        <v>55</v>
      </c>
      <c r="B3666" s="1">
        <v>45200</v>
      </c>
      <c r="C3666" s="2">
        <v>59245</v>
      </c>
      <c r="D3666" s="2">
        <v>1461</v>
      </c>
      <c r="E3666" s="2">
        <v>37089</v>
      </c>
      <c r="F3666" s="2">
        <v>716</v>
      </c>
      <c r="G3666" s="2">
        <v>-95</v>
      </c>
      <c r="H3666" s="2">
        <v>22156</v>
      </c>
      <c r="I3666" s="2">
        <v>745</v>
      </c>
    </row>
    <row r="3667" spans="1:9" x14ac:dyDescent="0.3">
      <c r="A3667" t="s">
        <v>55</v>
      </c>
      <c r="B3667" s="1">
        <v>45170</v>
      </c>
      <c r="C3667" s="2">
        <v>57950</v>
      </c>
      <c r="D3667" s="2">
        <v>1295</v>
      </c>
      <c r="E3667" s="2">
        <v>36539</v>
      </c>
      <c r="F3667" s="2">
        <v>2463</v>
      </c>
      <c r="G3667" s="2">
        <v>-186</v>
      </c>
      <c r="H3667" s="2">
        <v>21411</v>
      </c>
      <c r="I3667" s="2">
        <v>-1168</v>
      </c>
    </row>
    <row r="3668" spans="1:9" x14ac:dyDescent="0.3">
      <c r="A3668" t="s">
        <v>55</v>
      </c>
      <c r="B3668" s="1">
        <v>45139</v>
      </c>
      <c r="C3668" s="2">
        <v>57406</v>
      </c>
      <c r="D3668" s="2">
        <v>305</v>
      </c>
      <c r="E3668" s="2">
        <v>34827</v>
      </c>
      <c r="F3668" s="2">
        <v>-35</v>
      </c>
      <c r="G3668" s="2">
        <v>249</v>
      </c>
      <c r="H3668" s="2">
        <v>22579</v>
      </c>
      <c r="I3668" s="2">
        <v>340</v>
      </c>
    </row>
    <row r="3669" spans="1:9" x14ac:dyDescent="0.3">
      <c r="A3669" t="s">
        <v>55</v>
      </c>
      <c r="B3669" s="1">
        <v>45108</v>
      </c>
      <c r="C3669" s="2">
        <v>56775</v>
      </c>
      <c r="D3669" s="2">
        <v>-772</v>
      </c>
      <c r="E3669" s="2">
        <v>34536</v>
      </c>
      <c r="F3669" s="2">
        <v>-1083</v>
      </c>
      <c r="G3669" s="2">
        <v>384</v>
      </c>
      <c r="H3669" s="2">
        <v>22239</v>
      </c>
      <c r="I3669" s="2">
        <v>311</v>
      </c>
    </row>
    <row r="3670" spans="1:9" x14ac:dyDescent="0.3">
      <c r="A3670" t="s">
        <v>55</v>
      </c>
      <c r="B3670" s="1">
        <v>45078</v>
      </c>
      <c r="C3670" s="2">
        <v>57033</v>
      </c>
      <c r="D3670" s="2">
        <v>1458</v>
      </c>
      <c r="E3670" s="2">
        <v>35105</v>
      </c>
      <c r="F3670" s="2">
        <v>1042</v>
      </c>
      <c r="G3670" s="2">
        <v>-2</v>
      </c>
      <c r="H3670" s="2">
        <v>21928</v>
      </c>
      <c r="I3670" s="2">
        <v>416</v>
      </c>
    </row>
    <row r="3671" spans="1:9" x14ac:dyDescent="0.3">
      <c r="A3671" t="s">
        <v>55</v>
      </c>
      <c r="B3671" s="1">
        <v>45047</v>
      </c>
      <c r="C3671" s="2">
        <v>55414</v>
      </c>
      <c r="D3671" s="2">
        <v>-280</v>
      </c>
      <c r="E3671" s="2">
        <v>33902</v>
      </c>
      <c r="F3671" s="2">
        <v>208</v>
      </c>
      <c r="G3671" s="2">
        <v>-388</v>
      </c>
      <c r="H3671" s="2">
        <v>21512</v>
      </c>
      <c r="I3671" s="2">
        <v>-488</v>
      </c>
    </row>
    <row r="3672" spans="1:9" x14ac:dyDescent="0.3">
      <c r="A3672" t="s">
        <v>55</v>
      </c>
      <c r="B3672" s="1">
        <v>45017</v>
      </c>
      <c r="C3672" s="2">
        <v>56746</v>
      </c>
      <c r="D3672" s="2">
        <v>402</v>
      </c>
      <c r="E3672" s="2">
        <v>34746</v>
      </c>
      <c r="F3672" s="2">
        <v>203</v>
      </c>
      <c r="G3672" s="2">
        <v>49</v>
      </c>
      <c r="H3672" s="2">
        <v>22000</v>
      </c>
      <c r="I3672" s="2">
        <v>199</v>
      </c>
    </row>
    <row r="3673" spans="1:9" x14ac:dyDescent="0.3">
      <c r="A3673" t="s">
        <v>55</v>
      </c>
      <c r="B3673" s="1">
        <v>44986</v>
      </c>
      <c r="C3673" s="2">
        <v>55995</v>
      </c>
      <c r="D3673" s="2">
        <v>6095</v>
      </c>
      <c r="E3673" s="2">
        <v>34194</v>
      </c>
      <c r="F3673" s="2">
        <v>1382</v>
      </c>
      <c r="G3673" s="2">
        <v>418</v>
      </c>
      <c r="H3673" s="2">
        <v>21801</v>
      </c>
      <c r="I3673" s="2">
        <v>4713</v>
      </c>
    </row>
    <row r="3674" spans="1:9" x14ac:dyDescent="0.3">
      <c r="A3674" t="s">
        <v>55</v>
      </c>
      <c r="B3674" s="1">
        <v>44958</v>
      </c>
      <c r="C3674" s="2">
        <v>49777</v>
      </c>
      <c r="D3674" s="2">
        <v>5092</v>
      </c>
      <c r="E3674" s="2">
        <v>32689</v>
      </c>
      <c r="F3674" s="2">
        <v>2595</v>
      </c>
      <c r="G3674" s="2">
        <v>-50</v>
      </c>
      <c r="H3674" s="2">
        <v>17088</v>
      </c>
      <c r="I3674" s="2">
        <v>2497</v>
      </c>
    </row>
    <row r="3675" spans="1:9" hidden="1" x14ac:dyDescent="0.3">
      <c r="A3675" t="s">
        <v>55</v>
      </c>
      <c r="B3675" s="1">
        <v>44927</v>
      </c>
      <c r="C3675" s="2">
        <v>44857</v>
      </c>
      <c r="D3675" s="2" t="s">
        <v>3</v>
      </c>
      <c r="E3675" s="2">
        <v>30266</v>
      </c>
      <c r="F3675" s="2" t="s">
        <v>3</v>
      </c>
      <c r="G3675" s="2" t="s">
        <v>3</v>
      </c>
      <c r="H3675" s="2">
        <v>14591</v>
      </c>
      <c r="I3675" s="2">
        <v>-628</v>
      </c>
    </row>
    <row r="3676" spans="1:9" hidden="1" x14ac:dyDescent="0.3">
      <c r="A3676" t="s">
        <v>55</v>
      </c>
      <c r="B3676" s="1">
        <v>44896</v>
      </c>
      <c r="C3676" s="2">
        <v>48101</v>
      </c>
      <c r="D3676" s="2" t="s">
        <v>3</v>
      </c>
      <c r="E3676" s="2">
        <v>32882</v>
      </c>
      <c r="F3676" s="2" t="s">
        <v>3</v>
      </c>
      <c r="G3676" s="2" t="s">
        <v>3</v>
      </c>
      <c r="H3676" s="2">
        <v>15219</v>
      </c>
      <c r="I3676" s="2">
        <v>-1147</v>
      </c>
    </row>
    <row r="3677" spans="1:9" hidden="1" x14ac:dyDescent="0.3">
      <c r="A3677" t="s">
        <v>55</v>
      </c>
      <c r="B3677" s="1">
        <v>44866</v>
      </c>
      <c r="C3677" s="2">
        <v>50321</v>
      </c>
      <c r="D3677" s="2" t="s">
        <v>3</v>
      </c>
      <c r="E3677" s="2">
        <v>33955</v>
      </c>
      <c r="F3677" s="2" t="s">
        <v>3</v>
      </c>
      <c r="G3677" s="2" t="s">
        <v>3</v>
      </c>
      <c r="H3677" s="2">
        <v>16366</v>
      </c>
      <c r="I3677" s="2">
        <v>243</v>
      </c>
    </row>
    <row r="3678" spans="1:9" hidden="1" x14ac:dyDescent="0.3">
      <c r="A3678" t="s">
        <v>55</v>
      </c>
      <c r="B3678" s="1">
        <v>44835</v>
      </c>
      <c r="C3678" s="2">
        <v>50495</v>
      </c>
      <c r="D3678" s="2" t="s">
        <v>3</v>
      </c>
      <c r="E3678" s="2">
        <v>34372</v>
      </c>
      <c r="F3678" s="2" t="s">
        <v>3</v>
      </c>
      <c r="G3678" s="2" t="s">
        <v>3</v>
      </c>
      <c r="H3678" s="2">
        <v>16123</v>
      </c>
      <c r="I3678" s="2">
        <v>2623</v>
      </c>
    </row>
    <row r="3679" spans="1:9" hidden="1" x14ac:dyDescent="0.3">
      <c r="A3679" t="s">
        <v>55</v>
      </c>
      <c r="B3679" s="1">
        <v>44805</v>
      </c>
      <c r="C3679" s="2">
        <v>47784</v>
      </c>
      <c r="D3679" s="2" t="s">
        <v>3</v>
      </c>
      <c r="E3679" s="2">
        <v>34284</v>
      </c>
      <c r="F3679" s="2" t="s">
        <v>3</v>
      </c>
      <c r="G3679" s="2" t="s">
        <v>3</v>
      </c>
      <c r="H3679" s="2">
        <v>13500</v>
      </c>
      <c r="I3679" s="2">
        <v>2720</v>
      </c>
    </row>
    <row r="3680" spans="1:9" hidden="1" x14ac:dyDescent="0.3">
      <c r="A3680" t="s">
        <v>55</v>
      </c>
      <c r="B3680" s="1">
        <v>44774</v>
      </c>
      <c r="C3680" s="2">
        <v>44382</v>
      </c>
      <c r="D3680" s="2" t="s">
        <v>3</v>
      </c>
      <c r="E3680" s="2">
        <v>33602</v>
      </c>
      <c r="F3680" s="2" t="s">
        <v>3</v>
      </c>
      <c r="G3680" s="2" t="s">
        <v>3</v>
      </c>
      <c r="H3680" s="2">
        <v>10780</v>
      </c>
      <c r="I3680" s="2">
        <v>1725</v>
      </c>
    </row>
    <row r="3681" spans="1:9" hidden="1" x14ac:dyDescent="0.3">
      <c r="A3681" t="s">
        <v>55</v>
      </c>
      <c r="B3681" s="1">
        <v>44743</v>
      </c>
      <c r="C3681" s="2">
        <v>43629</v>
      </c>
      <c r="D3681" s="2" t="s">
        <v>3</v>
      </c>
      <c r="E3681" s="2">
        <v>34574</v>
      </c>
      <c r="F3681" s="2" t="s">
        <v>3</v>
      </c>
      <c r="G3681" s="2" t="s">
        <v>3</v>
      </c>
      <c r="H3681" s="2">
        <v>9055</v>
      </c>
      <c r="I3681" s="2">
        <v>1270</v>
      </c>
    </row>
    <row r="3682" spans="1:9" hidden="1" x14ac:dyDescent="0.3">
      <c r="A3682" t="s">
        <v>55</v>
      </c>
      <c r="B3682" s="1">
        <v>44713</v>
      </c>
      <c r="C3682" s="2">
        <v>41312</v>
      </c>
      <c r="D3682" s="2" t="s">
        <v>3</v>
      </c>
      <c r="E3682" s="2">
        <v>33527</v>
      </c>
      <c r="F3682" s="2" t="s">
        <v>3</v>
      </c>
      <c r="G3682" s="2" t="s">
        <v>3</v>
      </c>
      <c r="H3682" s="2">
        <v>7785</v>
      </c>
      <c r="I3682" s="2">
        <v>881</v>
      </c>
    </row>
    <row r="3683" spans="1:9" hidden="1" x14ac:dyDescent="0.3">
      <c r="A3683" t="s">
        <v>55</v>
      </c>
      <c r="B3683" s="1">
        <v>44682</v>
      </c>
      <c r="C3683" s="2">
        <v>38492</v>
      </c>
      <c r="D3683" s="2" t="s">
        <v>3</v>
      </c>
      <c r="E3683" s="2">
        <v>31588</v>
      </c>
      <c r="F3683" s="2" t="s">
        <v>3</v>
      </c>
      <c r="G3683" s="2" t="s">
        <v>3</v>
      </c>
      <c r="H3683" s="2">
        <v>6904</v>
      </c>
      <c r="I3683" s="2">
        <v>-728</v>
      </c>
    </row>
    <row r="3684" spans="1:9" hidden="1" x14ac:dyDescent="0.3">
      <c r="A3684" t="s">
        <v>55</v>
      </c>
      <c r="B3684" s="1">
        <v>44652</v>
      </c>
      <c r="C3684" s="2">
        <v>38770</v>
      </c>
      <c r="D3684" s="2" t="s">
        <v>3</v>
      </c>
      <c r="E3684" s="2">
        <v>31138</v>
      </c>
      <c r="F3684" s="2" t="s">
        <v>3</v>
      </c>
      <c r="G3684" s="2" t="s">
        <v>3</v>
      </c>
      <c r="H3684" s="2">
        <v>7632</v>
      </c>
      <c r="I3684" s="2">
        <v>231</v>
      </c>
    </row>
    <row r="3685" spans="1:9" hidden="1" x14ac:dyDescent="0.3">
      <c r="A3685" t="s">
        <v>55</v>
      </c>
      <c r="B3685" s="1">
        <v>44621</v>
      </c>
      <c r="C3685" s="2">
        <v>35217</v>
      </c>
      <c r="D3685" s="2" t="s">
        <v>3</v>
      </c>
      <c r="E3685" s="2">
        <v>27816</v>
      </c>
      <c r="F3685" s="2" t="s">
        <v>3</v>
      </c>
      <c r="G3685" s="2" t="s">
        <v>3</v>
      </c>
      <c r="H3685" s="2">
        <v>7401</v>
      </c>
      <c r="I3685" s="2">
        <v>1129</v>
      </c>
    </row>
    <row r="3686" spans="1:9" hidden="1" x14ac:dyDescent="0.3">
      <c r="A3686" t="s">
        <v>55</v>
      </c>
      <c r="B3686" s="1">
        <v>44593</v>
      </c>
      <c r="C3686" s="2">
        <v>36903</v>
      </c>
      <c r="D3686" s="2" t="s">
        <v>3</v>
      </c>
      <c r="E3686" s="2">
        <v>30631</v>
      </c>
      <c r="F3686" s="2" t="s">
        <v>3</v>
      </c>
      <c r="G3686" s="2" t="s">
        <v>3</v>
      </c>
      <c r="H3686" s="2">
        <v>6272</v>
      </c>
      <c r="I3686" s="2">
        <v>283</v>
      </c>
    </row>
    <row r="3687" spans="1:9" hidden="1" x14ac:dyDescent="0.3">
      <c r="A3687" t="s">
        <v>55</v>
      </c>
      <c r="B3687" s="1">
        <v>44562</v>
      </c>
      <c r="C3687" s="2">
        <v>37489</v>
      </c>
      <c r="D3687" s="2" t="s">
        <v>3</v>
      </c>
      <c r="E3687" s="2">
        <v>31500</v>
      </c>
      <c r="F3687" s="2" t="s">
        <v>3</v>
      </c>
      <c r="G3687" s="2" t="s">
        <v>3</v>
      </c>
      <c r="H3687" s="2">
        <v>5989</v>
      </c>
      <c r="I3687" s="2">
        <v>1166</v>
      </c>
    </row>
    <row r="3688" spans="1:9" hidden="1" x14ac:dyDescent="0.3">
      <c r="A3688" t="s">
        <v>55</v>
      </c>
      <c r="B3688" s="1">
        <v>44531</v>
      </c>
      <c r="C3688" s="2">
        <v>36526</v>
      </c>
      <c r="D3688" s="2" t="s">
        <v>3</v>
      </c>
      <c r="E3688" s="2">
        <v>31703</v>
      </c>
      <c r="F3688" s="2" t="s">
        <v>3</v>
      </c>
      <c r="G3688" s="2" t="s">
        <v>3</v>
      </c>
      <c r="H3688" s="2">
        <v>4823</v>
      </c>
      <c r="I3688" s="2">
        <v>-127</v>
      </c>
    </row>
    <row r="3689" spans="1:9" hidden="1" x14ac:dyDescent="0.3">
      <c r="A3689" t="s">
        <v>55</v>
      </c>
      <c r="B3689" s="1">
        <v>44501</v>
      </c>
      <c r="C3689" s="2">
        <v>36913</v>
      </c>
      <c r="D3689" s="2" t="s">
        <v>3</v>
      </c>
      <c r="E3689" s="2">
        <v>31963</v>
      </c>
      <c r="F3689" s="2" t="s">
        <v>3</v>
      </c>
      <c r="G3689" s="2" t="s">
        <v>3</v>
      </c>
      <c r="H3689" s="2">
        <v>4950</v>
      </c>
      <c r="I3689" s="2">
        <v>53</v>
      </c>
    </row>
    <row r="3690" spans="1:9" hidden="1" x14ac:dyDescent="0.3">
      <c r="A3690" t="s">
        <v>55</v>
      </c>
      <c r="B3690" s="1">
        <v>44470</v>
      </c>
      <c r="C3690" s="2">
        <v>37420</v>
      </c>
      <c r="D3690" s="2" t="s">
        <v>3</v>
      </c>
      <c r="E3690" s="2">
        <v>32523</v>
      </c>
      <c r="F3690" s="2" t="s">
        <v>3</v>
      </c>
      <c r="G3690" s="2" t="s">
        <v>3</v>
      </c>
      <c r="H3690" s="2">
        <v>4897</v>
      </c>
      <c r="I3690" s="2">
        <v>433</v>
      </c>
    </row>
    <row r="3691" spans="1:9" hidden="1" x14ac:dyDescent="0.3">
      <c r="A3691" t="s">
        <v>55</v>
      </c>
      <c r="B3691" s="1">
        <v>44440</v>
      </c>
      <c r="C3691" s="2">
        <v>36541</v>
      </c>
      <c r="D3691" s="2" t="s">
        <v>3</v>
      </c>
      <c r="E3691" s="2">
        <v>32077</v>
      </c>
      <c r="F3691" s="2" t="s">
        <v>3</v>
      </c>
      <c r="G3691" s="2" t="s">
        <v>3</v>
      </c>
      <c r="H3691" s="2">
        <v>4464</v>
      </c>
      <c r="I3691" s="2">
        <v>-126</v>
      </c>
    </row>
    <row r="3692" spans="1:9" hidden="1" x14ac:dyDescent="0.3">
      <c r="A3692" t="s">
        <v>55</v>
      </c>
      <c r="B3692" s="1">
        <v>44409</v>
      </c>
      <c r="C3692" s="2">
        <v>36746</v>
      </c>
      <c r="D3692" s="2" t="s">
        <v>3</v>
      </c>
      <c r="E3692" s="2">
        <v>32156</v>
      </c>
      <c r="F3692" s="2" t="s">
        <v>3</v>
      </c>
      <c r="G3692" s="2" t="s">
        <v>3</v>
      </c>
      <c r="H3692" s="2">
        <v>4590</v>
      </c>
      <c r="I3692" s="2">
        <v>-267</v>
      </c>
    </row>
    <row r="3693" spans="1:9" hidden="1" x14ac:dyDescent="0.3">
      <c r="A3693" t="s">
        <v>55</v>
      </c>
      <c r="B3693" s="1">
        <v>44378</v>
      </c>
      <c r="C3693" s="2">
        <v>36827</v>
      </c>
      <c r="D3693" s="2" t="s">
        <v>3</v>
      </c>
      <c r="E3693" s="2">
        <v>31970</v>
      </c>
      <c r="F3693" s="2" t="s">
        <v>3</v>
      </c>
      <c r="G3693" s="2" t="s">
        <v>3</v>
      </c>
      <c r="H3693" s="2">
        <v>4857</v>
      </c>
      <c r="I3693" s="2">
        <v>-374</v>
      </c>
    </row>
    <row r="3694" spans="1:9" hidden="1" x14ac:dyDescent="0.3">
      <c r="A3694" t="s">
        <v>55</v>
      </c>
      <c r="B3694" s="1">
        <v>44348</v>
      </c>
      <c r="C3694" s="2">
        <v>35822</v>
      </c>
      <c r="D3694" s="2" t="s">
        <v>3</v>
      </c>
      <c r="E3694" s="2">
        <v>30591</v>
      </c>
      <c r="F3694" s="2" t="s">
        <v>3</v>
      </c>
      <c r="G3694" s="2" t="s">
        <v>3</v>
      </c>
      <c r="H3694" s="2">
        <v>5231</v>
      </c>
      <c r="I3694" s="2">
        <v>422</v>
      </c>
    </row>
    <row r="3695" spans="1:9" hidden="1" x14ac:dyDescent="0.3">
      <c r="A3695" t="s">
        <v>55</v>
      </c>
      <c r="B3695" s="1">
        <v>44317</v>
      </c>
      <c r="C3695" s="2">
        <v>35589</v>
      </c>
      <c r="D3695" s="2" t="s">
        <v>3</v>
      </c>
      <c r="E3695" s="2">
        <v>30780</v>
      </c>
      <c r="F3695" s="2" t="s">
        <v>3</v>
      </c>
      <c r="G3695" s="2" t="s">
        <v>3</v>
      </c>
      <c r="H3695" s="2">
        <v>4809</v>
      </c>
      <c r="I3695" s="2">
        <v>199</v>
      </c>
    </row>
    <row r="3696" spans="1:9" hidden="1" x14ac:dyDescent="0.3">
      <c r="A3696" t="s">
        <v>55</v>
      </c>
      <c r="B3696" s="1">
        <v>44287</v>
      </c>
      <c r="C3696" s="2">
        <v>34381</v>
      </c>
      <c r="D3696" s="2" t="s">
        <v>3</v>
      </c>
      <c r="E3696" s="2">
        <v>29771</v>
      </c>
      <c r="F3696" s="2" t="s">
        <v>3</v>
      </c>
      <c r="G3696" s="2" t="s">
        <v>3</v>
      </c>
      <c r="H3696" s="2">
        <v>4610</v>
      </c>
      <c r="I3696" s="2">
        <v>-570</v>
      </c>
    </row>
    <row r="3697" spans="1:9" hidden="1" x14ac:dyDescent="0.3">
      <c r="A3697" t="s">
        <v>55</v>
      </c>
      <c r="B3697" s="1">
        <v>44256</v>
      </c>
      <c r="C3697" s="2">
        <v>35215</v>
      </c>
      <c r="D3697" s="2" t="s">
        <v>3</v>
      </c>
      <c r="E3697" s="2">
        <v>30035</v>
      </c>
      <c r="F3697" s="2" t="s">
        <v>3</v>
      </c>
      <c r="G3697" s="2" t="s">
        <v>3</v>
      </c>
      <c r="H3697" s="2">
        <v>5180</v>
      </c>
      <c r="I3697" s="2">
        <v>-153</v>
      </c>
    </row>
    <row r="3698" spans="1:9" hidden="1" x14ac:dyDescent="0.3">
      <c r="A3698" t="s">
        <v>55</v>
      </c>
      <c r="B3698" s="1">
        <v>44228</v>
      </c>
      <c r="C3698" s="2">
        <v>35088</v>
      </c>
      <c r="D3698" s="2" t="s">
        <v>3</v>
      </c>
      <c r="E3698" s="2">
        <v>29755</v>
      </c>
      <c r="F3698" s="2" t="s">
        <v>3</v>
      </c>
      <c r="G3698" s="2" t="s">
        <v>3</v>
      </c>
      <c r="H3698" s="2">
        <v>5333</v>
      </c>
      <c r="I3698" s="2">
        <v>609</v>
      </c>
    </row>
    <row r="3699" spans="1:9" hidden="1" x14ac:dyDescent="0.3">
      <c r="A3699" t="s">
        <v>55</v>
      </c>
      <c r="B3699" s="1">
        <v>44197</v>
      </c>
      <c r="C3699" s="2">
        <v>34171</v>
      </c>
      <c r="D3699" s="2" t="s">
        <v>3</v>
      </c>
      <c r="E3699" s="2">
        <v>29447</v>
      </c>
      <c r="F3699" s="2" t="s">
        <v>3</v>
      </c>
      <c r="G3699" s="2" t="s">
        <v>3</v>
      </c>
      <c r="H3699" s="2">
        <v>4724</v>
      </c>
      <c r="I3699" s="2">
        <v>-572</v>
      </c>
    </row>
    <row r="3700" spans="1:9" hidden="1" x14ac:dyDescent="0.3">
      <c r="A3700" t="s">
        <v>55</v>
      </c>
      <c r="B3700" s="1">
        <v>44166</v>
      </c>
      <c r="C3700" s="2">
        <v>34621</v>
      </c>
      <c r="D3700" s="2" t="s">
        <v>3</v>
      </c>
      <c r="E3700" s="2">
        <v>29325</v>
      </c>
      <c r="F3700" s="2" t="s">
        <v>3</v>
      </c>
      <c r="G3700" s="2" t="s">
        <v>3</v>
      </c>
      <c r="H3700" s="2">
        <v>5296</v>
      </c>
      <c r="I3700" s="2">
        <v>-559</v>
      </c>
    </row>
    <row r="3701" spans="1:9" hidden="1" x14ac:dyDescent="0.3">
      <c r="A3701" t="s">
        <v>55</v>
      </c>
      <c r="B3701" s="1">
        <v>44136</v>
      </c>
      <c r="C3701" s="2">
        <v>35188</v>
      </c>
      <c r="D3701" s="2" t="s">
        <v>3</v>
      </c>
      <c r="E3701" s="2">
        <v>29333</v>
      </c>
      <c r="F3701" s="2" t="s">
        <v>3</v>
      </c>
      <c r="G3701" s="2" t="s">
        <v>3</v>
      </c>
      <c r="H3701" s="2">
        <v>5855</v>
      </c>
      <c r="I3701" s="2">
        <v>-745</v>
      </c>
    </row>
    <row r="3702" spans="1:9" hidden="1" x14ac:dyDescent="0.3">
      <c r="A3702" t="s">
        <v>55</v>
      </c>
      <c r="B3702" s="1">
        <v>44105</v>
      </c>
      <c r="C3702" s="2">
        <v>36898</v>
      </c>
      <c r="D3702" s="2" t="s">
        <v>3</v>
      </c>
      <c r="E3702" s="2">
        <v>30298</v>
      </c>
      <c r="F3702" s="2" t="s">
        <v>3</v>
      </c>
      <c r="G3702" s="2" t="s">
        <v>3</v>
      </c>
      <c r="H3702" s="2">
        <v>6600</v>
      </c>
      <c r="I3702" s="2">
        <v>182</v>
      </c>
    </row>
    <row r="3703" spans="1:9" hidden="1" x14ac:dyDescent="0.3">
      <c r="A3703" t="s">
        <v>55</v>
      </c>
      <c r="B3703" s="1">
        <v>44075</v>
      </c>
      <c r="C3703" s="2">
        <v>37159</v>
      </c>
      <c r="D3703" s="2" t="s">
        <v>3</v>
      </c>
      <c r="E3703" s="2">
        <v>30741</v>
      </c>
      <c r="F3703" s="2" t="s">
        <v>3</v>
      </c>
      <c r="G3703" s="2" t="s">
        <v>3</v>
      </c>
      <c r="H3703" s="2">
        <v>6418</v>
      </c>
      <c r="I3703" s="2">
        <v>-497</v>
      </c>
    </row>
    <row r="3704" spans="1:9" hidden="1" x14ac:dyDescent="0.3">
      <c r="A3704" t="s">
        <v>55</v>
      </c>
      <c r="B3704" s="1">
        <v>44044</v>
      </c>
      <c r="C3704" s="2">
        <v>38202</v>
      </c>
      <c r="D3704" s="2" t="s">
        <v>3</v>
      </c>
      <c r="E3704" s="2">
        <v>31287</v>
      </c>
      <c r="F3704" s="2" t="s">
        <v>3</v>
      </c>
      <c r="G3704" s="2" t="s">
        <v>3</v>
      </c>
      <c r="H3704" s="2">
        <v>6915</v>
      </c>
      <c r="I3704" s="2">
        <v>-139</v>
      </c>
    </row>
    <row r="3705" spans="1:9" hidden="1" x14ac:dyDescent="0.3">
      <c r="A3705" t="s">
        <v>55</v>
      </c>
      <c r="B3705" s="1">
        <v>44013</v>
      </c>
      <c r="C3705" s="2">
        <v>37821</v>
      </c>
      <c r="D3705" s="2" t="s">
        <v>3</v>
      </c>
      <c r="E3705" s="2">
        <v>30767</v>
      </c>
      <c r="F3705" s="2" t="s">
        <v>3</v>
      </c>
      <c r="G3705" s="2" t="s">
        <v>3</v>
      </c>
      <c r="H3705" s="2">
        <v>7054</v>
      </c>
      <c r="I3705" s="2">
        <v>-104</v>
      </c>
    </row>
    <row r="3706" spans="1:9" hidden="1" x14ac:dyDescent="0.3">
      <c r="A3706" t="s">
        <v>55</v>
      </c>
      <c r="B3706" s="1">
        <v>43983</v>
      </c>
      <c r="C3706" s="2">
        <v>37838</v>
      </c>
      <c r="D3706" s="2" t="s">
        <v>3</v>
      </c>
      <c r="E3706" s="2">
        <v>30680</v>
      </c>
      <c r="F3706" s="2" t="s">
        <v>3</v>
      </c>
      <c r="G3706" s="2" t="s">
        <v>3</v>
      </c>
      <c r="H3706" s="2">
        <v>7158</v>
      </c>
      <c r="I3706" s="2">
        <v>-920</v>
      </c>
    </row>
    <row r="3707" spans="1:9" hidden="1" x14ac:dyDescent="0.3">
      <c r="A3707" t="s">
        <v>55</v>
      </c>
      <c r="B3707" s="1">
        <v>43952</v>
      </c>
      <c r="C3707" s="2">
        <v>40231</v>
      </c>
      <c r="D3707" s="2" t="s">
        <v>3</v>
      </c>
      <c r="E3707" s="2">
        <v>32153</v>
      </c>
      <c r="F3707" s="2" t="s">
        <v>3</v>
      </c>
      <c r="G3707" s="2" t="s">
        <v>3</v>
      </c>
      <c r="H3707" s="2">
        <v>8078</v>
      </c>
      <c r="I3707" s="2">
        <v>1458</v>
      </c>
    </row>
    <row r="3708" spans="1:9" hidden="1" x14ac:dyDescent="0.3">
      <c r="A3708" t="s">
        <v>55</v>
      </c>
      <c r="B3708" s="1">
        <v>43922</v>
      </c>
      <c r="C3708" s="2">
        <v>38628</v>
      </c>
      <c r="D3708" s="2" t="s">
        <v>3</v>
      </c>
      <c r="E3708" s="2">
        <v>32008</v>
      </c>
      <c r="F3708" s="2" t="s">
        <v>3</v>
      </c>
      <c r="G3708" s="2" t="s">
        <v>3</v>
      </c>
      <c r="H3708" s="2">
        <v>6620</v>
      </c>
      <c r="I3708" s="2">
        <v>-1054</v>
      </c>
    </row>
    <row r="3709" spans="1:9" hidden="1" x14ac:dyDescent="0.3">
      <c r="A3709" t="s">
        <v>55</v>
      </c>
      <c r="B3709" s="1">
        <v>43891</v>
      </c>
      <c r="C3709" s="2">
        <v>39968</v>
      </c>
      <c r="D3709" s="2" t="s">
        <v>3</v>
      </c>
      <c r="E3709" s="2">
        <v>32294</v>
      </c>
      <c r="F3709" s="2" t="s">
        <v>3</v>
      </c>
      <c r="G3709" s="2" t="s">
        <v>3</v>
      </c>
      <c r="H3709" s="2">
        <v>7674</v>
      </c>
      <c r="I3709" s="2">
        <v>-122</v>
      </c>
    </row>
    <row r="3710" spans="1:9" hidden="1" x14ac:dyDescent="0.3">
      <c r="A3710" t="s">
        <v>55</v>
      </c>
      <c r="B3710" s="1">
        <v>43862</v>
      </c>
      <c r="C3710" s="2">
        <v>40705</v>
      </c>
      <c r="D3710" s="2" t="s">
        <v>3</v>
      </c>
      <c r="E3710" s="2">
        <v>32909</v>
      </c>
      <c r="F3710" s="2" t="s">
        <v>3</v>
      </c>
      <c r="G3710" s="2" t="s">
        <v>3</v>
      </c>
      <c r="H3710" s="2">
        <v>7796</v>
      </c>
      <c r="I3710" s="2">
        <v>-156</v>
      </c>
    </row>
    <row r="3711" spans="1:9" hidden="1" x14ac:dyDescent="0.3">
      <c r="A3711" t="s">
        <v>55</v>
      </c>
      <c r="B3711" s="1">
        <v>43831</v>
      </c>
      <c r="C3711" s="2">
        <v>39891</v>
      </c>
      <c r="D3711" s="2" t="s">
        <v>3</v>
      </c>
      <c r="E3711" s="2">
        <v>31939</v>
      </c>
      <c r="F3711" s="2" t="s">
        <v>3</v>
      </c>
      <c r="G3711" s="2" t="s">
        <v>3</v>
      </c>
      <c r="H3711" s="2">
        <v>7952</v>
      </c>
      <c r="I3711" s="2">
        <v>1191</v>
      </c>
    </row>
    <row r="3712" spans="1:9" x14ac:dyDescent="0.3">
      <c r="A3712" t="s">
        <v>56</v>
      </c>
      <c r="B3712" s="1">
        <v>45931</v>
      </c>
      <c r="C3712" s="2">
        <v>418540</v>
      </c>
      <c r="D3712" s="2">
        <v>-14407</v>
      </c>
      <c r="E3712" s="2">
        <v>255777</v>
      </c>
      <c r="F3712" s="2">
        <v>-22403</v>
      </c>
      <c r="G3712" s="2">
        <v>-338</v>
      </c>
      <c r="H3712" s="2">
        <v>162763</v>
      </c>
      <c r="I3712" s="2">
        <v>7996</v>
      </c>
    </row>
    <row r="3713" spans="1:9" x14ac:dyDescent="0.3">
      <c r="A3713" t="s">
        <v>56</v>
      </c>
      <c r="B3713" s="1">
        <v>45901</v>
      </c>
      <c r="C3713" s="2">
        <v>426889</v>
      </c>
      <c r="D3713" s="2">
        <v>17326</v>
      </c>
      <c r="E3713" s="2">
        <v>272122</v>
      </c>
      <c r="F3713" s="2">
        <v>15330</v>
      </c>
      <c r="G3713" s="2">
        <v>243</v>
      </c>
      <c r="H3713" s="2">
        <v>154767</v>
      </c>
      <c r="I3713" s="2">
        <v>1996</v>
      </c>
    </row>
    <row r="3714" spans="1:9" x14ac:dyDescent="0.3">
      <c r="A3714" t="s">
        <v>56</v>
      </c>
      <c r="B3714" s="1">
        <v>45870</v>
      </c>
      <c r="C3714" s="2">
        <v>412404</v>
      </c>
      <c r="D3714" s="2">
        <v>-31997</v>
      </c>
      <c r="E3714" s="2">
        <v>259633</v>
      </c>
      <c r="F3714" s="2">
        <v>-28426</v>
      </c>
      <c r="G3714" s="2">
        <v>2427</v>
      </c>
      <c r="H3714" s="2">
        <v>152771</v>
      </c>
      <c r="I3714" s="2">
        <v>-3571</v>
      </c>
    </row>
    <row r="3715" spans="1:9" x14ac:dyDescent="0.3">
      <c r="A3715" t="s">
        <v>56</v>
      </c>
      <c r="B3715" s="1">
        <v>45839</v>
      </c>
      <c r="C3715" s="2">
        <v>438608</v>
      </c>
      <c r="D3715" s="2">
        <v>-7380</v>
      </c>
      <c r="E3715" s="2">
        <v>282266</v>
      </c>
      <c r="F3715" s="2">
        <v>-9027</v>
      </c>
      <c r="G3715" s="2">
        <v>-4822</v>
      </c>
      <c r="H3715" s="2">
        <v>156342</v>
      </c>
      <c r="I3715" s="2">
        <v>1647</v>
      </c>
    </row>
    <row r="3716" spans="1:9" x14ac:dyDescent="0.3">
      <c r="A3716" t="s">
        <v>56</v>
      </c>
      <c r="B3716" s="1">
        <v>45809</v>
      </c>
      <c r="C3716" s="2">
        <v>442668</v>
      </c>
      <c r="D3716" s="2">
        <v>-2559</v>
      </c>
      <c r="E3716" s="2">
        <v>287973</v>
      </c>
      <c r="F3716" s="2">
        <v>789</v>
      </c>
      <c r="G3716" s="2">
        <v>652</v>
      </c>
      <c r="H3716" s="2">
        <v>154695</v>
      </c>
      <c r="I3716" s="2">
        <v>-3348</v>
      </c>
    </row>
    <row r="3717" spans="1:9" x14ac:dyDescent="0.3">
      <c r="A3717" t="s">
        <v>56</v>
      </c>
      <c r="B3717" s="1">
        <v>45778</v>
      </c>
      <c r="C3717" s="2">
        <v>443000</v>
      </c>
      <c r="D3717" s="2">
        <v>1598</v>
      </c>
      <c r="E3717" s="2">
        <v>284957</v>
      </c>
      <c r="F3717" s="2">
        <v>-7999</v>
      </c>
      <c r="G3717" s="2">
        <v>-7422</v>
      </c>
      <c r="H3717" s="2">
        <v>158043</v>
      </c>
      <c r="I3717" s="2">
        <v>9597</v>
      </c>
    </row>
    <row r="3718" spans="1:9" x14ac:dyDescent="0.3">
      <c r="A3718" t="s">
        <v>56</v>
      </c>
      <c r="B3718" s="1">
        <v>45748</v>
      </c>
      <c r="C3718" s="2">
        <v>448278</v>
      </c>
      <c r="D3718" s="2">
        <v>3639</v>
      </c>
      <c r="E3718" s="2">
        <v>299832</v>
      </c>
      <c r="F3718" s="2">
        <v>86</v>
      </c>
      <c r="G3718" s="2">
        <v>460</v>
      </c>
      <c r="H3718" s="2">
        <v>148446</v>
      </c>
      <c r="I3718" s="2">
        <v>3553</v>
      </c>
    </row>
    <row r="3719" spans="1:9" x14ac:dyDescent="0.3">
      <c r="A3719" t="s">
        <v>56</v>
      </c>
      <c r="B3719" s="1">
        <v>45717</v>
      </c>
      <c r="C3719" s="2">
        <v>455270</v>
      </c>
      <c r="D3719" s="2">
        <v>27713</v>
      </c>
      <c r="E3719" s="2">
        <v>310377</v>
      </c>
      <c r="F3719" s="2">
        <v>25072</v>
      </c>
      <c r="G3719" s="2">
        <v>-123</v>
      </c>
      <c r="H3719" s="2">
        <v>144893</v>
      </c>
      <c r="I3719" s="2">
        <v>2641</v>
      </c>
    </row>
    <row r="3720" spans="1:9" x14ac:dyDescent="0.3">
      <c r="A3720" t="s">
        <v>56</v>
      </c>
      <c r="B3720" s="1">
        <v>45689</v>
      </c>
      <c r="C3720" s="2">
        <v>417770</v>
      </c>
      <c r="D3720" s="2">
        <v>3210</v>
      </c>
      <c r="E3720" s="2">
        <v>275518</v>
      </c>
      <c r="F3720" s="2">
        <v>11278</v>
      </c>
      <c r="G3720" s="2">
        <v>6767</v>
      </c>
      <c r="H3720" s="2">
        <v>142252</v>
      </c>
      <c r="I3720" s="2">
        <v>-8068</v>
      </c>
    </row>
    <row r="3721" spans="1:9" x14ac:dyDescent="0.3">
      <c r="A3721" t="s">
        <v>56</v>
      </c>
      <c r="B3721" s="1">
        <v>45658</v>
      </c>
      <c r="C3721" s="2">
        <v>408574</v>
      </c>
      <c r="D3721" s="2">
        <v>-2772</v>
      </c>
      <c r="E3721" s="2">
        <v>258254</v>
      </c>
      <c r="F3721" s="2">
        <v>2482</v>
      </c>
      <c r="G3721" s="2">
        <v>-1977</v>
      </c>
      <c r="H3721" s="2">
        <v>150320</v>
      </c>
      <c r="I3721" s="2">
        <v>-5254</v>
      </c>
    </row>
    <row r="3722" spans="1:9" x14ac:dyDescent="0.3">
      <c r="A3722" t="s">
        <v>56</v>
      </c>
      <c r="B3722" s="1">
        <v>45627</v>
      </c>
      <c r="C3722" s="2">
        <v>422991</v>
      </c>
      <c r="D3722" s="2">
        <v>12522</v>
      </c>
      <c r="E3722" s="2">
        <v>267417</v>
      </c>
      <c r="F3722" s="2">
        <v>258</v>
      </c>
      <c r="G3722" s="2">
        <v>-1303</v>
      </c>
      <c r="H3722" s="2">
        <v>155574</v>
      </c>
      <c r="I3722" s="2">
        <v>12264</v>
      </c>
    </row>
    <row r="3723" spans="1:9" x14ac:dyDescent="0.3">
      <c r="A3723" t="s">
        <v>56</v>
      </c>
      <c r="B3723" s="1">
        <v>45597</v>
      </c>
      <c r="C3723" s="2">
        <v>405316</v>
      </c>
      <c r="D3723" s="2">
        <v>-21660</v>
      </c>
      <c r="E3723" s="2">
        <v>262006</v>
      </c>
      <c r="F3723" s="2">
        <v>-21844</v>
      </c>
      <c r="G3723" s="2">
        <v>-72</v>
      </c>
      <c r="H3723" s="2">
        <v>143310</v>
      </c>
      <c r="I3723" s="2">
        <v>184</v>
      </c>
    </row>
    <row r="3724" spans="1:9" x14ac:dyDescent="0.3">
      <c r="A3724" t="s">
        <v>56</v>
      </c>
      <c r="B3724" s="1">
        <v>45566</v>
      </c>
      <c r="C3724" s="2">
        <v>418255</v>
      </c>
      <c r="D3724" s="2">
        <v>4966</v>
      </c>
      <c r="E3724" s="2">
        <v>275129</v>
      </c>
      <c r="F3724" s="2">
        <v>2983</v>
      </c>
      <c r="G3724" s="2">
        <v>-3676</v>
      </c>
      <c r="H3724" s="2">
        <v>143126</v>
      </c>
      <c r="I3724" s="2">
        <v>1983</v>
      </c>
    </row>
    <row r="3725" spans="1:9" x14ac:dyDescent="0.3">
      <c r="A3725" t="s">
        <v>56</v>
      </c>
      <c r="B3725" s="1">
        <v>45536</v>
      </c>
      <c r="C3725" s="2">
        <v>424602</v>
      </c>
      <c r="D3725" s="2">
        <v>16614</v>
      </c>
      <c r="E3725" s="2">
        <v>283459</v>
      </c>
      <c r="F3725" s="2">
        <v>23773</v>
      </c>
      <c r="G3725" s="2">
        <v>900</v>
      </c>
      <c r="H3725" s="2">
        <v>141143</v>
      </c>
      <c r="I3725" s="2">
        <v>-7159</v>
      </c>
    </row>
    <row r="3726" spans="1:9" x14ac:dyDescent="0.3">
      <c r="A3726" t="s">
        <v>56</v>
      </c>
      <c r="B3726" s="1">
        <v>45505</v>
      </c>
      <c r="C3726" s="2">
        <v>424207</v>
      </c>
      <c r="D3726" s="2">
        <v>20995</v>
      </c>
      <c r="E3726" s="2">
        <v>275905</v>
      </c>
      <c r="F3726" s="2">
        <v>18517</v>
      </c>
      <c r="G3726" s="2">
        <v>1619</v>
      </c>
      <c r="H3726" s="2">
        <v>148302</v>
      </c>
      <c r="I3726" s="2">
        <v>2478</v>
      </c>
    </row>
    <row r="3727" spans="1:9" x14ac:dyDescent="0.3">
      <c r="A3727" t="s">
        <v>56</v>
      </c>
      <c r="B3727" s="1">
        <v>45474</v>
      </c>
      <c r="C3727" s="2">
        <v>380148</v>
      </c>
      <c r="D3727" s="2">
        <v>52152</v>
      </c>
      <c r="E3727" s="2">
        <v>234324</v>
      </c>
      <c r="F3727" s="2">
        <v>49676</v>
      </c>
      <c r="G3727" s="2">
        <v>3218</v>
      </c>
      <c r="H3727" s="2">
        <v>145824</v>
      </c>
      <c r="I3727" s="2">
        <v>2476</v>
      </c>
    </row>
    <row r="3728" spans="1:9" x14ac:dyDescent="0.3">
      <c r="A3728" t="s">
        <v>56</v>
      </c>
      <c r="B3728" s="1">
        <v>45444</v>
      </c>
      <c r="C3728" s="2">
        <v>326295</v>
      </c>
      <c r="D3728" s="2">
        <v>-7121</v>
      </c>
      <c r="E3728" s="2">
        <v>182947</v>
      </c>
      <c r="F3728" s="2">
        <v>-9229</v>
      </c>
      <c r="G3728" s="2">
        <v>1857</v>
      </c>
      <c r="H3728" s="2">
        <v>143348</v>
      </c>
      <c r="I3728" s="2">
        <v>2108</v>
      </c>
    </row>
    <row r="3729" spans="1:9" x14ac:dyDescent="0.3">
      <c r="A3729" t="s">
        <v>56</v>
      </c>
      <c r="B3729" s="1">
        <v>45413</v>
      </c>
      <c r="C3729" s="2">
        <v>342736</v>
      </c>
      <c r="D3729" s="2">
        <v>8833</v>
      </c>
      <c r="E3729" s="2">
        <v>201496</v>
      </c>
      <c r="F3729" s="2">
        <v>4648</v>
      </c>
      <c r="G3729" s="2">
        <v>1852</v>
      </c>
      <c r="H3729" s="2">
        <v>141240</v>
      </c>
      <c r="I3729" s="2">
        <v>4185</v>
      </c>
    </row>
    <row r="3730" spans="1:9" x14ac:dyDescent="0.3">
      <c r="A3730" t="s">
        <v>56</v>
      </c>
      <c r="B3730" s="1">
        <v>45383</v>
      </c>
      <c r="C3730" s="2">
        <v>326028</v>
      </c>
      <c r="D3730" s="2">
        <v>22689</v>
      </c>
      <c r="E3730" s="2">
        <v>188973</v>
      </c>
      <c r="F3730" s="2">
        <v>17854</v>
      </c>
      <c r="G3730" s="2">
        <v>-4606</v>
      </c>
      <c r="H3730" s="2">
        <v>137055</v>
      </c>
      <c r="I3730" s="2">
        <v>4835</v>
      </c>
    </row>
    <row r="3731" spans="1:9" x14ac:dyDescent="0.3">
      <c r="A3731" t="s">
        <v>56</v>
      </c>
      <c r="B3731" s="1">
        <v>45352</v>
      </c>
      <c r="C3731" s="2">
        <v>310751</v>
      </c>
      <c r="D3731" s="2">
        <v>-11284</v>
      </c>
      <c r="E3731" s="2">
        <v>178531</v>
      </c>
      <c r="F3731" s="2">
        <v>-9699</v>
      </c>
      <c r="G3731" s="2">
        <v>1606</v>
      </c>
      <c r="H3731" s="2">
        <v>132220</v>
      </c>
      <c r="I3731" s="2">
        <v>-1585</v>
      </c>
    </row>
    <row r="3732" spans="1:9" x14ac:dyDescent="0.3">
      <c r="A3732" t="s">
        <v>56</v>
      </c>
      <c r="B3732" s="1">
        <v>45323</v>
      </c>
      <c r="C3732" s="2">
        <v>309905</v>
      </c>
      <c r="D3732" s="2">
        <v>-18348</v>
      </c>
      <c r="E3732" s="2">
        <v>176100</v>
      </c>
      <c r="F3732" s="2">
        <v>-16835</v>
      </c>
      <c r="G3732" s="2">
        <v>-3825</v>
      </c>
      <c r="H3732" s="2">
        <v>133805</v>
      </c>
      <c r="I3732" s="2">
        <v>-1513</v>
      </c>
    </row>
    <row r="3733" spans="1:9" x14ac:dyDescent="0.3">
      <c r="A3733" t="s">
        <v>56</v>
      </c>
      <c r="B3733" s="1">
        <v>45292</v>
      </c>
      <c r="C3733" s="2">
        <v>327928</v>
      </c>
      <c r="D3733" s="2">
        <v>16963</v>
      </c>
      <c r="E3733" s="2">
        <v>192610</v>
      </c>
      <c r="F3733" s="2">
        <v>16864</v>
      </c>
      <c r="G3733" s="2">
        <v>144</v>
      </c>
      <c r="H3733" s="2">
        <v>135318</v>
      </c>
      <c r="I3733" s="2">
        <v>99</v>
      </c>
    </row>
    <row r="3734" spans="1:9" x14ac:dyDescent="0.3">
      <c r="A3734" t="s">
        <v>56</v>
      </c>
      <c r="B3734" s="1">
        <v>45261</v>
      </c>
      <c r="C3734" s="2">
        <v>314763</v>
      </c>
      <c r="D3734" s="2">
        <v>-14755</v>
      </c>
      <c r="E3734" s="2">
        <v>179544</v>
      </c>
      <c r="F3734" s="2">
        <v>-9682</v>
      </c>
      <c r="G3734" s="2">
        <v>4888</v>
      </c>
      <c r="H3734" s="2">
        <v>135219</v>
      </c>
      <c r="I3734" s="2">
        <v>-5073</v>
      </c>
    </row>
    <row r="3735" spans="1:9" x14ac:dyDescent="0.3">
      <c r="A3735" t="s">
        <v>56</v>
      </c>
      <c r="B3735" s="1">
        <v>45231</v>
      </c>
      <c r="C3735" s="2">
        <v>328953</v>
      </c>
      <c r="D3735" s="2">
        <v>-2540</v>
      </c>
      <c r="E3735" s="2">
        <v>188661</v>
      </c>
      <c r="F3735" s="2">
        <v>5708</v>
      </c>
      <c r="G3735" s="2">
        <v>8703</v>
      </c>
      <c r="H3735" s="2">
        <v>140292</v>
      </c>
      <c r="I3735" s="2">
        <v>-8248</v>
      </c>
    </row>
    <row r="3736" spans="1:9" x14ac:dyDescent="0.3">
      <c r="A3736" t="s">
        <v>56</v>
      </c>
      <c r="B3736" s="1">
        <v>45200</v>
      </c>
      <c r="C3736" s="2">
        <v>333223</v>
      </c>
      <c r="D3736" s="2">
        <v>2188</v>
      </c>
      <c r="E3736" s="2">
        <v>184683</v>
      </c>
      <c r="F3736" s="2">
        <v>1801</v>
      </c>
      <c r="G3736" s="2">
        <v>-2326</v>
      </c>
      <c r="H3736" s="2">
        <v>148540</v>
      </c>
      <c r="I3736" s="2">
        <v>387</v>
      </c>
    </row>
    <row r="3737" spans="1:9" x14ac:dyDescent="0.3">
      <c r="A3737" t="s">
        <v>56</v>
      </c>
      <c r="B3737" s="1">
        <v>45170</v>
      </c>
      <c r="C3737" s="2">
        <v>323383</v>
      </c>
      <c r="D3737" s="2">
        <v>687</v>
      </c>
      <c r="E3737" s="2">
        <v>175230</v>
      </c>
      <c r="F3737" s="2">
        <v>-3260</v>
      </c>
      <c r="G3737" s="2">
        <v>-2666</v>
      </c>
      <c r="H3737" s="2">
        <v>148153</v>
      </c>
      <c r="I3737" s="2">
        <v>3947</v>
      </c>
    </row>
    <row r="3738" spans="1:9" x14ac:dyDescent="0.3">
      <c r="A3738" t="s">
        <v>56</v>
      </c>
      <c r="B3738" s="1">
        <v>45139</v>
      </c>
      <c r="C3738" s="2">
        <v>318737</v>
      </c>
      <c r="D3738" s="2">
        <v>18288</v>
      </c>
      <c r="E3738" s="2">
        <v>174531</v>
      </c>
      <c r="F3738" s="2">
        <v>364</v>
      </c>
      <c r="G3738" s="2">
        <v>-2873</v>
      </c>
      <c r="H3738" s="2">
        <v>144206</v>
      </c>
      <c r="I3738" s="2">
        <v>17924</v>
      </c>
    </row>
    <row r="3739" spans="1:9" x14ac:dyDescent="0.3">
      <c r="A3739" t="s">
        <v>56</v>
      </c>
      <c r="B3739" s="1">
        <v>45108</v>
      </c>
      <c r="C3739" s="2">
        <v>305653</v>
      </c>
      <c r="D3739" s="2">
        <v>7626</v>
      </c>
      <c r="E3739" s="2">
        <v>179371</v>
      </c>
      <c r="F3739" s="2">
        <v>897</v>
      </c>
      <c r="G3739" s="2">
        <v>-3862</v>
      </c>
      <c r="H3739" s="2">
        <v>126282</v>
      </c>
      <c r="I3739" s="2">
        <v>6729</v>
      </c>
    </row>
    <row r="3740" spans="1:9" x14ac:dyDescent="0.3">
      <c r="A3740" t="s">
        <v>56</v>
      </c>
      <c r="B3740" s="1">
        <v>45078</v>
      </c>
      <c r="C3740" s="2">
        <v>284379</v>
      </c>
      <c r="D3740" s="2">
        <v>11876</v>
      </c>
      <c r="E3740" s="2">
        <v>164826</v>
      </c>
      <c r="F3740" s="2">
        <v>-3373</v>
      </c>
      <c r="G3740" s="2">
        <v>-2526</v>
      </c>
      <c r="H3740" s="2">
        <v>119553</v>
      </c>
      <c r="I3740" s="2">
        <v>15249</v>
      </c>
    </row>
    <row r="3741" spans="1:9" x14ac:dyDescent="0.3">
      <c r="A3741" t="s">
        <v>56</v>
      </c>
      <c r="B3741" s="1">
        <v>45047</v>
      </c>
      <c r="C3741" s="2">
        <v>273282</v>
      </c>
      <c r="D3741" s="2">
        <v>-10808</v>
      </c>
      <c r="E3741" s="2">
        <v>168978</v>
      </c>
      <c r="F3741" s="2">
        <v>-711</v>
      </c>
      <c r="G3741" s="2">
        <v>-2037</v>
      </c>
      <c r="H3741" s="2">
        <v>104304</v>
      </c>
      <c r="I3741" s="2">
        <v>-10097</v>
      </c>
    </row>
    <row r="3742" spans="1:9" x14ac:dyDescent="0.3">
      <c r="A3742" t="s">
        <v>56</v>
      </c>
      <c r="B3742" s="1">
        <v>45017</v>
      </c>
      <c r="C3742" s="2">
        <v>285104</v>
      </c>
      <c r="D3742" s="2">
        <v>-5303</v>
      </c>
      <c r="E3742" s="2">
        <v>170703</v>
      </c>
      <c r="F3742" s="2">
        <v>2748</v>
      </c>
      <c r="G3742" s="2">
        <v>-254</v>
      </c>
      <c r="H3742" s="2">
        <v>114401</v>
      </c>
      <c r="I3742" s="2">
        <v>-8051</v>
      </c>
    </row>
    <row r="3743" spans="1:9" x14ac:dyDescent="0.3">
      <c r="A3743" t="s">
        <v>56</v>
      </c>
      <c r="B3743" s="1">
        <v>44986</v>
      </c>
      <c r="C3743" s="2">
        <v>297328</v>
      </c>
      <c r="D3743" s="2">
        <v>-2240</v>
      </c>
      <c r="E3743" s="2">
        <v>174876</v>
      </c>
      <c r="F3743" s="2">
        <v>8919</v>
      </c>
      <c r="G3743" s="2">
        <v>4624</v>
      </c>
      <c r="H3743" s="2">
        <v>122452</v>
      </c>
      <c r="I3743" s="2">
        <v>-11159</v>
      </c>
    </row>
    <row r="3744" spans="1:9" x14ac:dyDescent="0.3">
      <c r="A3744" t="s">
        <v>56</v>
      </c>
      <c r="B3744" s="1">
        <v>44958</v>
      </c>
      <c r="C3744" s="2">
        <v>292609</v>
      </c>
      <c r="D3744" s="2">
        <v>-2713</v>
      </c>
      <c r="E3744" s="2">
        <v>158998</v>
      </c>
      <c r="F3744" s="2">
        <v>-10373</v>
      </c>
      <c r="G3744" s="2">
        <v>-2503</v>
      </c>
      <c r="H3744" s="2">
        <v>133611</v>
      </c>
      <c r="I3744" s="2">
        <v>7660</v>
      </c>
    </row>
    <row r="3745" spans="1:9" hidden="1" x14ac:dyDescent="0.3">
      <c r="A3745" t="s">
        <v>56</v>
      </c>
      <c r="B3745" s="1">
        <v>44927</v>
      </c>
      <c r="C3745" s="2">
        <v>292292</v>
      </c>
      <c r="D3745" s="2" t="s">
        <v>3</v>
      </c>
      <c r="E3745" s="2">
        <v>166341</v>
      </c>
      <c r="F3745" s="2" t="s">
        <v>3</v>
      </c>
      <c r="G3745" s="2" t="s">
        <v>3</v>
      </c>
      <c r="H3745" s="2">
        <v>125951</v>
      </c>
      <c r="I3745" s="2">
        <v>-1144</v>
      </c>
    </row>
    <row r="3746" spans="1:9" hidden="1" x14ac:dyDescent="0.3">
      <c r="A3746" t="s">
        <v>56</v>
      </c>
      <c r="B3746" s="1">
        <v>44896</v>
      </c>
      <c r="C3746" s="2">
        <v>292649</v>
      </c>
      <c r="D3746" s="2" t="s">
        <v>3</v>
      </c>
      <c r="E3746" s="2">
        <v>165554</v>
      </c>
      <c r="F3746" s="2" t="s">
        <v>3</v>
      </c>
      <c r="G3746" s="2" t="s">
        <v>3</v>
      </c>
      <c r="H3746" s="2">
        <v>127095</v>
      </c>
      <c r="I3746" s="2">
        <v>-1894</v>
      </c>
    </row>
    <row r="3747" spans="1:9" hidden="1" x14ac:dyDescent="0.3">
      <c r="A3747" t="s">
        <v>56</v>
      </c>
      <c r="B3747" s="1">
        <v>44866</v>
      </c>
      <c r="C3747" s="2">
        <v>293445</v>
      </c>
      <c r="D3747" s="2" t="s">
        <v>3</v>
      </c>
      <c r="E3747" s="2">
        <v>164456</v>
      </c>
      <c r="F3747" s="2" t="s">
        <v>3</v>
      </c>
      <c r="G3747" s="2" t="s">
        <v>3</v>
      </c>
      <c r="H3747" s="2">
        <v>128989</v>
      </c>
      <c r="I3747" s="2">
        <v>-6601</v>
      </c>
    </row>
    <row r="3748" spans="1:9" hidden="1" x14ac:dyDescent="0.3">
      <c r="A3748" t="s">
        <v>56</v>
      </c>
      <c r="B3748" s="1">
        <v>44835</v>
      </c>
      <c r="C3748" s="2">
        <v>291709</v>
      </c>
      <c r="D3748" s="2" t="s">
        <v>3</v>
      </c>
      <c r="E3748" s="2">
        <v>156119</v>
      </c>
      <c r="F3748" s="2" t="s">
        <v>3</v>
      </c>
      <c r="G3748" s="2" t="s">
        <v>3</v>
      </c>
      <c r="H3748" s="2">
        <v>135590</v>
      </c>
      <c r="I3748" s="2">
        <v>-633</v>
      </c>
    </row>
    <row r="3749" spans="1:9" hidden="1" x14ac:dyDescent="0.3">
      <c r="A3749" t="s">
        <v>56</v>
      </c>
      <c r="B3749" s="1">
        <v>44805</v>
      </c>
      <c r="C3749" s="2">
        <v>301548</v>
      </c>
      <c r="D3749" s="2" t="s">
        <v>3</v>
      </c>
      <c r="E3749" s="2">
        <v>165325</v>
      </c>
      <c r="F3749" s="2" t="s">
        <v>3</v>
      </c>
      <c r="G3749" s="2" t="s">
        <v>3</v>
      </c>
      <c r="H3749" s="2">
        <v>136223</v>
      </c>
      <c r="I3749" s="2">
        <v>1620</v>
      </c>
    </row>
    <row r="3750" spans="1:9" hidden="1" x14ac:dyDescent="0.3">
      <c r="A3750" t="s">
        <v>56</v>
      </c>
      <c r="B3750" s="1">
        <v>44774</v>
      </c>
      <c r="C3750" s="2">
        <v>308561</v>
      </c>
      <c r="D3750" s="2" t="s">
        <v>3</v>
      </c>
      <c r="E3750" s="2">
        <v>173958</v>
      </c>
      <c r="F3750" s="2" t="s">
        <v>3</v>
      </c>
      <c r="G3750" s="2" t="s">
        <v>3</v>
      </c>
      <c r="H3750" s="2">
        <v>134603</v>
      </c>
      <c r="I3750" s="2">
        <v>9500</v>
      </c>
    </row>
    <row r="3751" spans="1:9" hidden="1" x14ac:dyDescent="0.3">
      <c r="A3751" t="s">
        <v>56</v>
      </c>
      <c r="B3751" s="1">
        <v>44743</v>
      </c>
      <c r="C3751" s="2">
        <v>293364</v>
      </c>
      <c r="D3751" s="2" t="s">
        <v>3</v>
      </c>
      <c r="E3751" s="2">
        <v>168261</v>
      </c>
      <c r="F3751" s="2" t="s">
        <v>3</v>
      </c>
      <c r="G3751" s="2" t="s">
        <v>3</v>
      </c>
      <c r="H3751" s="2">
        <v>125103</v>
      </c>
      <c r="I3751" s="2">
        <v>-1719</v>
      </c>
    </row>
    <row r="3752" spans="1:9" hidden="1" x14ac:dyDescent="0.3">
      <c r="A3752" t="s">
        <v>56</v>
      </c>
      <c r="B3752" s="1">
        <v>44713</v>
      </c>
      <c r="C3752" s="2">
        <v>302299</v>
      </c>
      <c r="D3752" s="2" t="s">
        <v>3</v>
      </c>
      <c r="E3752" s="2">
        <v>175477</v>
      </c>
      <c r="F3752" s="2" t="s">
        <v>3</v>
      </c>
      <c r="G3752" s="2" t="s">
        <v>3</v>
      </c>
      <c r="H3752" s="2">
        <v>126822</v>
      </c>
      <c r="I3752" s="2">
        <v>2215</v>
      </c>
    </row>
    <row r="3753" spans="1:9" hidden="1" x14ac:dyDescent="0.3">
      <c r="A3753" t="s">
        <v>56</v>
      </c>
      <c r="B3753" s="1">
        <v>44682</v>
      </c>
      <c r="C3753" s="2">
        <v>295403</v>
      </c>
      <c r="D3753" s="2" t="s">
        <v>3</v>
      </c>
      <c r="E3753" s="2">
        <v>170796</v>
      </c>
      <c r="F3753" s="2" t="s">
        <v>3</v>
      </c>
      <c r="G3753" s="2" t="s">
        <v>3</v>
      </c>
      <c r="H3753" s="2">
        <v>124607</v>
      </c>
      <c r="I3753" s="2">
        <v>-9125</v>
      </c>
    </row>
    <row r="3754" spans="1:9" hidden="1" x14ac:dyDescent="0.3">
      <c r="A3754" t="s">
        <v>56</v>
      </c>
      <c r="B3754" s="1">
        <v>44652</v>
      </c>
      <c r="C3754" s="2">
        <v>292500</v>
      </c>
      <c r="D3754" s="2" t="s">
        <v>3</v>
      </c>
      <c r="E3754" s="2">
        <v>158768</v>
      </c>
      <c r="F3754" s="2" t="s">
        <v>3</v>
      </c>
      <c r="G3754" s="2" t="s">
        <v>3</v>
      </c>
      <c r="H3754" s="2">
        <v>133732</v>
      </c>
      <c r="I3754" s="2">
        <v>677</v>
      </c>
    </row>
    <row r="3755" spans="1:9" hidden="1" x14ac:dyDescent="0.3">
      <c r="A3755" t="s">
        <v>56</v>
      </c>
      <c r="B3755" s="1">
        <v>44621</v>
      </c>
      <c r="C3755" s="2">
        <v>293906</v>
      </c>
      <c r="D3755" s="2" t="s">
        <v>3</v>
      </c>
      <c r="E3755" s="2">
        <v>160851</v>
      </c>
      <c r="F3755" s="2" t="s">
        <v>3</v>
      </c>
      <c r="G3755" s="2" t="s">
        <v>3</v>
      </c>
      <c r="H3755" s="2">
        <v>133055</v>
      </c>
      <c r="I3755" s="2">
        <v>-417</v>
      </c>
    </row>
    <row r="3756" spans="1:9" hidden="1" x14ac:dyDescent="0.3">
      <c r="A3756" t="s">
        <v>56</v>
      </c>
      <c r="B3756" s="1">
        <v>44593</v>
      </c>
      <c r="C3756" s="2">
        <v>275929</v>
      </c>
      <c r="D3756" s="2" t="s">
        <v>3</v>
      </c>
      <c r="E3756" s="2">
        <v>142457</v>
      </c>
      <c r="F3756" s="2" t="s">
        <v>3</v>
      </c>
      <c r="G3756" s="2" t="s">
        <v>3</v>
      </c>
      <c r="H3756" s="2">
        <v>133472</v>
      </c>
      <c r="I3756" s="2">
        <v>7666</v>
      </c>
    </row>
    <row r="3757" spans="1:9" hidden="1" x14ac:dyDescent="0.3">
      <c r="A3757" t="s">
        <v>56</v>
      </c>
      <c r="B3757" s="1">
        <v>44562</v>
      </c>
      <c r="C3757" s="2">
        <v>272119</v>
      </c>
      <c r="D3757" s="2" t="s">
        <v>3</v>
      </c>
      <c r="E3757" s="2">
        <v>146313</v>
      </c>
      <c r="F3757" s="2" t="s">
        <v>3</v>
      </c>
      <c r="G3757" s="2" t="s">
        <v>3</v>
      </c>
      <c r="H3757" s="2">
        <v>125806</v>
      </c>
      <c r="I3757" s="2">
        <v>7583</v>
      </c>
    </row>
    <row r="3758" spans="1:9" hidden="1" x14ac:dyDescent="0.3">
      <c r="A3758" t="s">
        <v>56</v>
      </c>
      <c r="B3758" s="1">
        <v>44531</v>
      </c>
      <c r="C3758" s="2">
        <v>262848</v>
      </c>
      <c r="D3758" s="2" t="s">
        <v>3</v>
      </c>
      <c r="E3758" s="2">
        <v>144625</v>
      </c>
      <c r="F3758" s="2" t="s">
        <v>3</v>
      </c>
      <c r="G3758" s="2" t="s">
        <v>3</v>
      </c>
      <c r="H3758" s="2">
        <v>118223</v>
      </c>
      <c r="I3758" s="2">
        <v>-1932</v>
      </c>
    </row>
    <row r="3759" spans="1:9" hidden="1" x14ac:dyDescent="0.3">
      <c r="A3759" t="s">
        <v>56</v>
      </c>
      <c r="B3759" s="1">
        <v>44501</v>
      </c>
      <c r="C3759" s="2">
        <v>262063</v>
      </c>
      <c r="D3759" s="2" t="s">
        <v>3</v>
      </c>
      <c r="E3759" s="2">
        <v>141908</v>
      </c>
      <c r="F3759" s="2" t="s">
        <v>3</v>
      </c>
      <c r="G3759" s="2" t="s">
        <v>3</v>
      </c>
      <c r="H3759" s="2">
        <v>120155</v>
      </c>
      <c r="I3759" s="2">
        <v>-7465</v>
      </c>
    </row>
    <row r="3760" spans="1:9" hidden="1" x14ac:dyDescent="0.3">
      <c r="A3760" t="s">
        <v>56</v>
      </c>
      <c r="B3760" s="1">
        <v>44470</v>
      </c>
      <c r="C3760" s="2">
        <v>271856</v>
      </c>
      <c r="D3760" s="2" t="s">
        <v>3</v>
      </c>
      <c r="E3760" s="2">
        <v>144236</v>
      </c>
      <c r="F3760" s="2" t="s">
        <v>3</v>
      </c>
      <c r="G3760" s="2" t="s">
        <v>3</v>
      </c>
      <c r="H3760" s="2">
        <v>127620</v>
      </c>
      <c r="I3760" s="2">
        <v>3787</v>
      </c>
    </row>
    <row r="3761" spans="1:9" hidden="1" x14ac:dyDescent="0.3">
      <c r="A3761" t="s">
        <v>56</v>
      </c>
      <c r="B3761" s="1">
        <v>44440</v>
      </c>
      <c r="C3761" s="2">
        <v>266802</v>
      </c>
      <c r="D3761" s="2" t="s">
        <v>3</v>
      </c>
      <c r="E3761" s="2">
        <v>142969</v>
      </c>
      <c r="F3761" s="2" t="s">
        <v>3</v>
      </c>
      <c r="G3761" s="2" t="s">
        <v>3</v>
      </c>
      <c r="H3761" s="2">
        <v>123833</v>
      </c>
      <c r="I3761" s="2">
        <v>2896</v>
      </c>
    </row>
    <row r="3762" spans="1:9" hidden="1" x14ac:dyDescent="0.3">
      <c r="A3762" t="s">
        <v>56</v>
      </c>
      <c r="B3762" s="1">
        <v>44409</v>
      </c>
      <c r="C3762" s="2">
        <v>263479</v>
      </c>
      <c r="D3762" s="2" t="s">
        <v>3</v>
      </c>
      <c r="E3762" s="2">
        <v>142542</v>
      </c>
      <c r="F3762" s="2" t="s">
        <v>3</v>
      </c>
      <c r="G3762" s="2" t="s">
        <v>3</v>
      </c>
      <c r="H3762" s="2">
        <v>120937</v>
      </c>
      <c r="I3762" s="2">
        <v>2657</v>
      </c>
    </row>
    <row r="3763" spans="1:9" hidden="1" x14ac:dyDescent="0.3">
      <c r="A3763" t="s">
        <v>56</v>
      </c>
      <c r="B3763" s="1">
        <v>44378</v>
      </c>
      <c r="C3763" s="2">
        <v>263832</v>
      </c>
      <c r="D3763" s="2" t="s">
        <v>3</v>
      </c>
      <c r="E3763" s="2">
        <v>145552</v>
      </c>
      <c r="F3763" s="2" t="s">
        <v>3</v>
      </c>
      <c r="G3763" s="2" t="s">
        <v>3</v>
      </c>
      <c r="H3763" s="2">
        <v>118280</v>
      </c>
      <c r="I3763" s="2">
        <v>-518</v>
      </c>
    </row>
    <row r="3764" spans="1:9" hidden="1" x14ac:dyDescent="0.3">
      <c r="A3764" t="s">
        <v>56</v>
      </c>
      <c r="B3764" s="1">
        <v>44348</v>
      </c>
      <c r="C3764" s="2">
        <v>260147</v>
      </c>
      <c r="D3764" s="2" t="s">
        <v>3</v>
      </c>
      <c r="E3764" s="2">
        <v>141349</v>
      </c>
      <c r="F3764" s="2" t="s">
        <v>3</v>
      </c>
      <c r="G3764" s="2" t="s">
        <v>3</v>
      </c>
      <c r="H3764" s="2">
        <v>118798</v>
      </c>
      <c r="I3764" s="2">
        <v>7624</v>
      </c>
    </row>
    <row r="3765" spans="1:9" hidden="1" x14ac:dyDescent="0.3">
      <c r="A3765" t="s">
        <v>56</v>
      </c>
      <c r="B3765" s="1">
        <v>44317</v>
      </c>
      <c r="C3765" s="2">
        <v>229402</v>
      </c>
      <c r="D3765" s="2" t="s">
        <v>3</v>
      </c>
      <c r="E3765" s="2">
        <v>118228</v>
      </c>
      <c r="F3765" s="2" t="s">
        <v>3</v>
      </c>
      <c r="G3765" s="2" t="s">
        <v>3</v>
      </c>
      <c r="H3765" s="2">
        <v>111174</v>
      </c>
      <c r="I3765" s="2">
        <v>-236</v>
      </c>
    </row>
    <row r="3766" spans="1:9" hidden="1" x14ac:dyDescent="0.3">
      <c r="A3766" t="s">
        <v>56</v>
      </c>
      <c r="B3766" s="1">
        <v>44287</v>
      </c>
      <c r="C3766" s="2">
        <v>226389</v>
      </c>
      <c r="D3766" s="2" t="s">
        <v>3</v>
      </c>
      <c r="E3766" s="2">
        <v>114979</v>
      </c>
      <c r="F3766" s="2" t="s">
        <v>3</v>
      </c>
      <c r="G3766" s="2" t="s">
        <v>3</v>
      </c>
      <c r="H3766" s="2">
        <v>111410</v>
      </c>
      <c r="I3766" s="2">
        <v>3875</v>
      </c>
    </row>
    <row r="3767" spans="1:9" hidden="1" x14ac:dyDescent="0.3">
      <c r="A3767" t="s">
        <v>56</v>
      </c>
      <c r="B3767" s="1">
        <v>44256</v>
      </c>
      <c r="C3767" s="2">
        <v>215157</v>
      </c>
      <c r="D3767" s="2" t="s">
        <v>3</v>
      </c>
      <c r="E3767" s="2">
        <v>107622</v>
      </c>
      <c r="F3767" s="2" t="s">
        <v>3</v>
      </c>
      <c r="G3767" s="2" t="s">
        <v>3</v>
      </c>
      <c r="H3767" s="2">
        <v>107535</v>
      </c>
      <c r="I3767" s="2">
        <v>-5343</v>
      </c>
    </row>
    <row r="3768" spans="1:9" hidden="1" x14ac:dyDescent="0.3">
      <c r="A3768" t="s">
        <v>56</v>
      </c>
      <c r="B3768" s="1">
        <v>44228</v>
      </c>
      <c r="C3768" s="2">
        <v>216038</v>
      </c>
      <c r="D3768" s="2" t="s">
        <v>3</v>
      </c>
      <c r="E3768" s="2">
        <v>103160</v>
      </c>
      <c r="F3768" s="2" t="s">
        <v>3</v>
      </c>
      <c r="G3768" s="2" t="s">
        <v>3</v>
      </c>
      <c r="H3768" s="2">
        <v>112878</v>
      </c>
      <c r="I3768" s="2">
        <v>2144</v>
      </c>
    </row>
    <row r="3769" spans="1:9" hidden="1" x14ac:dyDescent="0.3">
      <c r="A3769" t="s">
        <v>56</v>
      </c>
      <c r="B3769" s="1">
        <v>44197</v>
      </c>
      <c r="C3769" s="2">
        <v>216789</v>
      </c>
      <c r="D3769" s="2" t="s">
        <v>3</v>
      </c>
      <c r="E3769" s="2">
        <v>106055</v>
      </c>
      <c r="F3769" s="2" t="s">
        <v>3</v>
      </c>
      <c r="G3769" s="2" t="s">
        <v>3</v>
      </c>
      <c r="H3769" s="2">
        <v>110734</v>
      </c>
      <c r="I3769" s="2">
        <v>-7118</v>
      </c>
    </row>
    <row r="3770" spans="1:9" hidden="1" x14ac:dyDescent="0.3">
      <c r="A3770" t="s">
        <v>56</v>
      </c>
      <c r="B3770" s="1">
        <v>44166</v>
      </c>
      <c r="C3770" s="2">
        <v>222879</v>
      </c>
      <c r="D3770" s="2" t="s">
        <v>3</v>
      </c>
      <c r="E3770" s="2">
        <v>105027</v>
      </c>
      <c r="F3770" s="2" t="s">
        <v>3</v>
      </c>
      <c r="G3770" s="2" t="s">
        <v>3</v>
      </c>
      <c r="H3770" s="2">
        <v>117852</v>
      </c>
      <c r="I3770" s="2">
        <v>1129</v>
      </c>
    </row>
    <row r="3771" spans="1:9" hidden="1" x14ac:dyDescent="0.3">
      <c r="A3771" t="s">
        <v>56</v>
      </c>
      <c r="B3771" s="1">
        <v>44136</v>
      </c>
      <c r="C3771" s="2">
        <v>222887</v>
      </c>
      <c r="D3771" s="2" t="s">
        <v>3</v>
      </c>
      <c r="E3771" s="2">
        <v>106164</v>
      </c>
      <c r="F3771" s="2" t="s">
        <v>3</v>
      </c>
      <c r="G3771" s="2" t="s">
        <v>3</v>
      </c>
      <c r="H3771" s="2">
        <v>116723</v>
      </c>
      <c r="I3771" s="2">
        <v>4614</v>
      </c>
    </row>
    <row r="3772" spans="1:9" hidden="1" x14ac:dyDescent="0.3">
      <c r="A3772" t="s">
        <v>56</v>
      </c>
      <c r="B3772" s="1">
        <v>44105</v>
      </c>
      <c r="C3772" s="2">
        <v>221540</v>
      </c>
      <c r="D3772" s="2" t="s">
        <v>3</v>
      </c>
      <c r="E3772" s="2">
        <v>109431</v>
      </c>
      <c r="F3772" s="2" t="s">
        <v>3</v>
      </c>
      <c r="G3772" s="2" t="s">
        <v>3</v>
      </c>
      <c r="H3772" s="2">
        <v>112109</v>
      </c>
      <c r="I3772" s="2">
        <v>-2364</v>
      </c>
    </row>
    <row r="3773" spans="1:9" hidden="1" x14ac:dyDescent="0.3">
      <c r="A3773" t="s">
        <v>56</v>
      </c>
      <c r="B3773" s="1">
        <v>44075</v>
      </c>
      <c r="C3773" s="2">
        <v>231594</v>
      </c>
      <c r="D3773" s="2" t="s">
        <v>3</v>
      </c>
      <c r="E3773" s="2">
        <v>117121</v>
      </c>
      <c r="F3773" s="2" t="s">
        <v>3</v>
      </c>
      <c r="G3773" s="2" t="s">
        <v>3</v>
      </c>
      <c r="H3773" s="2">
        <v>114473</v>
      </c>
      <c r="I3773" s="2">
        <v>5909</v>
      </c>
    </row>
    <row r="3774" spans="1:9" hidden="1" x14ac:dyDescent="0.3">
      <c r="A3774" t="s">
        <v>56</v>
      </c>
      <c r="B3774" s="1">
        <v>44044</v>
      </c>
      <c r="C3774" s="2">
        <v>228955</v>
      </c>
      <c r="D3774" s="2" t="s">
        <v>3</v>
      </c>
      <c r="E3774" s="2">
        <v>120391</v>
      </c>
      <c r="F3774" s="2" t="s">
        <v>3</v>
      </c>
      <c r="G3774" s="2" t="s">
        <v>3</v>
      </c>
      <c r="H3774" s="2">
        <v>108564</v>
      </c>
      <c r="I3774" s="2">
        <v>1297</v>
      </c>
    </row>
    <row r="3775" spans="1:9" hidden="1" x14ac:dyDescent="0.3">
      <c r="A3775" t="s">
        <v>56</v>
      </c>
      <c r="B3775" s="1">
        <v>44013</v>
      </c>
      <c r="C3775" s="2">
        <v>222295</v>
      </c>
      <c r="D3775" s="2" t="s">
        <v>3</v>
      </c>
      <c r="E3775" s="2">
        <v>115028</v>
      </c>
      <c r="F3775" s="2" t="s">
        <v>3</v>
      </c>
      <c r="G3775" s="2" t="s">
        <v>3</v>
      </c>
      <c r="H3775" s="2">
        <v>107267</v>
      </c>
      <c r="I3775" s="2">
        <v>-7894</v>
      </c>
    </row>
    <row r="3776" spans="1:9" hidden="1" x14ac:dyDescent="0.3">
      <c r="A3776" t="s">
        <v>56</v>
      </c>
      <c r="B3776" s="1">
        <v>43983</v>
      </c>
      <c r="C3776" s="2">
        <v>229577</v>
      </c>
      <c r="D3776" s="2" t="s">
        <v>3</v>
      </c>
      <c r="E3776" s="2">
        <v>114416</v>
      </c>
      <c r="F3776" s="2" t="s">
        <v>3</v>
      </c>
      <c r="G3776" s="2" t="s">
        <v>3</v>
      </c>
      <c r="H3776" s="2">
        <v>115161</v>
      </c>
      <c r="I3776" s="2">
        <v>5264</v>
      </c>
    </row>
    <row r="3777" spans="1:9" hidden="1" x14ac:dyDescent="0.3">
      <c r="A3777" t="s">
        <v>56</v>
      </c>
      <c r="B3777" s="1">
        <v>43952</v>
      </c>
      <c r="C3777" s="2">
        <v>216717</v>
      </c>
      <c r="D3777" s="2" t="s">
        <v>3</v>
      </c>
      <c r="E3777" s="2">
        <v>106820</v>
      </c>
      <c r="F3777" s="2" t="s">
        <v>3</v>
      </c>
      <c r="G3777" s="2" t="s">
        <v>3</v>
      </c>
      <c r="H3777" s="2">
        <v>109897</v>
      </c>
      <c r="I3777" s="2">
        <v>4126</v>
      </c>
    </row>
    <row r="3778" spans="1:9" hidden="1" x14ac:dyDescent="0.3">
      <c r="A3778" t="s">
        <v>56</v>
      </c>
      <c r="B3778" s="1">
        <v>43922</v>
      </c>
      <c r="C3778" s="2">
        <v>213110</v>
      </c>
      <c r="D3778" s="2" t="s">
        <v>3</v>
      </c>
      <c r="E3778" s="2">
        <v>107339</v>
      </c>
      <c r="F3778" s="2" t="s">
        <v>3</v>
      </c>
      <c r="G3778" s="2" t="s">
        <v>3</v>
      </c>
      <c r="H3778" s="2">
        <v>105771</v>
      </c>
      <c r="I3778" s="2">
        <v>9652</v>
      </c>
    </row>
    <row r="3779" spans="1:9" hidden="1" x14ac:dyDescent="0.3">
      <c r="A3779" t="s">
        <v>56</v>
      </c>
      <c r="B3779" s="1">
        <v>43891</v>
      </c>
      <c r="C3779" s="2">
        <v>209446</v>
      </c>
      <c r="D3779" s="2" t="s">
        <v>3</v>
      </c>
      <c r="E3779" s="2">
        <v>113327</v>
      </c>
      <c r="F3779" s="2" t="s">
        <v>3</v>
      </c>
      <c r="G3779" s="2" t="s">
        <v>3</v>
      </c>
      <c r="H3779" s="2">
        <v>96119</v>
      </c>
      <c r="I3779" s="2">
        <v>130</v>
      </c>
    </row>
    <row r="3780" spans="1:9" hidden="1" x14ac:dyDescent="0.3">
      <c r="A3780" t="s">
        <v>56</v>
      </c>
      <c r="B3780" s="1">
        <v>43862</v>
      </c>
      <c r="C3780" s="2">
        <v>228177</v>
      </c>
      <c r="D3780" s="2" t="s">
        <v>3</v>
      </c>
      <c r="E3780" s="2">
        <v>132188</v>
      </c>
      <c r="F3780" s="2" t="s">
        <v>3</v>
      </c>
      <c r="G3780" s="2" t="s">
        <v>3</v>
      </c>
      <c r="H3780" s="2">
        <v>95989</v>
      </c>
      <c r="I3780" s="2">
        <v>3422</v>
      </c>
    </row>
    <row r="3781" spans="1:9" hidden="1" x14ac:dyDescent="0.3">
      <c r="A3781" t="s">
        <v>56</v>
      </c>
      <c r="B3781" s="1">
        <v>43831</v>
      </c>
      <c r="C3781" s="2">
        <v>225101</v>
      </c>
      <c r="D3781" s="2" t="s">
        <v>3</v>
      </c>
      <c r="E3781" s="2">
        <v>132534</v>
      </c>
      <c r="F3781" s="2" t="s">
        <v>3</v>
      </c>
      <c r="G3781" s="2" t="s">
        <v>3</v>
      </c>
      <c r="H3781" s="2">
        <v>92567</v>
      </c>
      <c r="I3781" s="2">
        <v>-3725</v>
      </c>
    </row>
    <row r="3782" spans="1:9" x14ac:dyDescent="0.3">
      <c r="A3782" t="s">
        <v>57</v>
      </c>
      <c r="B3782" s="1">
        <v>45931</v>
      </c>
      <c r="C3782" s="2" t="s">
        <v>3</v>
      </c>
      <c r="D3782" s="2" t="s">
        <v>3</v>
      </c>
      <c r="E3782" s="2">
        <v>1787</v>
      </c>
      <c r="F3782" s="2">
        <v>-24</v>
      </c>
      <c r="G3782" s="2">
        <v>67</v>
      </c>
      <c r="H3782" s="2" t="s">
        <v>3</v>
      </c>
      <c r="I3782" s="2" t="s">
        <v>3</v>
      </c>
    </row>
    <row r="3783" spans="1:9" x14ac:dyDescent="0.3">
      <c r="A3783" t="s">
        <v>57</v>
      </c>
      <c r="B3783" s="1">
        <v>45901</v>
      </c>
      <c r="C3783" s="2" t="s">
        <v>3</v>
      </c>
      <c r="D3783" s="2" t="s">
        <v>3</v>
      </c>
      <c r="E3783" s="2">
        <v>1755</v>
      </c>
      <c r="F3783" s="2">
        <v>105</v>
      </c>
      <c r="G3783" s="2">
        <v>-100</v>
      </c>
      <c r="H3783" s="2" t="s">
        <v>3</v>
      </c>
      <c r="I3783" s="2" t="s">
        <v>3</v>
      </c>
    </row>
    <row r="3784" spans="1:9" x14ac:dyDescent="0.3">
      <c r="A3784" t="s">
        <v>57</v>
      </c>
      <c r="B3784" s="1">
        <v>45870</v>
      </c>
      <c r="C3784" s="2" t="s">
        <v>3</v>
      </c>
      <c r="D3784" s="2" t="s">
        <v>3</v>
      </c>
      <c r="E3784" s="2">
        <v>1804</v>
      </c>
      <c r="F3784" s="2">
        <v>-29</v>
      </c>
      <c r="G3784" s="2">
        <v>67</v>
      </c>
      <c r="H3784" s="2" t="s">
        <v>3</v>
      </c>
      <c r="I3784" s="2" t="s">
        <v>3</v>
      </c>
    </row>
    <row r="3785" spans="1:9" x14ac:dyDescent="0.3">
      <c r="A3785" t="s">
        <v>57</v>
      </c>
      <c r="B3785" s="1">
        <v>45839</v>
      </c>
      <c r="C3785" s="2" t="s">
        <v>3</v>
      </c>
      <c r="D3785" s="2" t="s">
        <v>3</v>
      </c>
      <c r="E3785" s="2">
        <v>1784</v>
      </c>
      <c r="F3785" s="2">
        <v>218</v>
      </c>
      <c r="G3785" s="2">
        <v>-29</v>
      </c>
      <c r="H3785" s="2" t="s">
        <v>3</v>
      </c>
      <c r="I3785" s="2" t="s">
        <v>3</v>
      </c>
    </row>
    <row r="3786" spans="1:9" x14ac:dyDescent="0.3">
      <c r="A3786" t="s">
        <v>57</v>
      </c>
      <c r="B3786" s="1">
        <v>45809</v>
      </c>
      <c r="C3786" s="2" t="s">
        <v>3</v>
      </c>
      <c r="D3786" s="2" t="s">
        <v>3</v>
      </c>
      <c r="E3786" s="2">
        <v>1612</v>
      </c>
      <c r="F3786" s="2">
        <v>-152</v>
      </c>
      <c r="G3786" s="2">
        <v>-10</v>
      </c>
      <c r="H3786" s="2" t="s">
        <v>3</v>
      </c>
      <c r="I3786" s="2" t="s">
        <v>3</v>
      </c>
    </row>
    <row r="3787" spans="1:9" x14ac:dyDescent="0.3">
      <c r="A3787" t="s">
        <v>57</v>
      </c>
      <c r="B3787" s="1">
        <v>45778</v>
      </c>
      <c r="C3787" s="2" t="s">
        <v>3</v>
      </c>
      <c r="D3787" s="2" t="s">
        <v>3</v>
      </c>
      <c r="E3787" s="2">
        <v>1847</v>
      </c>
      <c r="F3787" s="2">
        <v>1</v>
      </c>
      <c r="G3787" s="2">
        <v>11</v>
      </c>
      <c r="H3787" s="2" t="s">
        <v>3</v>
      </c>
      <c r="I3787" s="2" t="s">
        <v>3</v>
      </c>
    </row>
    <row r="3788" spans="1:9" x14ac:dyDescent="0.3">
      <c r="A3788" t="s">
        <v>57</v>
      </c>
      <c r="B3788" s="1">
        <v>45748</v>
      </c>
      <c r="C3788" s="2" t="s">
        <v>3</v>
      </c>
      <c r="D3788" s="2" t="s">
        <v>3</v>
      </c>
      <c r="E3788" s="2">
        <v>1837</v>
      </c>
      <c r="F3788" s="2">
        <v>82</v>
      </c>
      <c r="G3788" s="2">
        <v>-62</v>
      </c>
      <c r="H3788" s="2" t="s">
        <v>3</v>
      </c>
      <c r="I3788" s="2" t="s">
        <v>3</v>
      </c>
    </row>
    <row r="3789" spans="1:9" x14ac:dyDescent="0.3">
      <c r="A3789" t="s">
        <v>57</v>
      </c>
      <c r="B3789" s="1">
        <v>45717</v>
      </c>
      <c r="C3789" s="2" t="s">
        <v>3</v>
      </c>
      <c r="D3789" s="2" t="s">
        <v>3</v>
      </c>
      <c r="E3789" s="2">
        <v>1817</v>
      </c>
      <c r="F3789" s="2">
        <v>-54</v>
      </c>
      <c r="G3789" s="2">
        <v>32</v>
      </c>
      <c r="H3789" s="2" t="s">
        <v>3</v>
      </c>
      <c r="I3789" s="2" t="s">
        <v>3</v>
      </c>
    </row>
    <row r="3790" spans="1:9" x14ac:dyDescent="0.3">
      <c r="A3790" t="s">
        <v>57</v>
      </c>
      <c r="B3790" s="1">
        <v>45689</v>
      </c>
      <c r="C3790" s="2" t="s">
        <v>3</v>
      </c>
      <c r="D3790" s="2" t="s">
        <v>3</v>
      </c>
      <c r="E3790" s="2">
        <v>1839</v>
      </c>
      <c r="F3790" s="2">
        <v>-7</v>
      </c>
      <c r="G3790" s="2">
        <v>61</v>
      </c>
      <c r="H3790" s="2" t="s">
        <v>3</v>
      </c>
      <c r="I3790" s="2" t="s">
        <v>3</v>
      </c>
    </row>
    <row r="3791" spans="1:9" x14ac:dyDescent="0.3">
      <c r="A3791" t="s">
        <v>57</v>
      </c>
      <c r="B3791" s="1">
        <v>45658</v>
      </c>
      <c r="C3791" s="2" t="s">
        <v>3</v>
      </c>
      <c r="D3791" s="2" t="s">
        <v>3</v>
      </c>
      <c r="E3791" s="2">
        <v>1784</v>
      </c>
      <c r="F3791" s="2">
        <v>-83</v>
      </c>
      <c r="G3791" s="2">
        <v>-23</v>
      </c>
      <c r="H3791" s="2" t="s">
        <v>3</v>
      </c>
      <c r="I3791" s="2" t="s">
        <v>3</v>
      </c>
    </row>
    <row r="3792" spans="1:9" x14ac:dyDescent="0.3">
      <c r="A3792" t="s">
        <v>57</v>
      </c>
      <c r="B3792" s="1">
        <v>45627</v>
      </c>
      <c r="C3792" s="2" t="s">
        <v>3</v>
      </c>
      <c r="D3792" s="2" t="s">
        <v>3</v>
      </c>
      <c r="E3792" s="2">
        <v>1951</v>
      </c>
      <c r="F3792" s="2">
        <v>-41</v>
      </c>
      <c r="G3792" s="2">
        <v>-14</v>
      </c>
      <c r="H3792" s="2" t="s">
        <v>3</v>
      </c>
      <c r="I3792" s="2" t="s">
        <v>3</v>
      </c>
    </row>
    <row r="3793" spans="1:9" x14ac:dyDescent="0.3">
      <c r="A3793" t="s">
        <v>57</v>
      </c>
      <c r="B3793" s="1">
        <v>45597</v>
      </c>
      <c r="C3793" s="2" t="s">
        <v>3</v>
      </c>
      <c r="D3793" s="2" t="s">
        <v>3</v>
      </c>
      <c r="E3793" s="2">
        <v>2006</v>
      </c>
      <c r="F3793" s="2">
        <v>195</v>
      </c>
      <c r="G3793" s="2">
        <v>20</v>
      </c>
      <c r="H3793" s="2" t="s">
        <v>3</v>
      </c>
      <c r="I3793" s="2" t="s">
        <v>3</v>
      </c>
    </row>
    <row r="3794" spans="1:9" x14ac:dyDescent="0.3">
      <c r="A3794" t="s">
        <v>57</v>
      </c>
      <c r="B3794" s="1">
        <v>45566</v>
      </c>
      <c r="C3794" s="2" t="s">
        <v>3</v>
      </c>
      <c r="D3794" s="2" t="s">
        <v>3</v>
      </c>
      <c r="E3794" s="2">
        <v>1859</v>
      </c>
      <c r="F3794" s="2">
        <v>170</v>
      </c>
      <c r="G3794" s="2">
        <v>-41</v>
      </c>
      <c r="H3794" s="2" t="s">
        <v>3</v>
      </c>
      <c r="I3794" s="2" t="s">
        <v>3</v>
      </c>
    </row>
    <row r="3795" spans="1:9" x14ac:dyDescent="0.3">
      <c r="A3795" t="s">
        <v>57</v>
      </c>
      <c r="B3795" s="1">
        <v>45536</v>
      </c>
      <c r="C3795" s="2" t="s">
        <v>3</v>
      </c>
      <c r="D3795" s="2" t="s">
        <v>3</v>
      </c>
      <c r="E3795" s="2">
        <v>1719</v>
      </c>
      <c r="F3795" s="2">
        <v>75</v>
      </c>
      <c r="G3795" s="2">
        <v>8</v>
      </c>
      <c r="H3795" s="2" t="s">
        <v>3</v>
      </c>
      <c r="I3795" s="2" t="s">
        <v>3</v>
      </c>
    </row>
    <row r="3796" spans="1:9" x14ac:dyDescent="0.3">
      <c r="A3796" t="s">
        <v>57</v>
      </c>
      <c r="B3796" s="1">
        <v>45505</v>
      </c>
      <c r="C3796" s="2" t="s">
        <v>3</v>
      </c>
      <c r="D3796" s="2" t="s">
        <v>3</v>
      </c>
      <c r="E3796" s="2">
        <v>1648</v>
      </c>
      <c r="F3796" s="2">
        <v>21</v>
      </c>
      <c r="G3796" s="2">
        <v>-1</v>
      </c>
      <c r="H3796" s="2" t="s">
        <v>3</v>
      </c>
      <c r="I3796" s="2" t="s">
        <v>3</v>
      </c>
    </row>
    <row r="3797" spans="1:9" x14ac:dyDescent="0.3">
      <c r="A3797" t="s">
        <v>57</v>
      </c>
      <c r="B3797" s="1">
        <v>45474</v>
      </c>
      <c r="C3797" s="2" t="s">
        <v>3</v>
      </c>
      <c r="D3797" s="2" t="s">
        <v>3</v>
      </c>
      <c r="E3797" s="2">
        <v>1632</v>
      </c>
      <c r="F3797" s="2">
        <v>100</v>
      </c>
      <c r="G3797" s="2">
        <v>26</v>
      </c>
      <c r="H3797" s="2" t="s">
        <v>3</v>
      </c>
      <c r="I3797" s="2" t="s">
        <v>3</v>
      </c>
    </row>
    <row r="3798" spans="1:9" x14ac:dyDescent="0.3">
      <c r="A3798" t="s">
        <v>57</v>
      </c>
      <c r="B3798" s="1">
        <v>45444</v>
      </c>
      <c r="C3798" s="2" t="s">
        <v>3</v>
      </c>
      <c r="D3798" s="2" t="s">
        <v>3</v>
      </c>
      <c r="E3798" s="2">
        <v>1508</v>
      </c>
      <c r="F3798" s="2">
        <v>-7</v>
      </c>
      <c r="G3798" s="2">
        <v>-7</v>
      </c>
      <c r="H3798" s="2" t="s">
        <v>3</v>
      </c>
      <c r="I3798" s="2" t="s">
        <v>3</v>
      </c>
    </row>
    <row r="3799" spans="1:9" x14ac:dyDescent="0.3">
      <c r="A3799" t="s">
        <v>57</v>
      </c>
      <c r="B3799" s="1">
        <v>45413</v>
      </c>
      <c r="C3799" s="2" t="s">
        <v>3</v>
      </c>
      <c r="D3799" s="2" t="s">
        <v>3</v>
      </c>
      <c r="E3799" s="2">
        <v>1521</v>
      </c>
      <c r="F3799" s="2">
        <v>75</v>
      </c>
      <c r="G3799" s="2">
        <v>3</v>
      </c>
      <c r="H3799" s="2" t="s">
        <v>3</v>
      </c>
      <c r="I3799" s="2" t="s">
        <v>3</v>
      </c>
    </row>
    <row r="3800" spans="1:9" x14ac:dyDescent="0.3">
      <c r="A3800" t="s">
        <v>57</v>
      </c>
      <c r="B3800" s="1">
        <v>45383</v>
      </c>
      <c r="C3800" s="2" t="s">
        <v>3</v>
      </c>
      <c r="D3800" s="2" t="s">
        <v>3</v>
      </c>
      <c r="E3800" s="2">
        <v>1430</v>
      </c>
      <c r="F3800" s="2">
        <v>69</v>
      </c>
      <c r="G3800" s="2">
        <v>-21</v>
      </c>
      <c r="H3800" s="2" t="s">
        <v>3</v>
      </c>
      <c r="I3800" s="2" t="s">
        <v>3</v>
      </c>
    </row>
    <row r="3801" spans="1:9" x14ac:dyDescent="0.3">
      <c r="A3801" t="s">
        <v>57</v>
      </c>
      <c r="B3801" s="1">
        <v>45352</v>
      </c>
      <c r="C3801" s="2" t="s">
        <v>3</v>
      </c>
      <c r="D3801" s="2" t="s">
        <v>3</v>
      </c>
      <c r="E3801" s="2">
        <v>1379</v>
      </c>
      <c r="F3801" s="2">
        <v>24</v>
      </c>
      <c r="G3801" s="2">
        <v>1</v>
      </c>
      <c r="H3801" s="2" t="s">
        <v>3</v>
      </c>
      <c r="I3801" s="2" t="s">
        <v>3</v>
      </c>
    </row>
    <row r="3802" spans="1:9" x14ac:dyDescent="0.3">
      <c r="A3802" t="s">
        <v>57</v>
      </c>
      <c r="B3802" s="1">
        <v>45323</v>
      </c>
      <c r="C3802" s="2" t="s">
        <v>3</v>
      </c>
      <c r="D3802" s="2" t="s">
        <v>3</v>
      </c>
      <c r="E3802" s="2">
        <v>1443</v>
      </c>
      <c r="F3802" s="2">
        <v>49</v>
      </c>
      <c r="G3802" s="2">
        <v>-2</v>
      </c>
      <c r="H3802" s="2" t="s">
        <v>3</v>
      </c>
      <c r="I3802" s="2" t="s">
        <v>3</v>
      </c>
    </row>
    <row r="3803" spans="1:9" x14ac:dyDescent="0.3">
      <c r="A3803" t="s">
        <v>57</v>
      </c>
      <c r="B3803" s="1">
        <v>45292</v>
      </c>
      <c r="C3803" s="2" t="s">
        <v>3</v>
      </c>
      <c r="D3803" s="2" t="s">
        <v>3</v>
      </c>
      <c r="E3803" s="2">
        <v>1345</v>
      </c>
      <c r="F3803" s="2">
        <v>254</v>
      </c>
      <c r="G3803" s="2">
        <v>-6</v>
      </c>
      <c r="H3803" s="2" t="s">
        <v>3</v>
      </c>
      <c r="I3803" s="2" t="s">
        <v>3</v>
      </c>
    </row>
    <row r="3804" spans="1:9" x14ac:dyDescent="0.3">
      <c r="A3804" t="s">
        <v>57</v>
      </c>
      <c r="B3804" s="1">
        <v>45261</v>
      </c>
      <c r="C3804" s="2" t="s">
        <v>3</v>
      </c>
      <c r="D3804" s="2" t="s">
        <v>3</v>
      </c>
      <c r="E3804" s="2">
        <v>1102</v>
      </c>
      <c r="F3804" s="2">
        <v>25</v>
      </c>
      <c r="G3804" s="2">
        <v>8</v>
      </c>
      <c r="H3804" s="2" t="s">
        <v>3</v>
      </c>
      <c r="I3804" s="2" t="s">
        <v>3</v>
      </c>
    </row>
    <row r="3805" spans="1:9" x14ac:dyDescent="0.3">
      <c r="A3805" t="s">
        <v>57</v>
      </c>
      <c r="B3805" s="1">
        <v>45231</v>
      </c>
      <c r="C3805" s="2" t="s">
        <v>3</v>
      </c>
      <c r="D3805" s="2" t="s">
        <v>3</v>
      </c>
      <c r="E3805" s="2">
        <v>1065</v>
      </c>
      <c r="F3805" s="2">
        <v>13</v>
      </c>
      <c r="G3805" s="2">
        <v>7</v>
      </c>
      <c r="H3805" s="2" t="s">
        <v>3</v>
      </c>
      <c r="I3805" s="2" t="s">
        <v>3</v>
      </c>
    </row>
    <row r="3806" spans="1:9" x14ac:dyDescent="0.3">
      <c r="A3806" t="s">
        <v>57</v>
      </c>
      <c r="B3806" s="1">
        <v>45200</v>
      </c>
      <c r="C3806" s="2" t="s">
        <v>3</v>
      </c>
      <c r="D3806" s="2" t="s">
        <v>3</v>
      </c>
      <c r="E3806" s="2">
        <v>1071</v>
      </c>
      <c r="F3806" s="2">
        <v>-28</v>
      </c>
      <c r="G3806" s="2">
        <v>-18</v>
      </c>
      <c r="H3806" s="2" t="s">
        <v>3</v>
      </c>
      <c r="I3806" s="2" t="s">
        <v>3</v>
      </c>
    </row>
    <row r="3807" spans="1:9" x14ac:dyDescent="0.3">
      <c r="A3807" t="s">
        <v>57</v>
      </c>
      <c r="B3807" s="1">
        <v>45170</v>
      </c>
      <c r="C3807" s="2" t="s">
        <v>3</v>
      </c>
      <c r="D3807" s="2" t="s">
        <v>3</v>
      </c>
      <c r="E3807" s="2">
        <v>1106</v>
      </c>
      <c r="F3807" s="2">
        <v>236</v>
      </c>
      <c r="G3807" s="2">
        <v>-4</v>
      </c>
      <c r="H3807" s="2" t="s">
        <v>3</v>
      </c>
      <c r="I3807" s="2" t="s">
        <v>3</v>
      </c>
    </row>
    <row r="3808" spans="1:9" x14ac:dyDescent="0.3">
      <c r="A3808" t="s">
        <v>57</v>
      </c>
      <c r="B3808" s="1">
        <v>45139</v>
      </c>
      <c r="C3808" s="2" t="s">
        <v>3</v>
      </c>
      <c r="D3808" s="2" t="s">
        <v>3</v>
      </c>
      <c r="E3808" s="2">
        <v>872</v>
      </c>
      <c r="F3808" s="2">
        <v>13</v>
      </c>
      <c r="G3808" s="2">
        <v>-19</v>
      </c>
      <c r="H3808" s="2" t="s">
        <v>3</v>
      </c>
      <c r="I3808" s="2" t="s">
        <v>3</v>
      </c>
    </row>
    <row r="3809" spans="1:9" x14ac:dyDescent="0.3">
      <c r="A3809" t="s">
        <v>57</v>
      </c>
      <c r="B3809" s="1">
        <v>45108</v>
      </c>
      <c r="C3809" s="2" t="s">
        <v>3</v>
      </c>
      <c r="D3809" s="2" t="s">
        <v>3</v>
      </c>
      <c r="E3809" s="2">
        <v>831</v>
      </c>
      <c r="F3809" s="2">
        <v>31</v>
      </c>
      <c r="G3809" s="2">
        <v>-6</v>
      </c>
      <c r="H3809" s="2" t="s">
        <v>3</v>
      </c>
      <c r="I3809" s="2" t="s">
        <v>3</v>
      </c>
    </row>
    <row r="3810" spans="1:9" x14ac:dyDescent="0.3">
      <c r="A3810" t="s">
        <v>57</v>
      </c>
      <c r="B3810" s="1">
        <v>45078</v>
      </c>
      <c r="C3810" s="2" t="s">
        <v>3</v>
      </c>
      <c r="D3810" s="2" t="s">
        <v>3</v>
      </c>
      <c r="E3810" s="2">
        <v>829</v>
      </c>
      <c r="F3810" s="2">
        <v>77</v>
      </c>
      <c r="G3810" s="2">
        <v>1</v>
      </c>
      <c r="H3810" s="2" t="s">
        <v>3</v>
      </c>
      <c r="I3810" s="2" t="s">
        <v>3</v>
      </c>
    </row>
    <row r="3811" spans="1:9" x14ac:dyDescent="0.3">
      <c r="A3811" t="s">
        <v>57</v>
      </c>
      <c r="B3811" s="1">
        <v>45047</v>
      </c>
      <c r="C3811" s="2" t="s">
        <v>3</v>
      </c>
      <c r="D3811" s="2" t="s">
        <v>3</v>
      </c>
      <c r="E3811" s="2">
        <v>744</v>
      </c>
      <c r="F3811" s="2">
        <v>-24</v>
      </c>
      <c r="G3811" s="2">
        <v>-1</v>
      </c>
      <c r="H3811" s="2" t="s">
        <v>3</v>
      </c>
      <c r="I3811" s="2" t="s">
        <v>3</v>
      </c>
    </row>
    <row r="3812" spans="1:9" x14ac:dyDescent="0.3">
      <c r="A3812" t="s">
        <v>57</v>
      </c>
      <c r="B3812" s="1">
        <v>45017</v>
      </c>
      <c r="C3812" s="2" t="s">
        <v>3</v>
      </c>
      <c r="D3812" s="2" t="s">
        <v>3</v>
      </c>
      <c r="E3812" s="2">
        <v>721</v>
      </c>
      <c r="F3812" s="2">
        <v>12</v>
      </c>
      <c r="G3812" s="2">
        <v>0</v>
      </c>
      <c r="H3812" s="2" t="s">
        <v>3</v>
      </c>
      <c r="I3812" s="2" t="s">
        <v>3</v>
      </c>
    </row>
    <row r="3813" spans="1:9" x14ac:dyDescent="0.3">
      <c r="A3813" t="s">
        <v>57</v>
      </c>
      <c r="B3813" s="1">
        <v>44986</v>
      </c>
      <c r="C3813" s="2" t="s">
        <v>3</v>
      </c>
      <c r="D3813" s="2" t="s">
        <v>3</v>
      </c>
      <c r="E3813" s="2">
        <v>706</v>
      </c>
      <c r="F3813" s="2">
        <v>-81</v>
      </c>
      <c r="G3813" s="2">
        <v>12</v>
      </c>
      <c r="H3813" s="2" t="s">
        <v>3</v>
      </c>
      <c r="I3813" s="2" t="s">
        <v>3</v>
      </c>
    </row>
    <row r="3814" spans="1:9" x14ac:dyDescent="0.3">
      <c r="A3814" t="s">
        <v>57</v>
      </c>
      <c r="B3814" s="1">
        <v>44958</v>
      </c>
      <c r="C3814" s="2" t="s">
        <v>3</v>
      </c>
      <c r="D3814" s="2" t="s">
        <v>3</v>
      </c>
      <c r="E3814" s="2">
        <v>773</v>
      </c>
      <c r="F3814" s="2">
        <v>42</v>
      </c>
      <c r="G3814" s="2">
        <v>0</v>
      </c>
      <c r="H3814" s="2" t="s">
        <v>3</v>
      </c>
      <c r="I3814" s="2" t="s">
        <v>3</v>
      </c>
    </row>
    <row r="3815" spans="1:9" hidden="1" x14ac:dyDescent="0.3">
      <c r="A3815" t="s">
        <v>57</v>
      </c>
      <c r="B3815" s="1">
        <v>44927</v>
      </c>
      <c r="C3815" s="2" t="s">
        <v>3</v>
      </c>
      <c r="D3815" s="2" t="s">
        <v>3</v>
      </c>
      <c r="E3815" s="2">
        <v>734</v>
      </c>
      <c r="F3815" s="2" t="s">
        <v>3</v>
      </c>
      <c r="G3815" s="2" t="s">
        <v>3</v>
      </c>
      <c r="H3815" s="2" t="s">
        <v>3</v>
      </c>
      <c r="I3815" s="2" t="s">
        <v>3</v>
      </c>
    </row>
    <row r="3816" spans="1:9" hidden="1" x14ac:dyDescent="0.3">
      <c r="A3816" t="s">
        <v>57</v>
      </c>
      <c r="B3816" s="1">
        <v>44896</v>
      </c>
      <c r="C3816" s="2" t="s">
        <v>3</v>
      </c>
      <c r="D3816" s="2" t="s">
        <v>3</v>
      </c>
      <c r="E3816" s="2">
        <v>689</v>
      </c>
      <c r="F3816" s="2" t="s">
        <v>3</v>
      </c>
      <c r="G3816" s="2" t="s">
        <v>3</v>
      </c>
      <c r="H3816" s="2" t="s">
        <v>3</v>
      </c>
      <c r="I3816" s="2" t="s">
        <v>3</v>
      </c>
    </row>
    <row r="3817" spans="1:9" hidden="1" x14ac:dyDescent="0.3">
      <c r="A3817" t="s">
        <v>57</v>
      </c>
      <c r="B3817" s="1">
        <v>44866</v>
      </c>
      <c r="C3817" s="2" t="s">
        <v>3</v>
      </c>
      <c r="D3817" s="2" t="s">
        <v>3</v>
      </c>
      <c r="E3817" s="2">
        <v>666</v>
      </c>
      <c r="F3817" s="2" t="s">
        <v>3</v>
      </c>
      <c r="G3817" s="2" t="s">
        <v>3</v>
      </c>
      <c r="H3817" s="2" t="s">
        <v>3</v>
      </c>
      <c r="I3817" s="2" t="s">
        <v>3</v>
      </c>
    </row>
    <row r="3818" spans="1:9" hidden="1" x14ac:dyDescent="0.3">
      <c r="A3818" t="s">
        <v>57</v>
      </c>
      <c r="B3818" s="1">
        <v>44835</v>
      </c>
      <c r="C3818" s="2" t="s">
        <v>3</v>
      </c>
      <c r="D3818" s="2" t="s">
        <v>3</v>
      </c>
      <c r="E3818" s="2">
        <v>675</v>
      </c>
      <c r="F3818" s="2" t="s">
        <v>3</v>
      </c>
      <c r="G3818" s="2" t="s">
        <v>3</v>
      </c>
      <c r="H3818" s="2" t="s">
        <v>3</v>
      </c>
      <c r="I3818" s="2" t="s">
        <v>3</v>
      </c>
    </row>
    <row r="3819" spans="1:9" hidden="1" x14ac:dyDescent="0.3">
      <c r="A3819" t="s">
        <v>57</v>
      </c>
      <c r="B3819" s="1">
        <v>44805</v>
      </c>
      <c r="C3819" s="2" t="s">
        <v>3</v>
      </c>
      <c r="D3819" s="2" t="s">
        <v>3</v>
      </c>
      <c r="E3819" s="2">
        <v>664</v>
      </c>
      <c r="F3819" s="2" t="s">
        <v>3</v>
      </c>
      <c r="G3819" s="2" t="s">
        <v>3</v>
      </c>
      <c r="H3819" s="2" t="s">
        <v>3</v>
      </c>
      <c r="I3819" s="2" t="s">
        <v>3</v>
      </c>
    </row>
    <row r="3820" spans="1:9" hidden="1" x14ac:dyDescent="0.3">
      <c r="A3820" t="s">
        <v>57</v>
      </c>
      <c r="B3820" s="1">
        <v>44774</v>
      </c>
      <c r="C3820" s="2" t="s">
        <v>3</v>
      </c>
      <c r="D3820" s="2" t="s">
        <v>3</v>
      </c>
      <c r="E3820" s="2">
        <v>645</v>
      </c>
      <c r="F3820" s="2" t="s">
        <v>3</v>
      </c>
      <c r="G3820" s="2" t="s">
        <v>3</v>
      </c>
      <c r="H3820" s="2" t="s">
        <v>3</v>
      </c>
      <c r="I3820" s="2" t="s">
        <v>3</v>
      </c>
    </row>
    <row r="3821" spans="1:9" hidden="1" x14ac:dyDescent="0.3">
      <c r="A3821" t="s">
        <v>57</v>
      </c>
      <c r="B3821" s="1">
        <v>44743</v>
      </c>
      <c r="C3821" s="2" t="s">
        <v>3</v>
      </c>
      <c r="D3821" s="2" t="s">
        <v>3</v>
      </c>
      <c r="E3821" s="2">
        <v>673</v>
      </c>
      <c r="F3821" s="2" t="s">
        <v>3</v>
      </c>
      <c r="G3821" s="2" t="s">
        <v>3</v>
      </c>
      <c r="H3821" s="2" t="s">
        <v>3</v>
      </c>
      <c r="I3821" s="2" t="s">
        <v>3</v>
      </c>
    </row>
    <row r="3822" spans="1:9" hidden="1" x14ac:dyDescent="0.3">
      <c r="A3822" t="s">
        <v>57</v>
      </c>
      <c r="B3822" s="1">
        <v>44713</v>
      </c>
      <c r="C3822" s="2" t="s">
        <v>3</v>
      </c>
      <c r="D3822" s="2" t="s">
        <v>3</v>
      </c>
      <c r="E3822" s="2">
        <v>583</v>
      </c>
      <c r="F3822" s="2" t="s">
        <v>3</v>
      </c>
      <c r="G3822" s="2" t="s">
        <v>3</v>
      </c>
      <c r="H3822" s="2" t="s">
        <v>3</v>
      </c>
      <c r="I3822" s="2" t="s">
        <v>3</v>
      </c>
    </row>
    <row r="3823" spans="1:9" hidden="1" x14ac:dyDescent="0.3">
      <c r="A3823" t="s">
        <v>57</v>
      </c>
      <c r="B3823" s="1">
        <v>44682</v>
      </c>
      <c r="C3823" s="2" t="s">
        <v>3</v>
      </c>
      <c r="D3823" s="2" t="s">
        <v>3</v>
      </c>
      <c r="E3823" s="2">
        <v>554</v>
      </c>
      <c r="F3823" s="2" t="s">
        <v>3</v>
      </c>
      <c r="G3823" s="2" t="s">
        <v>3</v>
      </c>
      <c r="H3823" s="2" t="s">
        <v>3</v>
      </c>
      <c r="I3823" s="2" t="s">
        <v>3</v>
      </c>
    </row>
    <row r="3824" spans="1:9" hidden="1" x14ac:dyDescent="0.3">
      <c r="A3824" t="s">
        <v>57</v>
      </c>
      <c r="B3824" s="1">
        <v>44652</v>
      </c>
      <c r="C3824" s="2" t="s">
        <v>3</v>
      </c>
      <c r="D3824" s="2" t="s">
        <v>3</v>
      </c>
      <c r="E3824" s="2">
        <v>611</v>
      </c>
      <c r="F3824" s="2" t="s">
        <v>3</v>
      </c>
      <c r="G3824" s="2" t="s">
        <v>3</v>
      </c>
      <c r="H3824" s="2" t="s">
        <v>3</v>
      </c>
      <c r="I3824" s="2" t="s">
        <v>3</v>
      </c>
    </row>
    <row r="3825" spans="1:9" hidden="1" x14ac:dyDescent="0.3">
      <c r="A3825" t="s">
        <v>57</v>
      </c>
      <c r="B3825" s="1">
        <v>44621</v>
      </c>
      <c r="C3825" s="2" t="s">
        <v>3</v>
      </c>
      <c r="D3825" s="2" t="s">
        <v>3</v>
      </c>
      <c r="E3825" s="2">
        <v>339</v>
      </c>
      <c r="F3825" s="2" t="s">
        <v>3</v>
      </c>
      <c r="G3825" s="2" t="s">
        <v>3</v>
      </c>
      <c r="H3825" s="2" t="s">
        <v>3</v>
      </c>
      <c r="I3825" s="2" t="s">
        <v>3</v>
      </c>
    </row>
    <row r="3826" spans="1:9" hidden="1" x14ac:dyDescent="0.3">
      <c r="A3826" t="s">
        <v>57</v>
      </c>
      <c r="B3826" s="1">
        <v>44593</v>
      </c>
      <c r="C3826" s="2" t="s">
        <v>3</v>
      </c>
      <c r="D3826" s="2" t="s">
        <v>3</v>
      </c>
      <c r="E3826" s="2">
        <v>287</v>
      </c>
      <c r="F3826" s="2" t="s">
        <v>3</v>
      </c>
      <c r="G3826" s="2" t="s">
        <v>3</v>
      </c>
      <c r="H3826" s="2" t="s">
        <v>3</v>
      </c>
      <c r="I3826" s="2" t="s">
        <v>3</v>
      </c>
    </row>
    <row r="3827" spans="1:9" hidden="1" x14ac:dyDescent="0.3">
      <c r="A3827" t="s">
        <v>57</v>
      </c>
      <c r="B3827" s="1">
        <v>44562</v>
      </c>
      <c r="C3827" s="2" t="s">
        <v>3</v>
      </c>
      <c r="D3827" s="2" t="s">
        <v>3</v>
      </c>
      <c r="E3827" s="2">
        <v>273</v>
      </c>
      <c r="F3827" s="2" t="s">
        <v>3</v>
      </c>
      <c r="G3827" s="2" t="s">
        <v>3</v>
      </c>
      <c r="H3827" s="2" t="s">
        <v>3</v>
      </c>
      <c r="I3827" s="2" t="s">
        <v>3</v>
      </c>
    </row>
    <row r="3828" spans="1:9" hidden="1" x14ac:dyDescent="0.3">
      <c r="A3828" t="s">
        <v>57</v>
      </c>
      <c r="B3828" s="1">
        <v>44531</v>
      </c>
      <c r="C3828" s="2" t="s">
        <v>3</v>
      </c>
      <c r="D3828" s="2" t="s">
        <v>3</v>
      </c>
      <c r="E3828" s="2">
        <v>264</v>
      </c>
      <c r="F3828" s="2" t="s">
        <v>3</v>
      </c>
      <c r="G3828" s="2" t="s">
        <v>3</v>
      </c>
      <c r="H3828" s="2" t="s">
        <v>3</v>
      </c>
      <c r="I3828" s="2" t="s">
        <v>3</v>
      </c>
    </row>
    <row r="3829" spans="1:9" hidden="1" x14ac:dyDescent="0.3">
      <c r="A3829" t="s">
        <v>57</v>
      </c>
      <c r="B3829" s="1">
        <v>44501</v>
      </c>
      <c r="C3829" s="2" t="s">
        <v>3</v>
      </c>
      <c r="D3829" s="2" t="s">
        <v>3</v>
      </c>
      <c r="E3829" s="2">
        <v>263</v>
      </c>
      <c r="F3829" s="2" t="s">
        <v>3</v>
      </c>
      <c r="G3829" s="2" t="s">
        <v>3</v>
      </c>
      <c r="H3829" s="2" t="s">
        <v>3</v>
      </c>
      <c r="I3829" s="2" t="s">
        <v>3</v>
      </c>
    </row>
    <row r="3830" spans="1:9" hidden="1" x14ac:dyDescent="0.3">
      <c r="A3830" t="s">
        <v>57</v>
      </c>
      <c r="B3830" s="1">
        <v>44470</v>
      </c>
      <c r="C3830" s="2" t="s">
        <v>3</v>
      </c>
      <c r="D3830" s="2" t="s">
        <v>3</v>
      </c>
      <c r="E3830" s="2">
        <v>287</v>
      </c>
      <c r="F3830" s="2" t="s">
        <v>3</v>
      </c>
      <c r="G3830" s="2" t="s">
        <v>3</v>
      </c>
      <c r="H3830" s="2" t="s">
        <v>3</v>
      </c>
      <c r="I3830" s="2" t="s">
        <v>3</v>
      </c>
    </row>
    <row r="3831" spans="1:9" hidden="1" x14ac:dyDescent="0.3">
      <c r="A3831" t="s">
        <v>57</v>
      </c>
      <c r="B3831" s="1">
        <v>44440</v>
      </c>
      <c r="C3831" s="2" t="s">
        <v>3</v>
      </c>
      <c r="D3831" s="2" t="s">
        <v>3</v>
      </c>
      <c r="E3831" s="2">
        <v>293</v>
      </c>
      <c r="F3831" s="2" t="s">
        <v>3</v>
      </c>
      <c r="G3831" s="2" t="s">
        <v>3</v>
      </c>
      <c r="H3831" s="2" t="s">
        <v>3</v>
      </c>
      <c r="I3831" s="2" t="s">
        <v>3</v>
      </c>
    </row>
    <row r="3832" spans="1:9" hidden="1" x14ac:dyDescent="0.3">
      <c r="A3832" t="s">
        <v>57</v>
      </c>
      <c r="B3832" s="1">
        <v>44409</v>
      </c>
      <c r="C3832" s="2" t="s">
        <v>3</v>
      </c>
      <c r="D3832" s="2" t="s">
        <v>3</v>
      </c>
      <c r="E3832" s="2">
        <v>283</v>
      </c>
      <c r="F3832" s="2" t="s">
        <v>3</v>
      </c>
      <c r="G3832" s="2" t="s">
        <v>3</v>
      </c>
      <c r="H3832" s="2" t="s">
        <v>3</v>
      </c>
      <c r="I3832" s="2" t="s">
        <v>3</v>
      </c>
    </row>
    <row r="3833" spans="1:9" hidden="1" x14ac:dyDescent="0.3">
      <c r="A3833" t="s">
        <v>57</v>
      </c>
      <c r="B3833" s="1">
        <v>44378</v>
      </c>
      <c r="C3833" s="2" t="s">
        <v>3</v>
      </c>
      <c r="D3833" s="2" t="s">
        <v>3</v>
      </c>
      <c r="E3833" s="2">
        <v>276</v>
      </c>
      <c r="F3833" s="2" t="s">
        <v>3</v>
      </c>
      <c r="G3833" s="2" t="s">
        <v>3</v>
      </c>
      <c r="H3833" s="2" t="s">
        <v>3</v>
      </c>
      <c r="I3833" s="2" t="s">
        <v>3</v>
      </c>
    </row>
    <row r="3834" spans="1:9" hidden="1" x14ac:dyDescent="0.3">
      <c r="A3834" t="s">
        <v>57</v>
      </c>
      <c r="B3834" s="1">
        <v>44348</v>
      </c>
      <c r="C3834" s="2" t="s">
        <v>3</v>
      </c>
      <c r="D3834" s="2" t="s">
        <v>3</v>
      </c>
      <c r="E3834" s="2">
        <v>289</v>
      </c>
      <c r="F3834" s="2" t="s">
        <v>3</v>
      </c>
      <c r="G3834" s="2" t="s">
        <v>3</v>
      </c>
      <c r="H3834" s="2" t="s">
        <v>3</v>
      </c>
      <c r="I3834" s="2" t="s">
        <v>3</v>
      </c>
    </row>
    <row r="3835" spans="1:9" hidden="1" x14ac:dyDescent="0.3">
      <c r="A3835" t="s">
        <v>57</v>
      </c>
      <c r="B3835" s="1">
        <v>44317</v>
      </c>
      <c r="C3835" s="2" t="s">
        <v>3</v>
      </c>
      <c r="D3835" s="2" t="s">
        <v>3</v>
      </c>
      <c r="E3835" s="2">
        <v>290</v>
      </c>
      <c r="F3835" s="2" t="s">
        <v>3</v>
      </c>
      <c r="G3835" s="2" t="s">
        <v>3</v>
      </c>
      <c r="H3835" s="2" t="s">
        <v>3</v>
      </c>
      <c r="I3835" s="2" t="s">
        <v>3</v>
      </c>
    </row>
    <row r="3836" spans="1:9" hidden="1" x14ac:dyDescent="0.3">
      <c r="A3836" t="s">
        <v>57</v>
      </c>
      <c r="B3836" s="1">
        <v>44287</v>
      </c>
      <c r="C3836" s="2" t="s">
        <v>3</v>
      </c>
      <c r="D3836" s="2" t="s">
        <v>3</v>
      </c>
      <c r="E3836" s="2">
        <v>278</v>
      </c>
      <c r="F3836" s="2" t="s">
        <v>3</v>
      </c>
      <c r="G3836" s="2" t="s">
        <v>3</v>
      </c>
      <c r="H3836" s="2" t="s">
        <v>3</v>
      </c>
      <c r="I3836" s="2" t="s">
        <v>3</v>
      </c>
    </row>
    <row r="3837" spans="1:9" hidden="1" x14ac:dyDescent="0.3">
      <c r="A3837" t="s">
        <v>57</v>
      </c>
      <c r="B3837" s="1">
        <v>44256</v>
      </c>
      <c r="C3837" s="2" t="s">
        <v>3</v>
      </c>
      <c r="D3837" s="2" t="s">
        <v>3</v>
      </c>
      <c r="E3837" s="2">
        <v>281</v>
      </c>
      <c r="F3837" s="2" t="s">
        <v>3</v>
      </c>
      <c r="G3837" s="2" t="s">
        <v>3</v>
      </c>
      <c r="H3837" s="2" t="s">
        <v>3</v>
      </c>
      <c r="I3837" s="2" t="s">
        <v>3</v>
      </c>
    </row>
    <row r="3838" spans="1:9" hidden="1" x14ac:dyDescent="0.3">
      <c r="A3838" t="s">
        <v>57</v>
      </c>
      <c r="B3838" s="1">
        <v>44228</v>
      </c>
      <c r="C3838" s="2" t="s">
        <v>3</v>
      </c>
      <c r="D3838" s="2" t="s">
        <v>3</v>
      </c>
      <c r="E3838" s="2">
        <v>283</v>
      </c>
      <c r="F3838" s="2" t="s">
        <v>3</v>
      </c>
      <c r="G3838" s="2" t="s">
        <v>3</v>
      </c>
      <c r="H3838" s="2" t="s">
        <v>3</v>
      </c>
      <c r="I3838" s="2" t="s">
        <v>3</v>
      </c>
    </row>
    <row r="3839" spans="1:9" hidden="1" x14ac:dyDescent="0.3">
      <c r="A3839" t="s">
        <v>57</v>
      </c>
      <c r="B3839" s="1">
        <v>44197</v>
      </c>
      <c r="C3839" s="2" t="s">
        <v>3</v>
      </c>
      <c r="D3839" s="2" t="s">
        <v>3</v>
      </c>
      <c r="E3839" s="2">
        <v>295</v>
      </c>
      <c r="F3839" s="2" t="s">
        <v>3</v>
      </c>
      <c r="G3839" s="2" t="s">
        <v>3</v>
      </c>
      <c r="H3839" s="2" t="s">
        <v>3</v>
      </c>
      <c r="I3839" s="2" t="s">
        <v>3</v>
      </c>
    </row>
    <row r="3840" spans="1:9" hidden="1" x14ac:dyDescent="0.3">
      <c r="A3840" t="s">
        <v>57</v>
      </c>
      <c r="B3840" s="1">
        <v>44166</v>
      </c>
      <c r="C3840" s="2" t="s">
        <v>3</v>
      </c>
      <c r="D3840" s="2" t="s">
        <v>3</v>
      </c>
      <c r="E3840" s="2">
        <v>287</v>
      </c>
      <c r="F3840" s="2" t="s">
        <v>3</v>
      </c>
      <c r="G3840" s="2" t="s">
        <v>3</v>
      </c>
      <c r="H3840" s="2" t="s">
        <v>3</v>
      </c>
      <c r="I3840" s="2" t="s">
        <v>3</v>
      </c>
    </row>
    <row r="3841" spans="1:9" hidden="1" x14ac:dyDescent="0.3">
      <c r="A3841" t="s">
        <v>57</v>
      </c>
      <c r="B3841" s="1">
        <v>44136</v>
      </c>
      <c r="C3841" s="2" t="s">
        <v>3</v>
      </c>
      <c r="D3841" s="2" t="s">
        <v>3</v>
      </c>
      <c r="E3841" s="2">
        <v>270</v>
      </c>
      <c r="F3841" s="2" t="s">
        <v>3</v>
      </c>
      <c r="G3841" s="2" t="s">
        <v>3</v>
      </c>
      <c r="H3841" s="2" t="s">
        <v>3</v>
      </c>
      <c r="I3841" s="2" t="s">
        <v>3</v>
      </c>
    </row>
    <row r="3842" spans="1:9" hidden="1" x14ac:dyDescent="0.3">
      <c r="A3842" t="s">
        <v>57</v>
      </c>
      <c r="B3842" s="1">
        <v>44105</v>
      </c>
      <c r="C3842" s="2" t="s">
        <v>3</v>
      </c>
      <c r="D3842" s="2" t="s">
        <v>3</v>
      </c>
      <c r="E3842" s="2">
        <v>293</v>
      </c>
      <c r="F3842" s="2" t="s">
        <v>3</v>
      </c>
      <c r="G3842" s="2" t="s">
        <v>3</v>
      </c>
      <c r="H3842" s="2" t="s">
        <v>3</v>
      </c>
      <c r="I3842" s="2" t="s">
        <v>3</v>
      </c>
    </row>
    <row r="3843" spans="1:9" hidden="1" x14ac:dyDescent="0.3">
      <c r="A3843" t="s">
        <v>57</v>
      </c>
      <c r="B3843" s="1">
        <v>44075</v>
      </c>
      <c r="C3843" s="2" t="s">
        <v>3</v>
      </c>
      <c r="D3843" s="2" t="s">
        <v>3</v>
      </c>
      <c r="E3843" s="2">
        <v>367</v>
      </c>
      <c r="F3843" s="2" t="s">
        <v>3</v>
      </c>
      <c r="G3843" s="2" t="s">
        <v>3</v>
      </c>
      <c r="H3843" s="2" t="s">
        <v>3</v>
      </c>
      <c r="I3843" s="2" t="s">
        <v>3</v>
      </c>
    </row>
    <row r="3844" spans="1:9" hidden="1" x14ac:dyDescent="0.3">
      <c r="A3844" t="s">
        <v>57</v>
      </c>
      <c r="B3844" s="1">
        <v>44044</v>
      </c>
      <c r="C3844" s="2" t="s">
        <v>3</v>
      </c>
      <c r="D3844" s="2" t="s">
        <v>3</v>
      </c>
      <c r="E3844" s="2">
        <v>377</v>
      </c>
      <c r="F3844" s="2" t="s">
        <v>3</v>
      </c>
      <c r="G3844" s="2" t="s">
        <v>3</v>
      </c>
      <c r="H3844" s="2" t="s">
        <v>3</v>
      </c>
      <c r="I3844" s="2" t="s">
        <v>3</v>
      </c>
    </row>
    <row r="3845" spans="1:9" hidden="1" x14ac:dyDescent="0.3">
      <c r="A3845" t="s">
        <v>57</v>
      </c>
      <c r="B3845" s="1">
        <v>44013</v>
      </c>
      <c r="C3845" s="2" t="s">
        <v>3</v>
      </c>
      <c r="D3845" s="2" t="s">
        <v>3</v>
      </c>
      <c r="E3845" s="2">
        <v>395</v>
      </c>
      <c r="F3845" s="2" t="s">
        <v>3</v>
      </c>
      <c r="G3845" s="2" t="s">
        <v>3</v>
      </c>
      <c r="H3845" s="2" t="s">
        <v>3</v>
      </c>
      <c r="I3845" s="2" t="s">
        <v>3</v>
      </c>
    </row>
    <row r="3846" spans="1:9" hidden="1" x14ac:dyDescent="0.3">
      <c r="A3846" t="s">
        <v>57</v>
      </c>
      <c r="B3846" s="1">
        <v>43983</v>
      </c>
      <c r="C3846" s="2" t="s">
        <v>3</v>
      </c>
      <c r="D3846" s="2" t="s">
        <v>3</v>
      </c>
      <c r="E3846" s="2">
        <v>393</v>
      </c>
      <c r="F3846" s="2" t="s">
        <v>3</v>
      </c>
      <c r="G3846" s="2" t="s">
        <v>3</v>
      </c>
      <c r="H3846" s="2" t="s">
        <v>3</v>
      </c>
      <c r="I3846" s="2" t="s">
        <v>3</v>
      </c>
    </row>
    <row r="3847" spans="1:9" hidden="1" x14ac:dyDescent="0.3">
      <c r="A3847" t="s">
        <v>57</v>
      </c>
      <c r="B3847" s="1">
        <v>43952</v>
      </c>
      <c r="C3847" s="2" t="s">
        <v>3</v>
      </c>
      <c r="D3847" s="2" t="s">
        <v>3</v>
      </c>
      <c r="E3847" s="2">
        <v>396</v>
      </c>
      <c r="F3847" s="2" t="s">
        <v>3</v>
      </c>
      <c r="G3847" s="2" t="s">
        <v>3</v>
      </c>
      <c r="H3847" s="2" t="s">
        <v>3</v>
      </c>
      <c r="I3847" s="2" t="s">
        <v>3</v>
      </c>
    </row>
    <row r="3848" spans="1:9" hidden="1" x14ac:dyDescent="0.3">
      <c r="A3848" t="s">
        <v>57</v>
      </c>
      <c r="B3848" s="1">
        <v>43922</v>
      </c>
      <c r="C3848" s="2" t="s">
        <v>3</v>
      </c>
      <c r="D3848" s="2" t="s">
        <v>3</v>
      </c>
      <c r="E3848" s="2">
        <v>398</v>
      </c>
      <c r="F3848" s="2" t="s">
        <v>3</v>
      </c>
      <c r="G3848" s="2" t="s">
        <v>3</v>
      </c>
      <c r="H3848" s="2" t="s">
        <v>3</v>
      </c>
      <c r="I3848" s="2" t="s">
        <v>3</v>
      </c>
    </row>
    <row r="3849" spans="1:9" hidden="1" x14ac:dyDescent="0.3">
      <c r="A3849" t="s">
        <v>57</v>
      </c>
      <c r="B3849" s="1">
        <v>43891</v>
      </c>
      <c r="C3849" s="2" t="s">
        <v>3</v>
      </c>
      <c r="D3849" s="2" t="s">
        <v>3</v>
      </c>
      <c r="E3849" s="2">
        <v>403</v>
      </c>
      <c r="F3849" s="2" t="s">
        <v>3</v>
      </c>
      <c r="G3849" s="2" t="s">
        <v>3</v>
      </c>
      <c r="H3849" s="2" t="s">
        <v>3</v>
      </c>
      <c r="I3849" s="2" t="s">
        <v>3</v>
      </c>
    </row>
    <row r="3850" spans="1:9" hidden="1" x14ac:dyDescent="0.3">
      <c r="A3850" t="s">
        <v>57</v>
      </c>
      <c r="B3850" s="1">
        <v>43862</v>
      </c>
      <c r="C3850" s="2" t="s">
        <v>3</v>
      </c>
      <c r="D3850" s="2" t="s">
        <v>3</v>
      </c>
      <c r="E3850" s="2">
        <v>477</v>
      </c>
      <c r="F3850" s="2" t="s">
        <v>3</v>
      </c>
      <c r="G3850" s="2" t="s">
        <v>3</v>
      </c>
      <c r="H3850" s="2" t="s">
        <v>3</v>
      </c>
      <c r="I3850" s="2" t="s">
        <v>3</v>
      </c>
    </row>
    <row r="3851" spans="1:9" hidden="1" x14ac:dyDescent="0.3">
      <c r="A3851" t="s">
        <v>57</v>
      </c>
      <c r="B3851" s="1">
        <v>43831</v>
      </c>
      <c r="C3851" s="2" t="s">
        <v>3</v>
      </c>
      <c r="D3851" s="2" t="s">
        <v>3</v>
      </c>
      <c r="E3851" s="2">
        <v>491</v>
      </c>
      <c r="F3851" s="2" t="s">
        <v>3</v>
      </c>
      <c r="G3851" s="2" t="s">
        <v>3</v>
      </c>
      <c r="H3851" s="2" t="s">
        <v>3</v>
      </c>
      <c r="I3851" s="2" t="s">
        <v>3</v>
      </c>
    </row>
    <row r="3852" spans="1:9" x14ac:dyDescent="0.3">
      <c r="A3852" t="s">
        <v>58</v>
      </c>
      <c r="B3852" s="1">
        <v>45931</v>
      </c>
      <c r="C3852" s="2" t="s">
        <v>3</v>
      </c>
      <c r="D3852" s="2" t="s">
        <v>3</v>
      </c>
      <c r="E3852" s="2">
        <v>1139</v>
      </c>
      <c r="F3852" s="2">
        <v>-6</v>
      </c>
      <c r="G3852" s="2">
        <v>-5</v>
      </c>
      <c r="H3852" s="2" t="s">
        <v>3</v>
      </c>
      <c r="I3852" s="2" t="s">
        <v>3</v>
      </c>
    </row>
    <row r="3853" spans="1:9" x14ac:dyDescent="0.3">
      <c r="A3853" t="s">
        <v>58</v>
      </c>
      <c r="B3853" s="1">
        <v>45901</v>
      </c>
      <c r="C3853" s="2" t="s">
        <v>3</v>
      </c>
      <c r="D3853" s="2" t="s">
        <v>3</v>
      </c>
      <c r="E3853" s="2">
        <v>1163</v>
      </c>
      <c r="F3853" s="2">
        <v>15</v>
      </c>
      <c r="G3853" s="2">
        <v>7</v>
      </c>
      <c r="H3853" s="2" t="s">
        <v>3</v>
      </c>
      <c r="I3853" s="2" t="s">
        <v>3</v>
      </c>
    </row>
    <row r="3854" spans="1:9" x14ac:dyDescent="0.3">
      <c r="A3854" t="s">
        <v>58</v>
      </c>
      <c r="B3854" s="1">
        <v>45870</v>
      </c>
      <c r="C3854" s="2" t="s">
        <v>3</v>
      </c>
      <c r="D3854" s="2" t="s">
        <v>3</v>
      </c>
      <c r="E3854" s="2">
        <v>1202</v>
      </c>
      <c r="F3854" s="2">
        <v>-38</v>
      </c>
      <c r="G3854" s="2">
        <v>8</v>
      </c>
      <c r="H3854" s="2" t="s">
        <v>3</v>
      </c>
      <c r="I3854" s="2" t="s">
        <v>3</v>
      </c>
    </row>
    <row r="3855" spans="1:9" x14ac:dyDescent="0.3">
      <c r="A3855" t="s">
        <v>58</v>
      </c>
      <c r="B3855" s="1">
        <v>45839</v>
      </c>
      <c r="C3855" s="2" t="s">
        <v>3</v>
      </c>
      <c r="D3855" s="2" t="s">
        <v>3</v>
      </c>
      <c r="E3855" s="2">
        <v>1242</v>
      </c>
      <c r="F3855" s="2">
        <v>39</v>
      </c>
      <c r="G3855" s="2">
        <v>-8</v>
      </c>
      <c r="H3855" s="2" t="s">
        <v>3</v>
      </c>
      <c r="I3855" s="2" t="s">
        <v>3</v>
      </c>
    </row>
    <row r="3856" spans="1:9" x14ac:dyDescent="0.3">
      <c r="A3856" t="s">
        <v>58</v>
      </c>
      <c r="B3856" s="1">
        <v>45809</v>
      </c>
      <c r="C3856" s="2" t="s">
        <v>3</v>
      </c>
      <c r="D3856" s="2" t="s">
        <v>3</v>
      </c>
      <c r="E3856" s="2">
        <v>1234</v>
      </c>
      <c r="F3856" s="2">
        <v>33</v>
      </c>
      <c r="G3856" s="2">
        <v>-23</v>
      </c>
      <c r="H3856" s="2" t="s">
        <v>3</v>
      </c>
      <c r="I3856" s="2" t="s">
        <v>3</v>
      </c>
    </row>
    <row r="3857" spans="1:9" x14ac:dyDescent="0.3">
      <c r="A3857" t="s">
        <v>58</v>
      </c>
      <c r="B3857" s="1">
        <v>45778</v>
      </c>
      <c r="C3857" s="2" t="s">
        <v>3</v>
      </c>
      <c r="D3857" s="2" t="s">
        <v>3</v>
      </c>
      <c r="E3857" s="2">
        <v>1255</v>
      </c>
      <c r="F3857" s="2">
        <v>53</v>
      </c>
      <c r="G3857" s="2">
        <v>-17</v>
      </c>
      <c r="H3857" s="2" t="s">
        <v>3</v>
      </c>
      <c r="I3857" s="2" t="s">
        <v>3</v>
      </c>
    </row>
    <row r="3858" spans="1:9" x14ac:dyDescent="0.3">
      <c r="A3858" t="s">
        <v>58</v>
      </c>
      <c r="B3858" s="1">
        <v>45748</v>
      </c>
      <c r="C3858" s="2" t="s">
        <v>3</v>
      </c>
      <c r="D3858" s="2" t="s">
        <v>3</v>
      </c>
      <c r="E3858" s="2">
        <v>1220</v>
      </c>
      <c r="F3858" s="2">
        <v>2</v>
      </c>
      <c r="G3858" s="2">
        <v>4</v>
      </c>
      <c r="H3858" s="2" t="s">
        <v>3</v>
      </c>
      <c r="I3858" s="2" t="s">
        <v>3</v>
      </c>
    </row>
    <row r="3859" spans="1:9" x14ac:dyDescent="0.3">
      <c r="A3859" t="s">
        <v>58</v>
      </c>
      <c r="B3859" s="1">
        <v>45717</v>
      </c>
      <c r="C3859" s="2" t="s">
        <v>3</v>
      </c>
      <c r="D3859" s="2" t="s">
        <v>3</v>
      </c>
      <c r="E3859" s="2">
        <v>1225</v>
      </c>
      <c r="F3859" s="2">
        <v>22</v>
      </c>
      <c r="G3859" s="2">
        <v>5</v>
      </c>
      <c r="H3859" s="2" t="s">
        <v>3</v>
      </c>
      <c r="I3859" s="2" t="s">
        <v>3</v>
      </c>
    </row>
    <row r="3860" spans="1:9" x14ac:dyDescent="0.3">
      <c r="A3860" t="s">
        <v>58</v>
      </c>
      <c r="B3860" s="1">
        <v>45689</v>
      </c>
      <c r="C3860" s="2" t="s">
        <v>3</v>
      </c>
      <c r="D3860" s="2" t="s">
        <v>3</v>
      </c>
      <c r="E3860" s="2">
        <v>1219</v>
      </c>
      <c r="F3860" s="2">
        <v>18</v>
      </c>
      <c r="G3860" s="2">
        <v>25</v>
      </c>
      <c r="H3860" s="2" t="s">
        <v>3</v>
      </c>
      <c r="I3860" s="2" t="s">
        <v>3</v>
      </c>
    </row>
    <row r="3861" spans="1:9" x14ac:dyDescent="0.3">
      <c r="A3861" t="s">
        <v>58</v>
      </c>
      <c r="B3861" s="1">
        <v>45658</v>
      </c>
      <c r="C3861" s="2" t="s">
        <v>3</v>
      </c>
      <c r="D3861" s="2" t="s">
        <v>3</v>
      </c>
      <c r="E3861" s="2">
        <v>1186</v>
      </c>
      <c r="F3861" s="2">
        <v>0</v>
      </c>
      <c r="G3861" s="2">
        <v>-1</v>
      </c>
      <c r="H3861" s="2" t="s">
        <v>3</v>
      </c>
      <c r="I3861" s="2" t="s">
        <v>3</v>
      </c>
    </row>
    <row r="3862" spans="1:9" x14ac:dyDescent="0.3">
      <c r="A3862" t="s">
        <v>58</v>
      </c>
      <c r="B3862" s="1">
        <v>45627</v>
      </c>
      <c r="C3862" s="2" t="s">
        <v>3</v>
      </c>
      <c r="D3862" s="2" t="s">
        <v>3</v>
      </c>
      <c r="E3862" s="2">
        <v>1194</v>
      </c>
      <c r="F3862" s="2">
        <v>44</v>
      </c>
      <c r="G3862" s="2">
        <v>-35</v>
      </c>
      <c r="H3862" s="2" t="s">
        <v>3</v>
      </c>
      <c r="I3862" s="2" t="s">
        <v>3</v>
      </c>
    </row>
    <row r="3863" spans="1:9" x14ac:dyDescent="0.3">
      <c r="A3863" t="s">
        <v>58</v>
      </c>
      <c r="B3863" s="1">
        <v>45597</v>
      </c>
      <c r="C3863" s="2" t="s">
        <v>3</v>
      </c>
      <c r="D3863" s="2" t="s">
        <v>3</v>
      </c>
      <c r="E3863" s="2">
        <v>1225</v>
      </c>
      <c r="F3863" s="2">
        <v>22</v>
      </c>
      <c r="G3863" s="2">
        <v>1</v>
      </c>
      <c r="H3863" s="2" t="s">
        <v>3</v>
      </c>
      <c r="I3863" s="2" t="s">
        <v>3</v>
      </c>
    </row>
    <row r="3864" spans="1:9" x14ac:dyDescent="0.3">
      <c r="A3864" t="s">
        <v>58</v>
      </c>
      <c r="B3864" s="1">
        <v>45566</v>
      </c>
      <c r="C3864" s="2" t="s">
        <v>3</v>
      </c>
      <c r="D3864" s="2" t="s">
        <v>3</v>
      </c>
      <c r="E3864" s="2">
        <v>1199</v>
      </c>
      <c r="F3864" s="2">
        <v>48</v>
      </c>
      <c r="G3864" s="2">
        <v>-13</v>
      </c>
      <c r="H3864" s="2" t="s">
        <v>3</v>
      </c>
      <c r="I3864" s="2" t="s">
        <v>3</v>
      </c>
    </row>
    <row r="3865" spans="1:9" x14ac:dyDescent="0.3">
      <c r="A3865" t="s">
        <v>58</v>
      </c>
      <c r="B3865" s="1">
        <v>45536</v>
      </c>
      <c r="C3865" s="2" t="s">
        <v>3</v>
      </c>
      <c r="D3865" s="2" t="s">
        <v>3</v>
      </c>
      <c r="E3865" s="2">
        <v>1198</v>
      </c>
      <c r="F3865" s="2">
        <v>-41</v>
      </c>
      <c r="G3865" s="2">
        <v>7</v>
      </c>
      <c r="H3865" s="2" t="s">
        <v>3</v>
      </c>
      <c r="I3865" s="2" t="s">
        <v>3</v>
      </c>
    </row>
    <row r="3866" spans="1:9" x14ac:dyDescent="0.3">
      <c r="A3866" t="s">
        <v>58</v>
      </c>
      <c r="B3866" s="1">
        <v>45505</v>
      </c>
      <c r="C3866" s="2" t="s">
        <v>3</v>
      </c>
      <c r="D3866" s="2" t="s">
        <v>3</v>
      </c>
      <c r="E3866" s="2">
        <v>1257</v>
      </c>
      <c r="F3866" s="2">
        <v>13</v>
      </c>
      <c r="G3866" s="2">
        <v>19</v>
      </c>
      <c r="H3866" s="2" t="s">
        <v>3</v>
      </c>
      <c r="I3866" s="2" t="s">
        <v>3</v>
      </c>
    </row>
    <row r="3867" spans="1:9" x14ac:dyDescent="0.3">
      <c r="A3867" t="s">
        <v>58</v>
      </c>
      <c r="B3867" s="1">
        <v>45474</v>
      </c>
      <c r="C3867" s="2" t="s">
        <v>3</v>
      </c>
      <c r="D3867" s="2" t="s">
        <v>3</v>
      </c>
      <c r="E3867" s="2">
        <v>1236</v>
      </c>
      <c r="F3867" s="2">
        <v>39</v>
      </c>
      <c r="G3867" s="2">
        <v>16</v>
      </c>
      <c r="H3867" s="2" t="s">
        <v>3</v>
      </c>
      <c r="I3867" s="2" t="s">
        <v>3</v>
      </c>
    </row>
    <row r="3868" spans="1:9" x14ac:dyDescent="0.3">
      <c r="A3868" t="s">
        <v>58</v>
      </c>
      <c r="B3868" s="1">
        <v>45444</v>
      </c>
      <c r="C3868" s="2" t="s">
        <v>3</v>
      </c>
      <c r="D3868" s="2" t="s">
        <v>3</v>
      </c>
      <c r="E3868" s="2">
        <v>1214</v>
      </c>
      <c r="F3868" s="2">
        <v>60</v>
      </c>
      <c r="G3868" s="2">
        <v>21</v>
      </c>
      <c r="H3868" s="2" t="s">
        <v>3</v>
      </c>
      <c r="I3868" s="2" t="s">
        <v>3</v>
      </c>
    </row>
    <row r="3869" spans="1:9" x14ac:dyDescent="0.3">
      <c r="A3869" t="s">
        <v>58</v>
      </c>
      <c r="B3869" s="1">
        <v>45413</v>
      </c>
      <c r="C3869" s="2" t="s">
        <v>3</v>
      </c>
      <c r="D3869" s="2" t="s">
        <v>3</v>
      </c>
      <c r="E3869" s="2">
        <v>1087</v>
      </c>
      <c r="F3869" s="2">
        <v>12</v>
      </c>
      <c r="G3869" s="2">
        <v>26</v>
      </c>
      <c r="H3869" s="2" t="s">
        <v>3</v>
      </c>
      <c r="I3869" s="2" t="s">
        <v>3</v>
      </c>
    </row>
    <row r="3870" spans="1:9" x14ac:dyDescent="0.3">
      <c r="A3870" t="s">
        <v>58</v>
      </c>
      <c r="B3870" s="1">
        <v>45383</v>
      </c>
      <c r="C3870" s="2" t="s">
        <v>3</v>
      </c>
      <c r="D3870" s="2" t="s">
        <v>3</v>
      </c>
      <c r="E3870" s="2">
        <v>1070</v>
      </c>
      <c r="F3870" s="2">
        <v>25</v>
      </c>
      <c r="G3870" s="2">
        <v>-6</v>
      </c>
      <c r="H3870" s="2" t="s">
        <v>3</v>
      </c>
      <c r="I3870" s="2" t="s">
        <v>3</v>
      </c>
    </row>
    <row r="3871" spans="1:9" x14ac:dyDescent="0.3">
      <c r="A3871" t="s">
        <v>58</v>
      </c>
      <c r="B3871" s="1">
        <v>45352</v>
      </c>
      <c r="C3871" s="2" t="s">
        <v>3</v>
      </c>
      <c r="D3871" s="2" t="s">
        <v>3</v>
      </c>
      <c r="E3871" s="2">
        <v>1077</v>
      </c>
      <c r="F3871" s="2">
        <v>55</v>
      </c>
      <c r="G3871" s="2">
        <v>-6</v>
      </c>
      <c r="H3871" s="2" t="s">
        <v>3</v>
      </c>
      <c r="I3871" s="2" t="s">
        <v>3</v>
      </c>
    </row>
    <row r="3872" spans="1:9" x14ac:dyDescent="0.3">
      <c r="A3872" t="s">
        <v>58</v>
      </c>
      <c r="B3872" s="1">
        <v>45323</v>
      </c>
      <c r="C3872" s="2" t="s">
        <v>3</v>
      </c>
      <c r="D3872" s="2" t="s">
        <v>3</v>
      </c>
      <c r="E3872" s="2">
        <v>1034</v>
      </c>
      <c r="F3872" s="2">
        <v>26</v>
      </c>
      <c r="G3872" s="2">
        <v>6</v>
      </c>
      <c r="H3872" s="2" t="s">
        <v>3</v>
      </c>
      <c r="I3872" s="2" t="s">
        <v>3</v>
      </c>
    </row>
    <row r="3873" spans="1:9" x14ac:dyDescent="0.3">
      <c r="A3873" t="s">
        <v>58</v>
      </c>
      <c r="B3873" s="1">
        <v>45292</v>
      </c>
      <c r="C3873" s="2" t="s">
        <v>3</v>
      </c>
      <c r="D3873" s="2" t="s">
        <v>3</v>
      </c>
      <c r="E3873" s="2">
        <v>1014</v>
      </c>
      <c r="F3873" s="2">
        <v>2</v>
      </c>
      <c r="G3873" s="2">
        <v>0</v>
      </c>
      <c r="H3873" s="2" t="s">
        <v>3</v>
      </c>
      <c r="I3873" s="2" t="s">
        <v>3</v>
      </c>
    </row>
    <row r="3874" spans="1:9" x14ac:dyDescent="0.3">
      <c r="A3874" t="s">
        <v>58</v>
      </c>
      <c r="B3874" s="1">
        <v>45261</v>
      </c>
      <c r="C3874" s="2" t="s">
        <v>3</v>
      </c>
      <c r="D3874" s="2" t="s">
        <v>3</v>
      </c>
      <c r="E3874" s="2">
        <v>1039</v>
      </c>
      <c r="F3874" s="2">
        <v>111</v>
      </c>
      <c r="G3874" s="2">
        <v>25</v>
      </c>
      <c r="H3874" s="2" t="s">
        <v>3</v>
      </c>
      <c r="I3874" s="2" t="s">
        <v>3</v>
      </c>
    </row>
    <row r="3875" spans="1:9" x14ac:dyDescent="0.3">
      <c r="A3875" t="s">
        <v>58</v>
      </c>
      <c r="B3875" s="1">
        <v>45231</v>
      </c>
      <c r="C3875" s="2" t="s">
        <v>3</v>
      </c>
      <c r="D3875" s="2" t="s">
        <v>3</v>
      </c>
      <c r="E3875" s="2">
        <v>842</v>
      </c>
      <c r="F3875" s="2">
        <v>38</v>
      </c>
      <c r="G3875" s="2">
        <v>19</v>
      </c>
      <c r="H3875" s="2" t="s">
        <v>3</v>
      </c>
      <c r="I3875" s="2" t="s">
        <v>3</v>
      </c>
    </row>
    <row r="3876" spans="1:9" x14ac:dyDescent="0.3">
      <c r="A3876" t="s">
        <v>58</v>
      </c>
      <c r="B3876" s="1">
        <v>45200</v>
      </c>
      <c r="C3876" s="2" t="s">
        <v>3</v>
      </c>
      <c r="D3876" s="2" t="s">
        <v>3</v>
      </c>
      <c r="E3876" s="2">
        <v>801</v>
      </c>
      <c r="F3876" s="2">
        <v>24</v>
      </c>
      <c r="G3876" s="2">
        <v>4</v>
      </c>
      <c r="H3876" s="2" t="s">
        <v>3</v>
      </c>
      <c r="I3876" s="2" t="s">
        <v>3</v>
      </c>
    </row>
    <row r="3877" spans="1:9" x14ac:dyDescent="0.3">
      <c r="A3877" t="s">
        <v>58</v>
      </c>
      <c r="B3877" s="1">
        <v>45170</v>
      </c>
      <c r="C3877" s="2" t="s">
        <v>3</v>
      </c>
      <c r="D3877" s="2" t="s">
        <v>3</v>
      </c>
      <c r="E3877" s="2">
        <v>795</v>
      </c>
      <c r="F3877" s="2">
        <v>43</v>
      </c>
      <c r="G3877" s="2">
        <v>0</v>
      </c>
      <c r="H3877" s="2" t="s">
        <v>3</v>
      </c>
      <c r="I3877" s="2" t="s">
        <v>3</v>
      </c>
    </row>
    <row r="3878" spans="1:9" x14ac:dyDescent="0.3">
      <c r="A3878" t="s">
        <v>58</v>
      </c>
      <c r="B3878" s="1">
        <v>45139</v>
      </c>
      <c r="C3878" s="2" t="s">
        <v>3</v>
      </c>
      <c r="D3878" s="2" t="s">
        <v>3</v>
      </c>
      <c r="E3878" s="2">
        <v>750</v>
      </c>
      <c r="F3878" s="2">
        <v>51</v>
      </c>
      <c r="G3878" s="2">
        <v>-1</v>
      </c>
      <c r="H3878" s="2" t="s">
        <v>3</v>
      </c>
      <c r="I3878" s="2" t="s">
        <v>3</v>
      </c>
    </row>
    <row r="3879" spans="1:9" x14ac:dyDescent="0.3">
      <c r="A3879" t="s">
        <v>58</v>
      </c>
      <c r="B3879" s="1">
        <v>45108</v>
      </c>
      <c r="C3879" s="2" t="s">
        <v>3</v>
      </c>
      <c r="D3879" s="2" t="s">
        <v>3</v>
      </c>
      <c r="E3879" s="2">
        <v>701</v>
      </c>
      <c r="F3879" s="2">
        <v>15</v>
      </c>
      <c r="G3879" s="2">
        <v>-1</v>
      </c>
      <c r="H3879" s="2" t="s">
        <v>3</v>
      </c>
      <c r="I3879" s="2" t="s">
        <v>3</v>
      </c>
    </row>
    <row r="3880" spans="1:9" x14ac:dyDescent="0.3">
      <c r="A3880" t="s">
        <v>58</v>
      </c>
      <c r="B3880" s="1">
        <v>45078</v>
      </c>
      <c r="C3880" s="2" t="s">
        <v>3</v>
      </c>
      <c r="D3880" s="2" t="s">
        <v>3</v>
      </c>
      <c r="E3880" s="2">
        <v>691</v>
      </c>
      <c r="F3880" s="2">
        <v>11</v>
      </c>
      <c r="G3880" s="2">
        <v>-1</v>
      </c>
      <c r="H3880" s="2" t="s">
        <v>3</v>
      </c>
      <c r="I3880" s="2" t="s">
        <v>3</v>
      </c>
    </row>
    <row r="3881" spans="1:9" x14ac:dyDescent="0.3">
      <c r="A3881" t="s">
        <v>58</v>
      </c>
      <c r="B3881" s="1">
        <v>45047</v>
      </c>
      <c r="C3881" s="2" t="s">
        <v>3</v>
      </c>
      <c r="D3881" s="2" t="s">
        <v>3</v>
      </c>
      <c r="E3881" s="2">
        <v>660</v>
      </c>
      <c r="F3881" s="2">
        <v>10</v>
      </c>
      <c r="G3881" s="2">
        <v>5</v>
      </c>
      <c r="H3881" s="2" t="s">
        <v>3</v>
      </c>
      <c r="I3881" s="2" t="s">
        <v>3</v>
      </c>
    </row>
    <row r="3882" spans="1:9" x14ac:dyDescent="0.3">
      <c r="A3882" t="s">
        <v>58</v>
      </c>
      <c r="B3882" s="1">
        <v>45017</v>
      </c>
      <c r="C3882" s="2" t="s">
        <v>3</v>
      </c>
      <c r="D3882" s="2" t="s">
        <v>3</v>
      </c>
      <c r="E3882" s="2">
        <v>652</v>
      </c>
      <c r="F3882" s="2">
        <v>13</v>
      </c>
      <c r="G3882" s="2">
        <v>3</v>
      </c>
      <c r="H3882" s="2" t="s">
        <v>3</v>
      </c>
      <c r="I3882" s="2" t="s">
        <v>3</v>
      </c>
    </row>
    <row r="3883" spans="1:9" x14ac:dyDescent="0.3">
      <c r="A3883" t="s">
        <v>58</v>
      </c>
      <c r="B3883" s="1">
        <v>44986</v>
      </c>
      <c r="C3883" s="2" t="s">
        <v>3</v>
      </c>
      <c r="D3883" s="2" t="s">
        <v>3</v>
      </c>
      <c r="E3883" s="2">
        <v>620</v>
      </c>
      <c r="F3883" s="2">
        <v>44</v>
      </c>
      <c r="G3883" s="2">
        <v>12</v>
      </c>
      <c r="H3883" s="2" t="s">
        <v>3</v>
      </c>
      <c r="I3883" s="2" t="s">
        <v>3</v>
      </c>
    </row>
    <row r="3884" spans="1:9" x14ac:dyDescent="0.3">
      <c r="A3884" t="s">
        <v>58</v>
      </c>
      <c r="B3884" s="1">
        <v>44958</v>
      </c>
      <c r="C3884" s="2" t="s">
        <v>3</v>
      </c>
      <c r="D3884" s="2" t="s">
        <v>3</v>
      </c>
      <c r="E3884" s="2">
        <v>559</v>
      </c>
      <c r="F3884" s="2">
        <v>18</v>
      </c>
      <c r="G3884" s="2">
        <v>-5</v>
      </c>
      <c r="H3884" s="2" t="s">
        <v>3</v>
      </c>
      <c r="I3884" s="2" t="s">
        <v>3</v>
      </c>
    </row>
    <row r="3885" spans="1:9" hidden="1" x14ac:dyDescent="0.3">
      <c r="A3885" t="s">
        <v>58</v>
      </c>
      <c r="B3885" s="1">
        <v>44927</v>
      </c>
      <c r="C3885" s="2" t="s">
        <v>3</v>
      </c>
      <c r="D3885" s="2" t="s">
        <v>3</v>
      </c>
      <c r="E3885" s="2">
        <v>545</v>
      </c>
      <c r="F3885" s="2" t="s">
        <v>3</v>
      </c>
      <c r="G3885" s="2" t="s">
        <v>3</v>
      </c>
      <c r="H3885" s="2" t="s">
        <v>3</v>
      </c>
      <c r="I3885" s="2" t="s">
        <v>3</v>
      </c>
    </row>
    <row r="3886" spans="1:9" hidden="1" x14ac:dyDescent="0.3">
      <c r="A3886" t="s">
        <v>58</v>
      </c>
      <c r="B3886" s="1">
        <v>44896</v>
      </c>
      <c r="C3886" s="2" t="s">
        <v>3</v>
      </c>
      <c r="D3886" s="2" t="s">
        <v>3</v>
      </c>
      <c r="E3886" s="2">
        <v>536</v>
      </c>
      <c r="F3886" s="2" t="s">
        <v>3</v>
      </c>
      <c r="G3886" s="2" t="s">
        <v>3</v>
      </c>
      <c r="H3886" s="2" t="s">
        <v>3</v>
      </c>
      <c r="I3886" s="2" t="s">
        <v>3</v>
      </c>
    </row>
    <row r="3887" spans="1:9" hidden="1" x14ac:dyDescent="0.3">
      <c r="A3887" t="s">
        <v>58</v>
      </c>
      <c r="B3887" s="1">
        <v>44866</v>
      </c>
      <c r="C3887" s="2" t="s">
        <v>3</v>
      </c>
      <c r="D3887" s="2" t="s">
        <v>3</v>
      </c>
      <c r="E3887" s="2">
        <v>502</v>
      </c>
      <c r="F3887" s="2" t="s">
        <v>3</v>
      </c>
      <c r="G3887" s="2" t="s">
        <v>3</v>
      </c>
      <c r="H3887" s="2" t="s">
        <v>3</v>
      </c>
      <c r="I3887" s="2" t="s">
        <v>3</v>
      </c>
    </row>
    <row r="3888" spans="1:9" hidden="1" x14ac:dyDescent="0.3">
      <c r="A3888" t="s">
        <v>58</v>
      </c>
      <c r="B3888" s="1">
        <v>44835</v>
      </c>
      <c r="C3888" s="2" t="s">
        <v>3</v>
      </c>
      <c r="D3888" s="2" t="s">
        <v>3</v>
      </c>
      <c r="E3888" s="2">
        <v>439</v>
      </c>
      <c r="F3888" s="2" t="s">
        <v>3</v>
      </c>
      <c r="G3888" s="2" t="s">
        <v>3</v>
      </c>
      <c r="H3888" s="2" t="s">
        <v>3</v>
      </c>
      <c r="I3888" s="2" t="s">
        <v>3</v>
      </c>
    </row>
    <row r="3889" spans="1:9" hidden="1" x14ac:dyDescent="0.3">
      <c r="A3889" t="s">
        <v>58</v>
      </c>
      <c r="B3889" s="1">
        <v>44805</v>
      </c>
      <c r="C3889" s="2" t="s">
        <v>3</v>
      </c>
      <c r="D3889" s="2" t="s">
        <v>3</v>
      </c>
      <c r="E3889" s="2">
        <v>394</v>
      </c>
      <c r="F3889" s="2" t="s">
        <v>3</v>
      </c>
      <c r="G3889" s="2" t="s">
        <v>3</v>
      </c>
      <c r="H3889" s="2" t="s">
        <v>3</v>
      </c>
      <c r="I3889" s="2" t="s">
        <v>3</v>
      </c>
    </row>
    <row r="3890" spans="1:9" hidden="1" x14ac:dyDescent="0.3">
      <c r="A3890" t="s">
        <v>58</v>
      </c>
      <c r="B3890" s="1">
        <v>44774</v>
      </c>
      <c r="C3890" s="2" t="s">
        <v>3</v>
      </c>
      <c r="D3890" s="2" t="s">
        <v>3</v>
      </c>
      <c r="E3890" s="2">
        <v>343</v>
      </c>
      <c r="F3890" s="2" t="s">
        <v>3</v>
      </c>
      <c r="G3890" s="2" t="s">
        <v>3</v>
      </c>
      <c r="H3890" s="2" t="s">
        <v>3</v>
      </c>
      <c r="I3890" s="2" t="s">
        <v>3</v>
      </c>
    </row>
    <row r="3891" spans="1:9" hidden="1" x14ac:dyDescent="0.3">
      <c r="A3891" t="s">
        <v>58</v>
      </c>
      <c r="B3891" s="1">
        <v>44743</v>
      </c>
      <c r="C3891" s="2" t="s">
        <v>3</v>
      </c>
      <c r="D3891" s="2" t="s">
        <v>3</v>
      </c>
      <c r="E3891" s="2">
        <v>286</v>
      </c>
      <c r="F3891" s="2" t="s">
        <v>3</v>
      </c>
      <c r="G3891" s="2" t="s">
        <v>3</v>
      </c>
      <c r="H3891" s="2" t="s">
        <v>3</v>
      </c>
      <c r="I3891" s="2" t="s">
        <v>3</v>
      </c>
    </row>
    <row r="3892" spans="1:9" hidden="1" x14ac:dyDescent="0.3">
      <c r="A3892" t="s">
        <v>58</v>
      </c>
      <c r="B3892" s="1">
        <v>44713</v>
      </c>
      <c r="C3892" s="2" t="s">
        <v>3</v>
      </c>
      <c r="D3892" s="2" t="s">
        <v>3</v>
      </c>
      <c r="E3892" s="2">
        <v>253</v>
      </c>
      <c r="F3892" s="2" t="s">
        <v>3</v>
      </c>
      <c r="G3892" s="2" t="s">
        <v>3</v>
      </c>
      <c r="H3892" s="2" t="s">
        <v>3</v>
      </c>
      <c r="I3892" s="2" t="s">
        <v>3</v>
      </c>
    </row>
    <row r="3893" spans="1:9" hidden="1" x14ac:dyDescent="0.3">
      <c r="A3893" t="s">
        <v>58</v>
      </c>
      <c r="B3893" s="1">
        <v>44682</v>
      </c>
      <c r="C3893" s="2" t="s">
        <v>3</v>
      </c>
      <c r="D3893" s="2" t="s">
        <v>3</v>
      </c>
      <c r="E3893" s="2">
        <v>228</v>
      </c>
      <c r="F3893" s="2" t="s">
        <v>3</v>
      </c>
      <c r="G3893" s="2" t="s">
        <v>3</v>
      </c>
      <c r="H3893" s="2" t="s">
        <v>3</v>
      </c>
      <c r="I3893" s="2" t="s">
        <v>3</v>
      </c>
    </row>
    <row r="3894" spans="1:9" hidden="1" x14ac:dyDescent="0.3">
      <c r="A3894" t="s">
        <v>58</v>
      </c>
      <c r="B3894" s="1">
        <v>44652</v>
      </c>
      <c r="C3894" s="2" t="s">
        <v>3</v>
      </c>
      <c r="D3894" s="2" t="s">
        <v>3</v>
      </c>
      <c r="E3894" s="2">
        <v>213</v>
      </c>
      <c r="F3894" s="2" t="s">
        <v>3</v>
      </c>
      <c r="G3894" s="2" t="s">
        <v>3</v>
      </c>
      <c r="H3894" s="2" t="s">
        <v>3</v>
      </c>
      <c r="I3894" s="2" t="s">
        <v>3</v>
      </c>
    </row>
    <row r="3895" spans="1:9" hidden="1" x14ac:dyDescent="0.3">
      <c r="A3895" t="s">
        <v>58</v>
      </c>
      <c r="B3895" s="1">
        <v>44621</v>
      </c>
      <c r="C3895" s="2" t="s">
        <v>3</v>
      </c>
      <c r="D3895" s="2" t="s">
        <v>3</v>
      </c>
      <c r="E3895" s="2">
        <v>206</v>
      </c>
      <c r="F3895" s="2" t="s">
        <v>3</v>
      </c>
      <c r="G3895" s="2" t="s">
        <v>3</v>
      </c>
      <c r="H3895" s="2" t="s">
        <v>3</v>
      </c>
      <c r="I3895" s="2" t="s">
        <v>3</v>
      </c>
    </row>
    <row r="3896" spans="1:9" hidden="1" x14ac:dyDescent="0.3">
      <c r="A3896" t="s">
        <v>58</v>
      </c>
      <c r="B3896" s="1">
        <v>44593</v>
      </c>
      <c r="C3896" s="2" t="s">
        <v>3</v>
      </c>
      <c r="D3896" s="2" t="s">
        <v>3</v>
      </c>
      <c r="E3896" s="2">
        <v>191</v>
      </c>
      <c r="F3896" s="2" t="s">
        <v>3</v>
      </c>
      <c r="G3896" s="2" t="s">
        <v>3</v>
      </c>
      <c r="H3896" s="2" t="s">
        <v>3</v>
      </c>
      <c r="I3896" s="2" t="s">
        <v>3</v>
      </c>
    </row>
    <row r="3897" spans="1:9" hidden="1" x14ac:dyDescent="0.3">
      <c r="A3897" t="s">
        <v>58</v>
      </c>
      <c r="B3897" s="1">
        <v>44562</v>
      </c>
      <c r="C3897" s="2" t="s">
        <v>3</v>
      </c>
      <c r="D3897" s="2" t="s">
        <v>3</v>
      </c>
      <c r="E3897" s="2">
        <v>197</v>
      </c>
      <c r="F3897" s="2" t="s">
        <v>3</v>
      </c>
      <c r="G3897" s="2" t="s">
        <v>3</v>
      </c>
      <c r="H3897" s="2" t="s">
        <v>3</v>
      </c>
      <c r="I3897" s="2" t="s">
        <v>3</v>
      </c>
    </row>
    <row r="3898" spans="1:9" hidden="1" x14ac:dyDescent="0.3">
      <c r="A3898" t="s">
        <v>58</v>
      </c>
      <c r="B3898" s="1">
        <v>44531</v>
      </c>
      <c r="C3898" s="2" t="s">
        <v>3</v>
      </c>
      <c r="D3898" s="2" t="s">
        <v>3</v>
      </c>
      <c r="E3898" s="2">
        <v>203</v>
      </c>
      <c r="F3898" s="2" t="s">
        <v>3</v>
      </c>
      <c r="G3898" s="2" t="s">
        <v>3</v>
      </c>
      <c r="H3898" s="2" t="s">
        <v>3</v>
      </c>
      <c r="I3898" s="2" t="s">
        <v>3</v>
      </c>
    </row>
    <row r="3899" spans="1:9" hidden="1" x14ac:dyDescent="0.3">
      <c r="A3899" t="s">
        <v>58</v>
      </c>
      <c r="B3899" s="1">
        <v>44501</v>
      </c>
      <c r="C3899" s="2" t="s">
        <v>3</v>
      </c>
      <c r="D3899" s="2" t="s">
        <v>3</v>
      </c>
      <c r="E3899" s="2">
        <v>207</v>
      </c>
      <c r="F3899" s="2" t="s">
        <v>3</v>
      </c>
      <c r="G3899" s="2" t="s">
        <v>3</v>
      </c>
      <c r="H3899" s="2" t="s">
        <v>3</v>
      </c>
      <c r="I3899" s="2" t="s">
        <v>3</v>
      </c>
    </row>
    <row r="3900" spans="1:9" hidden="1" x14ac:dyDescent="0.3">
      <c r="A3900" t="s">
        <v>58</v>
      </c>
      <c r="B3900" s="1">
        <v>44470</v>
      </c>
      <c r="C3900" s="2" t="s">
        <v>3</v>
      </c>
      <c r="D3900" s="2" t="s">
        <v>3</v>
      </c>
      <c r="E3900" s="2">
        <v>73</v>
      </c>
      <c r="F3900" s="2" t="s">
        <v>3</v>
      </c>
      <c r="G3900" s="2" t="s">
        <v>3</v>
      </c>
      <c r="H3900" s="2" t="s">
        <v>3</v>
      </c>
      <c r="I3900" s="2" t="s">
        <v>3</v>
      </c>
    </row>
    <row r="3901" spans="1:9" hidden="1" x14ac:dyDescent="0.3">
      <c r="A3901" t="s">
        <v>58</v>
      </c>
      <c r="B3901" s="1">
        <v>44440</v>
      </c>
      <c r="C3901" s="2" t="s">
        <v>3</v>
      </c>
      <c r="D3901" s="2" t="s">
        <v>3</v>
      </c>
      <c r="E3901" s="2">
        <v>63</v>
      </c>
      <c r="F3901" s="2" t="s">
        <v>3</v>
      </c>
      <c r="G3901" s="2" t="s">
        <v>3</v>
      </c>
      <c r="H3901" s="2" t="s">
        <v>3</v>
      </c>
      <c r="I3901" s="2" t="s">
        <v>3</v>
      </c>
    </row>
    <row r="3902" spans="1:9" hidden="1" x14ac:dyDescent="0.3">
      <c r="A3902" t="s">
        <v>58</v>
      </c>
      <c r="B3902" s="1">
        <v>44409</v>
      </c>
      <c r="C3902" s="2" t="s">
        <v>3</v>
      </c>
      <c r="D3902" s="2" t="s">
        <v>3</v>
      </c>
      <c r="E3902" s="2">
        <v>71</v>
      </c>
      <c r="F3902" s="2" t="s">
        <v>3</v>
      </c>
      <c r="G3902" s="2" t="s">
        <v>3</v>
      </c>
      <c r="H3902" s="2" t="s">
        <v>3</v>
      </c>
      <c r="I3902" s="2" t="s">
        <v>3</v>
      </c>
    </row>
    <row r="3903" spans="1:9" hidden="1" x14ac:dyDescent="0.3">
      <c r="A3903" t="s">
        <v>58</v>
      </c>
      <c r="B3903" s="1">
        <v>44378</v>
      </c>
      <c r="C3903" s="2" t="s">
        <v>3</v>
      </c>
      <c r="D3903" s="2" t="s">
        <v>3</v>
      </c>
      <c r="E3903" s="2">
        <v>92</v>
      </c>
      <c r="F3903" s="2" t="s">
        <v>3</v>
      </c>
      <c r="G3903" s="2" t="s">
        <v>3</v>
      </c>
      <c r="H3903" s="2" t="s">
        <v>3</v>
      </c>
      <c r="I3903" s="2" t="s">
        <v>3</v>
      </c>
    </row>
    <row r="3904" spans="1:9" hidden="1" x14ac:dyDescent="0.3">
      <c r="A3904" t="s">
        <v>58</v>
      </c>
      <c r="B3904" s="1">
        <v>44348</v>
      </c>
      <c r="C3904" s="2" t="s">
        <v>3</v>
      </c>
      <c r="D3904" s="2" t="s">
        <v>3</v>
      </c>
      <c r="E3904" s="2">
        <v>226</v>
      </c>
      <c r="F3904" s="2" t="s">
        <v>3</v>
      </c>
      <c r="G3904" s="2" t="s">
        <v>3</v>
      </c>
      <c r="H3904" s="2" t="s">
        <v>3</v>
      </c>
      <c r="I3904" s="2" t="s">
        <v>3</v>
      </c>
    </row>
    <row r="3905" spans="1:9" hidden="1" x14ac:dyDescent="0.3">
      <c r="A3905" t="s">
        <v>58</v>
      </c>
      <c r="B3905" s="1">
        <v>44317</v>
      </c>
      <c r="C3905" s="2" t="s">
        <v>3</v>
      </c>
      <c r="D3905" s="2" t="s">
        <v>3</v>
      </c>
      <c r="E3905" s="2">
        <v>225</v>
      </c>
      <c r="F3905" s="2" t="s">
        <v>3</v>
      </c>
      <c r="G3905" s="2" t="s">
        <v>3</v>
      </c>
      <c r="H3905" s="2" t="s">
        <v>3</v>
      </c>
      <c r="I3905" s="2" t="s">
        <v>3</v>
      </c>
    </row>
    <row r="3906" spans="1:9" hidden="1" x14ac:dyDescent="0.3">
      <c r="A3906" t="s">
        <v>58</v>
      </c>
      <c r="B3906" s="1">
        <v>44287</v>
      </c>
      <c r="C3906" s="2" t="s">
        <v>3</v>
      </c>
      <c r="D3906" s="2" t="s">
        <v>3</v>
      </c>
      <c r="E3906" s="2">
        <v>226</v>
      </c>
      <c r="F3906" s="2" t="s">
        <v>3</v>
      </c>
      <c r="G3906" s="2" t="s">
        <v>3</v>
      </c>
      <c r="H3906" s="2" t="s">
        <v>3</v>
      </c>
      <c r="I3906" s="2" t="s">
        <v>3</v>
      </c>
    </row>
    <row r="3907" spans="1:9" hidden="1" x14ac:dyDescent="0.3">
      <c r="A3907" t="s">
        <v>58</v>
      </c>
      <c r="B3907" s="1">
        <v>44256</v>
      </c>
      <c r="C3907" s="2" t="s">
        <v>3</v>
      </c>
      <c r="D3907" s="2" t="s">
        <v>3</v>
      </c>
      <c r="E3907" s="2">
        <v>236</v>
      </c>
      <c r="F3907" s="2" t="s">
        <v>3</v>
      </c>
      <c r="G3907" s="2" t="s">
        <v>3</v>
      </c>
      <c r="H3907" s="2" t="s">
        <v>3</v>
      </c>
      <c r="I3907" s="2" t="s">
        <v>3</v>
      </c>
    </row>
    <row r="3908" spans="1:9" hidden="1" x14ac:dyDescent="0.3">
      <c r="A3908" t="s">
        <v>58</v>
      </c>
      <c r="B3908" s="1">
        <v>44228</v>
      </c>
      <c r="C3908" s="2" t="s">
        <v>3</v>
      </c>
      <c r="D3908" s="2" t="s">
        <v>3</v>
      </c>
      <c r="E3908" s="2">
        <v>234</v>
      </c>
      <c r="F3908" s="2" t="s">
        <v>3</v>
      </c>
      <c r="G3908" s="2" t="s">
        <v>3</v>
      </c>
      <c r="H3908" s="2" t="s">
        <v>3</v>
      </c>
      <c r="I3908" s="2" t="s">
        <v>3</v>
      </c>
    </row>
    <row r="3909" spans="1:9" hidden="1" x14ac:dyDescent="0.3">
      <c r="A3909" t="s">
        <v>58</v>
      </c>
      <c r="B3909" s="1">
        <v>44197</v>
      </c>
      <c r="C3909" s="2" t="s">
        <v>3</v>
      </c>
      <c r="D3909" s="2" t="s">
        <v>3</v>
      </c>
      <c r="E3909" s="2">
        <v>241</v>
      </c>
      <c r="F3909" s="2" t="s">
        <v>3</v>
      </c>
      <c r="G3909" s="2" t="s">
        <v>3</v>
      </c>
      <c r="H3909" s="2" t="s">
        <v>3</v>
      </c>
      <c r="I3909" s="2" t="s">
        <v>3</v>
      </c>
    </row>
    <row r="3910" spans="1:9" hidden="1" x14ac:dyDescent="0.3">
      <c r="A3910" t="s">
        <v>58</v>
      </c>
      <c r="B3910" s="1">
        <v>44166</v>
      </c>
      <c r="C3910" s="2" t="s">
        <v>3</v>
      </c>
      <c r="D3910" s="2" t="s">
        <v>3</v>
      </c>
      <c r="E3910" s="2">
        <v>237</v>
      </c>
      <c r="F3910" s="2" t="s">
        <v>3</v>
      </c>
      <c r="G3910" s="2" t="s">
        <v>3</v>
      </c>
      <c r="H3910" s="2" t="s">
        <v>3</v>
      </c>
      <c r="I3910" s="2" t="s">
        <v>3</v>
      </c>
    </row>
    <row r="3911" spans="1:9" hidden="1" x14ac:dyDescent="0.3">
      <c r="A3911" t="s">
        <v>58</v>
      </c>
      <c r="B3911" s="1">
        <v>44136</v>
      </c>
      <c r="C3911" s="2" t="s">
        <v>3</v>
      </c>
      <c r="D3911" s="2" t="s">
        <v>3</v>
      </c>
      <c r="E3911" s="2">
        <v>240</v>
      </c>
      <c r="F3911" s="2" t="s">
        <v>3</v>
      </c>
      <c r="G3911" s="2" t="s">
        <v>3</v>
      </c>
      <c r="H3911" s="2" t="s">
        <v>3</v>
      </c>
      <c r="I3911" s="2" t="s">
        <v>3</v>
      </c>
    </row>
    <row r="3912" spans="1:9" hidden="1" x14ac:dyDescent="0.3">
      <c r="A3912" t="s">
        <v>58</v>
      </c>
      <c r="B3912" s="1">
        <v>44105</v>
      </c>
      <c r="C3912" s="2" t="s">
        <v>3</v>
      </c>
      <c r="D3912" s="2" t="s">
        <v>3</v>
      </c>
      <c r="E3912" s="2">
        <v>255</v>
      </c>
      <c r="F3912" s="2" t="s">
        <v>3</v>
      </c>
      <c r="G3912" s="2" t="s">
        <v>3</v>
      </c>
      <c r="H3912" s="2" t="s">
        <v>3</v>
      </c>
      <c r="I3912" s="2" t="s">
        <v>3</v>
      </c>
    </row>
    <row r="3913" spans="1:9" hidden="1" x14ac:dyDescent="0.3">
      <c r="A3913" t="s">
        <v>58</v>
      </c>
      <c r="B3913" s="1">
        <v>44075</v>
      </c>
      <c r="C3913" s="2" t="s">
        <v>3</v>
      </c>
      <c r="D3913" s="2" t="s">
        <v>3</v>
      </c>
      <c r="E3913" s="2">
        <v>253</v>
      </c>
      <c r="F3913" s="2" t="s">
        <v>3</v>
      </c>
      <c r="G3913" s="2" t="s">
        <v>3</v>
      </c>
      <c r="H3913" s="2" t="s">
        <v>3</v>
      </c>
      <c r="I3913" s="2" t="s">
        <v>3</v>
      </c>
    </row>
    <row r="3914" spans="1:9" hidden="1" x14ac:dyDescent="0.3">
      <c r="A3914" t="s">
        <v>58</v>
      </c>
      <c r="B3914" s="1">
        <v>44044</v>
      </c>
      <c r="C3914" s="2" t="s">
        <v>3</v>
      </c>
      <c r="D3914" s="2" t="s">
        <v>3</v>
      </c>
      <c r="E3914" s="2">
        <v>250</v>
      </c>
      <c r="F3914" s="2" t="s">
        <v>3</v>
      </c>
      <c r="G3914" s="2" t="s">
        <v>3</v>
      </c>
      <c r="H3914" s="2" t="s">
        <v>3</v>
      </c>
      <c r="I3914" s="2" t="s">
        <v>3</v>
      </c>
    </row>
    <row r="3915" spans="1:9" hidden="1" x14ac:dyDescent="0.3">
      <c r="A3915" t="s">
        <v>58</v>
      </c>
      <c r="B3915" s="1">
        <v>44013</v>
      </c>
      <c r="C3915" s="2" t="s">
        <v>3</v>
      </c>
      <c r="D3915" s="2" t="s">
        <v>3</v>
      </c>
      <c r="E3915" s="2">
        <v>235</v>
      </c>
      <c r="F3915" s="2" t="s">
        <v>3</v>
      </c>
      <c r="G3915" s="2" t="s">
        <v>3</v>
      </c>
      <c r="H3915" s="2" t="s">
        <v>3</v>
      </c>
      <c r="I3915" s="2" t="s">
        <v>3</v>
      </c>
    </row>
    <row r="3916" spans="1:9" hidden="1" x14ac:dyDescent="0.3">
      <c r="A3916" t="s">
        <v>58</v>
      </c>
      <c r="B3916" s="1">
        <v>43983</v>
      </c>
      <c r="C3916" s="2" t="s">
        <v>3</v>
      </c>
      <c r="D3916" s="2" t="s">
        <v>3</v>
      </c>
      <c r="E3916" s="2">
        <v>259</v>
      </c>
      <c r="F3916" s="2" t="s">
        <v>3</v>
      </c>
      <c r="G3916" s="2" t="s">
        <v>3</v>
      </c>
      <c r="H3916" s="2" t="s">
        <v>3</v>
      </c>
      <c r="I3916" s="2" t="s">
        <v>3</v>
      </c>
    </row>
    <row r="3917" spans="1:9" hidden="1" x14ac:dyDescent="0.3">
      <c r="A3917" t="s">
        <v>58</v>
      </c>
      <c r="B3917" s="1">
        <v>43952</v>
      </c>
      <c r="C3917" s="2" t="s">
        <v>3</v>
      </c>
      <c r="D3917" s="2" t="s">
        <v>3</v>
      </c>
      <c r="E3917" s="2">
        <v>263</v>
      </c>
      <c r="F3917" s="2" t="s">
        <v>3</v>
      </c>
      <c r="G3917" s="2" t="s">
        <v>3</v>
      </c>
      <c r="H3917" s="2" t="s">
        <v>3</v>
      </c>
      <c r="I3917" s="2" t="s">
        <v>3</v>
      </c>
    </row>
    <row r="3918" spans="1:9" hidden="1" x14ac:dyDescent="0.3">
      <c r="A3918" t="s">
        <v>58</v>
      </c>
      <c r="B3918" s="1">
        <v>43922</v>
      </c>
      <c r="C3918" s="2" t="s">
        <v>3</v>
      </c>
      <c r="D3918" s="2" t="s">
        <v>3</v>
      </c>
      <c r="E3918" s="2">
        <v>285</v>
      </c>
      <c r="F3918" s="2" t="s">
        <v>3</v>
      </c>
      <c r="G3918" s="2" t="s">
        <v>3</v>
      </c>
      <c r="H3918" s="2" t="s">
        <v>3</v>
      </c>
      <c r="I3918" s="2" t="s">
        <v>3</v>
      </c>
    </row>
    <row r="3919" spans="1:9" hidden="1" x14ac:dyDescent="0.3">
      <c r="A3919" t="s">
        <v>58</v>
      </c>
      <c r="B3919" s="1">
        <v>43891</v>
      </c>
      <c r="C3919" s="2" t="s">
        <v>3</v>
      </c>
      <c r="D3919" s="2" t="s">
        <v>3</v>
      </c>
      <c r="E3919" s="2">
        <v>282</v>
      </c>
      <c r="F3919" s="2" t="s">
        <v>3</v>
      </c>
      <c r="G3919" s="2" t="s">
        <v>3</v>
      </c>
      <c r="H3919" s="2" t="s">
        <v>3</v>
      </c>
      <c r="I3919" s="2" t="s">
        <v>3</v>
      </c>
    </row>
    <row r="3920" spans="1:9" hidden="1" x14ac:dyDescent="0.3">
      <c r="A3920" t="s">
        <v>58</v>
      </c>
      <c r="B3920" s="1">
        <v>43862</v>
      </c>
      <c r="C3920" s="2" t="s">
        <v>3</v>
      </c>
      <c r="D3920" s="2" t="s">
        <v>3</v>
      </c>
      <c r="E3920" s="2">
        <v>290</v>
      </c>
      <c r="F3920" s="2" t="s">
        <v>3</v>
      </c>
      <c r="G3920" s="2" t="s">
        <v>3</v>
      </c>
      <c r="H3920" s="2" t="s">
        <v>3</v>
      </c>
      <c r="I3920" s="2" t="s">
        <v>3</v>
      </c>
    </row>
    <row r="3921" spans="1:9" hidden="1" x14ac:dyDescent="0.3">
      <c r="A3921" t="s">
        <v>58</v>
      </c>
      <c r="B3921" s="1">
        <v>43831</v>
      </c>
      <c r="C3921" s="2" t="s">
        <v>3</v>
      </c>
      <c r="D3921" s="2" t="s">
        <v>3</v>
      </c>
      <c r="E3921" s="2">
        <v>294</v>
      </c>
      <c r="F3921" s="2" t="s">
        <v>3</v>
      </c>
      <c r="G3921" s="2" t="s">
        <v>3</v>
      </c>
      <c r="H3921" s="2" t="s">
        <v>3</v>
      </c>
      <c r="I3921" s="2" t="s">
        <v>3</v>
      </c>
    </row>
    <row r="3922" spans="1:9" x14ac:dyDescent="0.3">
      <c r="A3922" t="s">
        <v>59</v>
      </c>
      <c r="B3922" s="1">
        <v>45931</v>
      </c>
      <c r="C3922" s="2">
        <v>657715</v>
      </c>
      <c r="D3922" s="2">
        <v>-10080</v>
      </c>
      <c r="E3922" s="2">
        <v>402901</v>
      </c>
      <c r="F3922" s="2">
        <v>-19445</v>
      </c>
      <c r="G3922" s="2">
        <v>-238</v>
      </c>
      <c r="H3922" s="2">
        <v>254814</v>
      </c>
      <c r="I3922" s="2">
        <v>9365</v>
      </c>
    </row>
    <row r="3923" spans="1:9" x14ac:dyDescent="0.3">
      <c r="A3923" t="s">
        <v>59</v>
      </c>
      <c r="B3923" s="1">
        <v>45901</v>
      </c>
      <c r="C3923" s="2">
        <v>661821</v>
      </c>
      <c r="D3923" s="2">
        <v>27390</v>
      </c>
      <c r="E3923" s="2">
        <v>416372</v>
      </c>
      <c r="F3923" s="2">
        <v>22656</v>
      </c>
      <c r="G3923" s="2">
        <v>290</v>
      </c>
      <c r="H3923" s="2">
        <v>245449</v>
      </c>
      <c r="I3923" s="2">
        <v>4734</v>
      </c>
    </row>
    <row r="3924" spans="1:9" x14ac:dyDescent="0.3">
      <c r="A3924" t="s">
        <v>59</v>
      </c>
      <c r="B3924" s="1">
        <v>45870</v>
      </c>
      <c r="C3924" s="2">
        <v>637829</v>
      </c>
      <c r="D3924" s="2">
        <v>-29694</v>
      </c>
      <c r="E3924" s="2">
        <v>397114</v>
      </c>
      <c r="F3924" s="2">
        <v>-27203</v>
      </c>
      <c r="G3924" s="2">
        <v>3043</v>
      </c>
      <c r="H3924" s="2">
        <v>240715</v>
      </c>
      <c r="I3924" s="2">
        <v>-2491</v>
      </c>
    </row>
    <row r="3925" spans="1:9" x14ac:dyDescent="0.3">
      <c r="A3925" t="s">
        <v>59</v>
      </c>
      <c r="B3925" s="1">
        <v>45839</v>
      </c>
      <c r="C3925" s="2">
        <v>662374</v>
      </c>
      <c r="D3925" s="2">
        <v>-6177</v>
      </c>
      <c r="E3925" s="2">
        <v>419168</v>
      </c>
      <c r="F3925" s="2">
        <v>-5922</v>
      </c>
      <c r="G3925" s="2">
        <v>-5539</v>
      </c>
      <c r="H3925" s="2">
        <v>243206</v>
      </c>
      <c r="I3925" s="2">
        <v>-255</v>
      </c>
    </row>
    <row r="3926" spans="1:9" x14ac:dyDescent="0.3">
      <c r="A3926" t="s">
        <v>59</v>
      </c>
      <c r="B3926" s="1">
        <v>45809</v>
      </c>
      <c r="C3926" s="2">
        <v>666408</v>
      </c>
      <c r="D3926" s="2">
        <v>-556</v>
      </c>
      <c r="E3926" s="2">
        <v>422947</v>
      </c>
      <c r="F3926" s="2">
        <v>2126</v>
      </c>
      <c r="G3926" s="2">
        <v>1321</v>
      </c>
      <c r="H3926" s="2">
        <v>243461</v>
      </c>
      <c r="I3926" s="2">
        <v>-2682</v>
      </c>
    </row>
    <row r="3927" spans="1:9" x14ac:dyDescent="0.3">
      <c r="A3927" t="s">
        <v>59</v>
      </c>
      <c r="B3927" s="1">
        <v>45778</v>
      </c>
      <c r="C3927" s="2">
        <v>664688</v>
      </c>
      <c r="D3927" s="2">
        <v>2150</v>
      </c>
      <c r="E3927" s="2">
        <v>418545</v>
      </c>
      <c r="F3927" s="2">
        <v>-5596</v>
      </c>
      <c r="G3927" s="2">
        <v>-10020</v>
      </c>
      <c r="H3927" s="2">
        <v>246143</v>
      </c>
      <c r="I3927" s="2">
        <v>7746</v>
      </c>
    </row>
    <row r="3928" spans="1:9" x14ac:dyDescent="0.3">
      <c r="A3928" t="s">
        <v>59</v>
      </c>
      <c r="B3928" s="1">
        <v>45748</v>
      </c>
      <c r="C3928" s="2">
        <v>673617</v>
      </c>
      <c r="D3928" s="2">
        <v>8143</v>
      </c>
      <c r="E3928" s="2">
        <v>435220</v>
      </c>
      <c r="F3928" s="2">
        <v>1164</v>
      </c>
      <c r="G3928" s="2">
        <v>1040</v>
      </c>
      <c r="H3928" s="2">
        <v>238397</v>
      </c>
      <c r="I3928" s="2">
        <v>6979</v>
      </c>
    </row>
    <row r="3929" spans="1:9" x14ac:dyDescent="0.3">
      <c r="A3929" t="s">
        <v>59</v>
      </c>
      <c r="B3929" s="1">
        <v>45717</v>
      </c>
      <c r="C3929" s="2">
        <v>676123</v>
      </c>
      <c r="D3929" s="2">
        <v>-45754</v>
      </c>
      <c r="E3929" s="2">
        <v>444705</v>
      </c>
      <c r="F3929" s="2">
        <v>29221</v>
      </c>
      <c r="G3929" s="2">
        <v>-88</v>
      </c>
      <c r="H3929" s="2">
        <v>231418</v>
      </c>
      <c r="I3929" s="2">
        <v>-74975</v>
      </c>
    </row>
    <row r="3930" spans="1:9" x14ac:dyDescent="0.3">
      <c r="A3930" t="s">
        <v>59</v>
      </c>
      <c r="B3930" s="1">
        <v>45689</v>
      </c>
      <c r="C3930" s="2">
        <v>713115</v>
      </c>
      <c r="D3930" s="2">
        <v>10498</v>
      </c>
      <c r="E3930" s="2">
        <v>406722</v>
      </c>
      <c r="F3930" s="2">
        <v>15890</v>
      </c>
      <c r="G3930" s="2">
        <v>8366</v>
      </c>
      <c r="H3930" s="2">
        <v>306393</v>
      </c>
      <c r="I3930" s="2">
        <v>-5392</v>
      </c>
    </row>
    <row r="3931" spans="1:9" x14ac:dyDescent="0.3">
      <c r="A3931" t="s">
        <v>59</v>
      </c>
      <c r="B3931" s="1">
        <v>45658</v>
      </c>
      <c r="C3931" s="2">
        <v>696169</v>
      </c>
      <c r="D3931" s="2">
        <v>711</v>
      </c>
      <c r="E3931" s="2">
        <v>384384</v>
      </c>
      <c r="F3931" s="2">
        <v>2885</v>
      </c>
      <c r="G3931" s="2">
        <v>-1604</v>
      </c>
      <c r="H3931" s="2">
        <v>311785</v>
      </c>
      <c r="I3931" s="2">
        <v>-2174</v>
      </c>
    </row>
    <row r="3932" spans="1:9" x14ac:dyDescent="0.3">
      <c r="A3932" t="s">
        <v>59</v>
      </c>
      <c r="B3932" s="1">
        <v>45627</v>
      </c>
      <c r="C3932" s="2">
        <v>707704</v>
      </c>
      <c r="D3932" s="2">
        <v>20914</v>
      </c>
      <c r="E3932" s="2">
        <v>393745</v>
      </c>
      <c r="F3932" s="2">
        <v>-1193</v>
      </c>
      <c r="G3932" s="2">
        <v>-2952</v>
      </c>
      <c r="H3932" s="2">
        <v>313959</v>
      </c>
      <c r="I3932" s="2">
        <v>22107</v>
      </c>
    </row>
    <row r="3933" spans="1:9" x14ac:dyDescent="0.3">
      <c r="A3933" t="s">
        <v>59</v>
      </c>
      <c r="B3933" s="1">
        <v>45597</v>
      </c>
      <c r="C3933" s="2">
        <v>681353</v>
      </c>
      <c r="D3933" s="2">
        <v>-21874</v>
      </c>
      <c r="E3933" s="2">
        <v>389501</v>
      </c>
      <c r="F3933" s="2">
        <v>-20239</v>
      </c>
      <c r="G3933" s="2">
        <v>-173</v>
      </c>
      <c r="H3933" s="2">
        <v>291852</v>
      </c>
      <c r="I3933" s="2">
        <v>-1635</v>
      </c>
    </row>
    <row r="3934" spans="1:9" x14ac:dyDescent="0.3">
      <c r="A3934" t="s">
        <v>59</v>
      </c>
      <c r="B3934" s="1">
        <v>45566</v>
      </c>
      <c r="C3934" s="2">
        <v>694498</v>
      </c>
      <c r="D3934" s="2">
        <v>8717</v>
      </c>
      <c r="E3934" s="2">
        <v>401011</v>
      </c>
      <c r="F3934" s="2">
        <v>3602</v>
      </c>
      <c r="G3934" s="2">
        <v>-5440</v>
      </c>
      <c r="H3934" s="2">
        <v>293487</v>
      </c>
      <c r="I3934" s="2">
        <v>5115</v>
      </c>
    </row>
    <row r="3935" spans="1:9" x14ac:dyDescent="0.3">
      <c r="A3935" t="s">
        <v>59</v>
      </c>
      <c r="B3935" s="1">
        <v>45536</v>
      </c>
      <c r="C3935" s="2">
        <v>698526</v>
      </c>
      <c r="D3935" s="2">
        <v>11940</v>
      </c>
      <c r="E3935" s="2">
        <v>410154</v>
      </c>
      <c r="F3935" s="2">
        <v>25288</v>
      </c>
      <c r="G3935" s="2">
        <v>2478</v>
      </c>
      <c r="H3935" s="2">
        <v>288372</v>
      </c>
      <c r="I3935" s="2">
        <v>-13348</v>
      </c>
    </row>
    <row r="3936" spans="1:9" x14ac:dyDescent="0.3">
      <c r="A3936" t="s">
        <v>59</v>
      </c>
      <c r="B3936" s="1">
        <v>45505</v>
      </c>
      <c r="C3936" s="2">
        <v>702183</v>
      </c>
      <c r="D3936" s="2">
        <v>30956</v>
      </c>
      <c r="E3936" s="2">
        <v>400463</v>
      </c>
      <c r="F3936" s="2">
        <v>20983</v>
      </c>
      <c r="G3936" s="2">
        <v>2725</v>
      </c>
      <c r="H3936" s="2">
        <v>301720</v>
      </c>
      <c r="I3936" s="2">
        <v>9973</v>
      </c>
    </row>
    <row r="3937" spans="1:9" x14ac:dyDescent="0.3">
      <c r="A3937" t="s">
        <v>59</v>
      </c>
      <c r="B3937" s="1">
        <v>45474</v>
      </c>
      <c r="C3937" s="2">
        <v>647645</v>
      </c>
      <c r="D3937" s="2">
        <v>51262</v>
      </c>
      <c r="E3937" s="2">
        <v>355898</v>
      </c>
      <c r="F3937" s="2">
        <v>55979</v>
      </c>
      <c r="G3937" s="2">
        <v>3856</v>
      </c>
      <c r="H3937" s="2">
        <v>291747</v>
      </c>
      <c r="I3937" s="2">
        <v>-4717</v>
      </c>
    </row>
    <row r="3938" spans="1:9" x14ac:dyDescent="0.3">
      <c r="A3938" t="s">
        <v>59</v>
      </c>
      <c r="B3938" s="1">
        <v>45444</v>
      </c>
      <c r="C3938" s="2">
        <v>596750</v>
      </c>
      <c r="D3938" s="2">
        <v>70514</v>
      </c>
      <c r="E3938" s="2">
        <v>300286</v>
      </c>
      <c r="F3938" s="2">
        <v>-8202</v>
      </c>
      <c r="G3938" s="2">
        <v>2631</v>
      </c>
      <c r="H3938" s="2">
        <v>296464</v>
      </c>
      <c r="I3938" s="2">
        <v>78716</v>
      </c>
    </row>
    <row r="3939" spans="1:9" x14ac:dyDescent="0.3">
      <c r="A3939" t="s">
        <v>59</v>
      </c>
      <c r="B3939" s="1">
        <v>45413</v>
      </c>
      <c r="C3939" s="2">
        <v>529163</v>
      </c>
      <c r="D3939" s="2">
        <v>8032</v>
      </c>
      <c r="E3939" s="2">
        <v>311415</v>
      </c>
      <c r="F3939" s="2">
        <v>5578</v>
      </c>
      <c r="G3939" s="2">
        <v>2372</v>
      </c>
      <c r="H3939" s="2">
        <v>217748</v>
      </c>
      <c r="I3939" s="2">
        <v>2454</v>
      </c>
    </row>
    <row r="3940" spans="1:9" x14ac:dyDescent="0.3">
      <c r="A3940" t="s">
        <v>59</v>
      </c>
      <c r="B3940" s="1">
        <v>45383</v>
      </c>
      <c r="C3940" s="2">
        <v>514625</v>
      </c>
      <c r="D3940" s="2">
        <v>24151</v>
      </c>
      <c r="E3940" s="2">
        <v>299331</v>
      </c>
      <c r="F3940" s="2">
        <v>19685</v>
      </c>
      <c r="G3940" s="2">
        <v>-6559</v>
      </c>
      <c r="H3940" s="2">
        <v>215294</v>
      </c>
      <c r="I3940" s="2">
        <v>4466</v>
      </c>
    </row>
    <row r="3941" spans="1:9" x14ac:dyDescent="0.3">
      <c r="A3941" t="s">
        <v>59</v>
      </c>
      <c r="B3941" s="1">
        <v>45352</v>
      </c>
      <c r="C3941" s="2">
        <v>502066</v>
      </c>
      <c r="D3941" s="2">
        <v>-5740</v>
      </c>
      <c r="E3941" s="2">
        <v>291238</v>
      </c>
      <c r="F3941" s="2">
        <v>-5833</v>
      </c>
      <c r="G3941" s="2">
        <v>2755</v>
      </c>
      <c r="H3941" s="2">
        <v>210828</v>
      </c>
      <c r="I3941" s="2">
        <v>93</v>
      </c>
    </row>
    <row r="3942" spans="1:9" x14ac:dyDescent="0.3">
      <c r="A3942" t="s">
        <v>59</v>
      </c>
      <c r="B3942" s="1">
        <v>45323</v>
      </c>
      <c r="C3942" s="2">
        <v>495807</v>
      </c>
      <c r="D3942" s="2">
        <v>-14647</v>
      </c>
      <c r="E3942" s="2">
        <v>285072</v>
      </c>
      <c r="F3942" s="2">
        <v>-16200</v>
      </c>
      <c r="G3942" s="2">
        <v>-4443</v>
      </c>
      <c r="H3942" s="2">
        <v>210735</v>
      </c>
      <c r="I3942" s="2">
        <v>1553</v>
      </c>
    </row>
    <row r="3943" spans="1:9" x14ac:dyDescent="0.3">
      <c r="A3943" t="s">
        <v>59</v>
      </c>
      <c r="B3943" s="1">
        <v>45292</v>
      </c>
      <c r="C3943" s="2">
        <v>512785</v>
      </c>
      <c r="D3943" s="2">
        <v>13602</v>
      </c>
      <c r="E3943" s="2">
        <v>303603</v>
      </c>
      <c r="F3943" s="2">
        <v>18203</v>
      </c>
      <c r="G3943" s="2">
        <v>112</v>
      </c>
      <c r="H3943" s="2">
        <v>209182</v>
      </c>
      <c r="I3943" s="2">
        <v>-4601</v>
      </c>
    </row>
    <row r="3944" spans="1:9" x14ac:dyDescent="0.3">
      <c r="A3944" t="s">
        <v>59</v>
      </c>
      <c r="B3944" s="1">
        <v>45261</v>
      </c>
      <c r="C3944" s="2">
        <v>504163</v>
      </c>
      <c r="D3944" s="2">
        <v>-17029</v>
      </c>
      <c r="E3944" s="2">
        <v>290380</v>
      </c>
      <c r="F3944" s="2">
        <v>-7140</v>
      </c>
      <c r="G3944" s="2">
        <v>6650</v>
      </c>
      <c r="H3944" s="2">
        <v>213783</v>
      </c>
      <c r="I3944" s="2">
        <v>-9889</v>
      </c>
    </row>
    <row r="3945" spans="1:9" x14ac:dyDescent="0.3">
      <c r="A3945" t="s">
        <v>59</v>
      </c>
      <c r="B3945" s="1">
        <v>45231</v>
      </c>
      <c r="C3945" s="2">
        <v>517419</v>
      </c>
      <c r="D3945" s="2">
        <v>337</v>
      </c>
      <c r="E3945" s="2">
        <v>293747</v>
      </c>
      <c r="F3945" s="2">
        <v>11839</v>
      </c>
      <c r="G3945" s="2">
        <v>10365</v>
      </c>
      <c r="H3945" s="2">
        <v>223672</v>
      </c>
      <c r="I3945" s="2">
        <v>-11502</v>
      </c>
    </row>
    <row r="3946" spans="1:9" x14ac:dyDescent="0.3">
      <c r="A3946" t="s">
        <v>59</v>
      </c>
      <c r="B3946" s="1">
        <v>45200</v>
      </c>
      <c r="C3946" s="2">
        <v>520540</v>
      </c>
      <c r="D3946" s="2">
        <v>7077</v>
      </c>
      <c r="E3946" s="2">
        <v>285366</v>
      </c>
      <c r="F3946" s="2">
        <v>4454</v>
      </c>
      <c r="G3946" s="2">
        <v>-2700</v>
      </c>
      <c r="H3946" s="2">
        <v>235174</v>
      </c>
      <c r="I3946" s="2">
        <v>2623</v>
      </c>
    </row>
    <row r="3947" spans="1:9" x14ac:dyDescent="0.3">
      <c r="A3947" t="s">
        <v>59</v>
      </c>
      <c r="B3947" s="1">
        <v>45170</v>
      </c>
      <c r="C3947" s="2">
        <v>509739</v>
      </c>
      <c r="D3947" s="2">
        <v>7890</v>
      </c>
      <c r="E3947" s="2">
        <v>277188</v>
      </c>
      <c r="F3947" s="2">
        <v>2821</v>
      </c>
      <c r="G3947" s="2">
        <v>-3852</v>
      </c>
      <c r="H3947" s="2">
        <v>232551</v>
      </c>
      <c r="I3947" s="2">
        <v>5069</v>
      </c>
    </row>
    <row r="3948" spans="1:9" x14ac:dyDescent="0.3">
      <c r="A3948" t="s">
        <v>59</v>
      </c>
      <c r="B3948" s="1">
        <v>45139</v>
      </c>
      <c r="C3948" s="2">
        <v>500721</v>
      </c>
      <c r="D3948" s="2">
        <v>22154</v>
      </c>
      <c r="E3948" s="2">
        <v>273239</v>
      </c>
      <c r="F3948" s="2">
        <v>4764</v>
      </c>
      <c r="G3948" s="2">
        <v>-2575</v>
      </c>
      <c r="H3948" s="2">
        <v>227482</v>
      </c>
      <c r="I3948" s="2">
        <v>17390</v>
      </c>
    </row>
    <row r="3949" spans="1:9" x14ac:dyDescent="0.3">
      <c r="A3949" t="s">
        <v>59</v>
      </c>
      <c r="B3949" s="1">
        <v>45108</v>
      </c>
      <c r="C3949" s="2">
        <v>485792</v>
      </c>
      <c r="D3949" s="2">
        <v>13714</v>
      </c>
      <c r="E3949" s="2">
        <v>275700</v>
      </c>
      <c r="F3949" s="2">
        <v>6954</v>
      </c>
      <c r="G3949" s="2">
        <v>-3884</v>
      </c>
      <c r="H3949" s="2">
        <v>210092</v>
      </c>
      <c r="I3949" s="2">
        <v>6760</v>
      </c>
    </row>
    <row r="3950" spans="1:9" x14ac:dyDescent="0.3">
      <c r="A3950" t="s">
        <v>59</v>
      </c>
      <c r="B3950" s="1">
        <v>45078</v>
      </c>
      <c r="C3950" s="2">
        <v>463330</v>
      </c>
      <c r="D3950" s="2">
        <v>26679</v>
      </c>
      <c r="E3950" s="2">
        <v>259998</v>
      </c>
      <c r="F3950" s="2">
        <v>507</v>
      </c>
      <c r="G3950" s="2">
        <v>-2399</v>
      </c>
      <c r="H3950" s="2">
        <v>203332</v>
      </c>
      <c r="I3950" s="2">
        <v>26172</v>
      </c>
    </row>
    <row r="3951" spans="1:9" x14ac:dyDescent="0.3">
      <c r="A3951" t="s">
        <v>59</v>
      </c>
      <c r="B3951" s="1">
        <v>45047</v>
      </c>
      <c r="C3951" s="2">
        <v>439096</v>
      </c>
      <c r="D3951" s="2">
        <v>-18936</v>
      </c>
      <c r="E3951" s="2">
        <v>261936</v>
      </c>
      <c r="F3951" s="2">
        <v>2515</v>
      </c>
      <c r="G3951" s="2">
        <v>-5286</v>
      </c>
      <c r="H3951" s="2">
        <v>177160</v>
      </c>
      <c r="I3951" s="2">
        <v>-21451</v>
      </c>
    </row>
    <row r="3952" spans="1:9" x14ac:dyDescent="0.3">
      <c r="A3952" t="s">
        <v>59</v>
      </c>
      <c r="B3952" s="1">
        <v>45017</v>
      </c>
      <c r="C3952" s="2">
        <v>462628</v>
      </c>
      <c r="D3952" s="2">
        <v>-19934</v>
      </c>
      <c r="E3952" s="2">
        <v>264017</v>
      </c>
      <c r="F3952" s="2">
        <v>4319</v>
      </c>
      <c r="G3952" s="2">
        <v>-236</v>
      </c>
      <c r="H3952" s="2">
        <v>198611</v>
      </c>
      <c r="I3952" s="2">
        <v>-24253</v>
      </c>
    </row>
    <row r="3953" spans="1:9" x14ac:dyDescent="0.3">
      <c r="A3953" t="s">
        <v>59</v>
      </c>
      <c r="B3953" s="1">
        <v>44986</v>
      </c>
      <c r="C3953" s="2">
        <v>489152</v>
      </c>
      <c r="D3953" s="2">
        <v>8511</v>
      </c>
      <c r="E3953" s="2">
        <v>266288</v>
      </c>
      <c r="F3953" s="2">
        <v>10445</v>
      </c>
      <c r="G3953" s="2">
        <v>6686</v>
      </c>
      <c r="H3953" s="2">
        <v>222864</v>
      </c>
      <c r="I3953" s="2">
        <v>-1934</v>
      </c>
    </row>
    <row r="3954" spans="1:9" x14ac:dyDescent="0.3">
      <c r="A3954" t="s">
        <v>59</v>
      </c>
      <c r="B3954" s="1">
        <v>44958</v>
      </c>
      <c r="C3954" s="2">
        <v>473186</v>
      </c>
      <c r="D3954" s="2">
        <v>1836</v>
      </c>
      <c r="E3954" s="2">
        <v>248388</v>
      </c>
      <c r="F3954" s="2">
        <v>-8042</v>
      </c>
      <c r="G3954" s="2">
        <v>-3161</v>
      </c>
      <c r="H3954" s="2">
        <v>224798</v>
      </c>
      <c r="I3954" s="2">
        <v>9878</v>
      </c>
    </row>
    <row r="3955" spans="1:9" hidden="1" x14ac:dyDescent="0.3">
      <c r="A3955" t="s">
        <v>59</v>
      </c>
      <c r="B3955" s="1">
        <v>44927</v>
      </c>
      <c r="C3955" s="2">
        <v>469005</v>
      </c>
      <c r="D3955" s="2" t="s">
        <v>3</v>
      </c>
      <c r="E3955" s="2">
        <v>254085</v>
      </c>
      <c r="F3955" s="2" t="s">
        <v>3</v>
      </c>
      <c r="G3955" s="2" t="s">
        <v>3</v>
      </c>
      <c r="H3955" s="2">
        <v>214920</v>
      </c>
      <c r="I3955" s="2">
        <v>-15821</v>
      </c>
    </row>
    <row r="3956" spans="1:9" hidden="1" x14ac:dyDescent="0.3">
      <c r="A3956" t="s">
        <v>59</v>
      </c>
      <c r="B3956" s="1">
        <v>44896</v>
      </c>
      <c r="C3956" s="2">
        <v>485059</v>
      </c>
      <c r="D3956" s="2" t="s">
        <v>3</v>
      </c>
      <c r="E3956" s="2">
        <v>254318</v>
      </c>
      <c r="F3956" s="2" t="s">
        <v>3</v>
      </c>
      <c r="G3956" s="2" t="s">
        <v>3</v>
      </c>
      <c r="H3956" s="2">
        <v>230741</v>
      </c>
      <c r="I3956" s="2">
        <v>-2321</v>
      </c>
    </row>
    <row r="3957" spans="1:9" hidden="1" x14ac:dyDescent="0.3">
      <c r="A3957" t="s">
        <v>59</v>
      </c>
      <c r="B3957" s="1">
        <v>44866</v>
      </c>
      <c r="C3957" s="2">
        <v>485932</v>
      </c>
      <c r="D3957" s="2" t="s">
        <v>3</v>
      </c>
      <c r="E3957" s="2">
        <v>252870</v>
      </c>
      <c r="F3957" s="2" t="s">
        <v>3</v>
      </c>
      <c r="G3957" s="2" t="s">
        <v>3</v>
      </c>
      <c r="H3957" s="2">
        <v>233062</v>
      </c>
      <c r="I3957" s="2">
        <v>-10559</v>
      </c>
    </row>
    <row r="3958" spans="1:9" hidden="1" x14ac:dyDescent="0.3">
      <c r="A3958" t="s">
        <v>59</v>
      </c>
      <c r="B3958" s="1">
        <v>44835</v>
      </c>
      <c r="C3958" s="2">
        <v>485323</v>
      </c>
      <c r="D3958" s="2" t="s">
        <v>3</v>
      </c>
      <c r="E3958" s="2">
        <v>241702</v>
      </c>
      <c r="F3958" s="2" t="s">
        <v>3</v>
      </c>
      <c r="G3958" s="2" t="s">
        <v>3</v>
      </c>
      <c r="H3958" s="2">
        <v>243621</v>
      </c>
      <c r="I3958" s="2">
        <v>8616</v>
      </c>
    </row>
    <row r="3959" spans="1:9" hidden="1" x14ac:dyDescent="0.3">
      <c r="A3959" t="s">
        <v>59</v>
      </c>
      <c r="B3959" s="1">
        <v>44805</v>
      </c>
      <c r="C3959" s="2">
        <v>486863</v>
      </c>
      <c r="D3959" s="2" t="s">
        <v>3</v>
      </c>
      <c r="E3959" s="2">
        <v>251858</v>
      </c>
      <c r="F3959" s="2" t="s">
        <v>3</v>
      </c>
      <c r="G3959" s="2" t="s">
        <v>3</v>
      </c>
      <c r="H3959" s="2">
        <v>235005</v>
      </c>
      <c r="I3959" s="2">
        <v>9017</v>
      </c>
    </row>
    <row r="3960" spans="1:9" hidden="1" x14ac:dyDescent="0.3">
      <c r="A3960" t="s">
        <v>59</v>
      </c>
      <c r="B3960" s="1">
        <v>44774</v>
      </c>
      <c r="C3960" s="2">
        <v>488353</v>
      </c>
      <c r="D3960" s="2" t="s">
        <v>3</v>
      </c>
      <c r="E3960" s="2">
        <v>262365</v>
      </c>
      <c r="F3960" s="2" t="s">
        <v>3</v>
      </c>
      <c r="G3960" s="2" t="s">
        <v>3</v>
      </c>
      <c r="H3960" s="2">
        <v>225988</v>
      </c>
      <c r="I3960" s="2">
        <v>15695</v>
      </c>
    </row>
    <row r="3961" spans="1:9" hidden="1" x14ac:dyDescent="0.3">
      <c r="A3961" t="s">
        <v>59</v>
      </c>
      <c r="B3961" s="1">
        <v>44743</v>
      </c>
      <c r="C3961" s="2">
        <v>466896</v>
      </c>
      <c r="D3961" s="2" t="s">
        <v>3</v>
      </c>
      <c r="E3961" s="2">
        <v>256603</v>
      </c>
      <c r="F3961" s="2" t="s">
        <v>3</v>
      </c>
      <c r="G3961" s="2" t="s">
        <v>3</v>
      </c>
      <c r="H3961" s="2">
        <v>210293</v>
      </c>
      <c r="I3961" s="2">
        <v>6149</v>
      </c>
    </row>
    <row r="3962" spans="1:9" hidden="1" x14ac:dyDescent="0.3">
      <c r="A3962" t="s">
        <v>59</v>
      </c>
      <c r="B3962" s="1">
        <v>44713</v>
      </c>
      <c r="C3962" s="2">
        <v>465914</v>
      </c>
      <c r="D3962" s="2" t="s">
        <v>3</v>
      </c>
      <c r="E3962" s="2">
        <v>261770</v>
      </c>
      <c r="F3962" s="2" t="s">
        <v>3</v>
      </c>
      <c r="G3962" s="2" t="s">
        <v>3</v>
      </c>
      <c r="H3962" s="2">
        <v>204144</v>
      </c>
      <c r="I3962" s="2">
        <v>5132</v>
      </c>
    </row>
    <row r="3963" spans="1:9" hidden="1" x14ac:dyDescent="0.3">
      <c r="A3963" t="s">
        <v>59</v>
      </c>
      <c r="B3963" s="1">
        <v>44682</v>
      </c>
      <c r="C3963" s="2">
        <v>452746</v>
      </c>
      <c r="D3963" s="2" t="s">
        <v>3</v>
      </c>
      <c r="E3963" s="2">
        <v>253734</v>
      </c>
      <c r="F3963" s="2" t="s">
        <v>3</v>
      </c>
      <c r="G3963" s="2" t="s">
        <v>3</v>
      </c>
      <c r="H3963" s="2">
        <v>199012</v>
      </c>
      <c r="I3963" s="2">
        <v>-20307</v>
      </c>
    </row>
    <row r="3964" spans="1:9" hidden="1" x14ac:dyDescent="0.3">
      <c r="A3964" t="s">
        <v>59</v>
      </c>
      <c r="B3964" s="1">
        <v>44652</v>
      </c>
      <c r="C3964" s="2">
        <v>457995</v>
      </c>
      <c r="D3964" s="2" t="s">
        <v>3</v>
      </c>
      <c r="E3964" s="2">
        <v>238676</v>
      </c>
      <c r="F3964" s="2" t="s">
        <v>3</v>
      </c>
      <c r="G3964" s="2" t="s">
        <v>3</v>
      </c>
      <c r="H3964" s="2">
        <v>219319</v>
      </c>
      <c r="I3964" s="2">
        <v>6126</v>
      </c>
    </row>
    <row r="3965" spans="1:9" hidden="1" x14ac:dyDescent="0.3">
      <c r="A3965" t="s">
        <v>59</v>
      </c>
      <c r="B3965" s="1">
        <v>44621</v>
      </c>
      <c r="C3965" s="2">
        <v>449890</v>
      </c>
      <c r="D3965" s="2" t="s">
        <v>3</v>
      </c>
      <c r="E3965" s="2">
        <v>236697</v>
      </c>
      <c r="F3965" s="2" t="s">
        <v>3</v>
      </c>
      <c r="G3965" s="2" t="s">
        <v>3</v>
      </c>
      <c r="H3965" s="2">
        <v>213193</v>
      </c>
      <c r="I3965" s="2">
        <v>7542</v>
      </c>
    </row>
    <row r="3966" spans="1:9" hidden="1" x14ac:dyDescent="0.3">
      <c r="A3966" t="s">
        <v>59</v>
      </c>
      <c r="B3966" s="1">
        <v>44593</v>
      </c>
      <c r="C3966" s="2">
        <v>427802</v>
      </c>
      <c r="D3966" s="2" t="s">
        <v>3</v>
      </c>
      <c r="E3966" s="2">
        <v>222151</v>
      </c>
      <c r="F3966" s="2" t="s">
        <v>3</v>
      </c>
      <c r="G3966" s="2" t="s">
        <v>3</v>
      </c>
      <c r="H3966" s="2">
        <v>205651</v>
      </c>
      <c r="I3966" s="2">
        <v>6805</v>
      </c>
    </row>
    <row r="3967" spans="1:9" hidden="1" x14ac:dyDescent="0.3">
      <c r="A3967" t="s">
        <v>59</v>
      </c>
      <c r="B3967" s="1">
        <v>44562</v>
      </c>
      <c r="C3967" s="2">
        <v>426842</v>
      </c>
      <c r="D3967" s="2" t="s">
        <v>3</v>
      </c>
      <c r="E3967" s="2">
        <v>227996</v>
      </c>
      <c r="F3967" s="2" t="s">
        <v>3</v>
      </c>
      <c r="G3967" s="2" t="s">
        <v>3</v>
      </c>
      <c r="H3967" s="2">
        <v>198846</v>
      </c>
      <c r="I3967" s="2">
        <v>5695</v>
      </c>
    </row>
    <row r="3968" spans="1:9" hidden="1" x14ac:dyDescent="0.3">
      <c r="A3968" t="s">
        <v>59</v>
      </c>
      <c r="B3968" s="1">
        <v>44531</v>
      </c>
      <c r="C3968" s="2">
        <v>419558</v>
      </c>
      <c r="D3968" s="2" t="s">
        <v>3</v>
      </c>
      <c r="E3968" s="2">
        <v>226407</v>
      </c>
      <c r="F3968" s="2" t="s">
        <v>3</v>
      </c>
      <c r="G3968" s="2" t="s">
        <v>3</v>
      </c>
      <c r="H3968" s="2">
        <v>193151</v>
      </c>
      <c r="I3968" s="2">
        <v>4979</v>
      </c>
    </row>
    <row r="3969" spans="1:9" hidden="1" x14ac:dyDescent="0.3">
      <c r="A3969" t="s">
        <v>59</v>
      </c>
      <c r="B3969" s="1">
        <v>44501</v>
      </c>
      <c r="C3969" s="2">
        <v>410953</v>
      </c>
      <c r="D3969" s="2" t="s">
        <v>3</v>
      </c>
      <c r="E3969" s="2">
        <v>222781</v>
      </c>
      <c r="F3969" s="2" t="s">
        <v>3</v>
      </c>
      <c r="G3969" s="2" t="s">
        <v>3</v>
      </c>
      <c r="H3969" s="2">
        <v>188172</v>
      </c>
      <c r="I3969" s="2">
        <v>-1871</v>
      </c>
    </row>
    <row r="3970" spans="1:9" hidden="1" x14ac:dyDescent="0.3">
      <c r="A3970" t="s">
        <v>59</v>
      </c>
      <c r="B3970" s="1">
        <v>44470</v>
      </c>
      <c r="C3970" s="2">
        <v>413776</v>
      </c>
      <c r="D3970" s="2" t="s">
        <v>3</v>
      </c>
      <c r="E3970" s="2">
        <v>223733</v>
      </c>
      <c r="F3970" s="2" t="s">
        <v>3</v>
      </c>
      <c r="G3970" s="2" t="s">
        <v>3</v>
      </c>
      <c r="H3970" s="2">
        <v>190043</v>
      </c>
      <c r="I3970" s="2">
        <v>9307</v>
      </c>
    </row>
    <row r="3971" spans="1:9" hidden="1" x14ac:dyDescent="0.3">
      <c r="A3971" t="s">
        <v>59</v>
      </c>
      <c r="B3971" s="1">
        <v>44440</v>
      </c>
      <c r="C3971" s="2">
        <v>403933</v>
      </c>
      <c r="D3971" s="2" t="s">
        <v>3</v>
      </c>
      <c r="E3971" s="2">
        <v>223197</v>
      </c>
      <c r="F3971" s="2" t="s">
        <v>3</v>
      </c>
      <c r="G3971" s="2" t="s">
        <v>3</v>
      </c>
      <c r="H3971" s="2">
        <v>180736</v>
      </c>
      <c r="I3971" s="2">
        <v>1011</v>
      </c>
    </row>
    <row r="3972" spans="1:9" hidden="1" x14ac:dyDescent="0.3">
      <c r="A3972" t="s">
        <v>59</v>
      </c>
      <c r="B3972" s="1">
        <v>44409</v>
      </c>
      <c r="C3972" s="2">
        <v>401740</v>
      </c>
      <c r="D3972" s="2" t="s">
        <v>3</v>
      </c>
      <c r="E3972" s="2">
        <v>222015</v>
      </c>
      <c r="F3972" s="2" t="s">
        <v>3</v>
      </c>
      <c r="G3972" s="2" t="s">
        <v>3</v>
      </c>
      <c r="H3972" s="2">
        <v>179725</v>
      </c>
      <c r="I3972" s="2">
        <v>8441</v>
      </c>
    </row>
    <row r="3973" spans="1:9" hidden="1" x14ac:dyDescent="0.3">
      <c r="A3973" t="s">
        <v>59</v>
      </c>
      <c r="B3973" s="1">
        <v>44378</v>
      </c>
      <c r="C3973" s="2">
        <v>395086</v>
      </c>
      <c r="D3973" s="2" t="s">
        <v>3</v>
      </c>
      <c r="E3973" s="2">
        <v>223802</v>
      </c>
      <c r="F3973" s="2" t="s">
        <v>3</v>
      </c>
      <c r="G3973" s="2" t="s">
        <v>3</v>
      </c>
      <c r="H3973" s="2">
        <v>171284</v>
      </c>
      <c r="I3973" s="2">
        <v>393</v>
      </c>
    </row>
    <row r="3974" spans="1:9" hidden="1" x14ac:dyDescent="0.3">
      <c r="A3974" t="s">
        <v>59</v>
      </c>
      <c r="B3974" s="1">
        <v>44348</v>
      </c>
      <c r="C3974" s="2">
        <v>390366</v>
      </c>
      <c r="D3974" s="2" t="s">
        <v>3</v>
      </c>
      <c r="E3974" s="2">
        <v>219475</v>
      </c>
      <c r="F3974" s="2" t="s">
        <v>3</v>
      </c>
      <c r="G3974" s="2" t="s">
        <v>3</v>
      </c>
      <c r="H3974" s="2">
        <v>170891</v>
      </c>
      <c r="I3974" s="2">
        <v>8254</v>
      </c>
    </row>
    <row r="3975" spans="1:9" hidden="1" x14ac:dyDescent="0.3">
      <c r="A3975" t="s">
        <v>59</v>
      </c>
      <c r="B3975" s="1">
        <v>44317</v>
      </c>
      <c r="C3975" s="2">
        <v>358019</v>
      </c>
      <c r="D3975" s="2" t="s">
        <v>3</v>
      </c>
      <c r="E3975" s="2">
        <v>195382</v>
      </c>
      <c r="F3975" s="2" t="s">
        <v>3</v>
      </c>
      <c r="G3975" s="2" t="s">
        <v>3</v>
      </c>
      <c r="H3975" s="2">
        <v>162637</v>
      </c>
      <c r="I3975" s="2">
        <v>5874</v>
      </c>
    </row>
    <row r="3976" spans="1:9" hidden="1" x14ac:dyDescent="0.3">
      <c r="A3976" t="s">
        <v>59</v>
      </c>
      <c r="B3976" s="1">
        <v>44287</v>
      </c>
      <c r="C3976" s="2">
        <v>347527</v>
      </c>
      <c r="D3976" s="2" t="s">
        <v>3</v>
      </c>
      <c r="E3976" s="2">
        <v>190764</v>
      </c>
      <c r="F3976" s="2" t="s">
        <v>3</v>
      </c>
      <c r="G3976" s="2" t="s">
        <v>3</v>
      </c>
      <c r="H3976" s="2">
        <v>156763</v>
      </c>
      <c r="I3976" s="2">
        <v>3044</v>
      </c>
    </row>
    <row r="3977" spans="1:9" hidden="1" x14ac:dyDescent="0.3">
      <c r="A3977" t="s">
        <v>59</v>
      </c>
      <c r="B3977" s="1">
        <v>44256</v>
      </c>
      <c r="C3977" s="2">
        <v>336579</v>
      </c>
      <c r="D3977" s="2" t="s">
        <v>3</v>
      </c>
      <c r="E3977" s="2">
        <v>182860</v>
      </c>
      <c r="F3977" s="2" t="s">
        <v>3</v>
      </c>
      <c r="G3977" s="2" t="s">
        <v>3</v>
      </c>
      <c r="H3977" s="2">
        <v>153719</v>
      </c>
      <c r="I3977" s="2">
        <v>-8148</v>
      </c>
    </row>
    <row r="3978" spans="1:9" hidden="1" x14ac:dyDescent="0.3">
      <c r="A3978" t="s">
        <v>59</v>
      </c>
      <c r="B3978" s="1">
        <v>44228</v>
      </c>
      <c r="C3978" s="2">
        <v>339305</v>
      </c>
      <c r="D3978" s="2" t="s">
        <v>3</v>
      </c>
      <c r="E3978" s="2">
        <v>177438</v>
      </c>
      <c r="F3978" s="2" t="s">
        <v>3</v>
      </c>
      <c r="G3978" s="2" t="s">
        <v>3</v>
      </c>
      <c r="H3978" s="2">
        <v>161867</v>
      </c>
      <c r="I3978" s="2">
        <v>2629</v>
      </c>
    </row>
    <row r="3979" spans="1:9" hidden="1" x14ac:dyDescent="0.3">
      <c r="A3979" t="s">
        <v>59</v>
      </c>
      <c r="B3979" s="1">
        <v>44197</v>
      </c>
      <c r="C3979" s="2">
        <v>339558</v>
      </c>
      <c r="D3979" s="2" t="s">
        <v>3</v>
      </c>
      <c r="E3979" s="2">
        <v>180320</v>
      </c>
      <c r="F3979" s="2" t="s">
        <v>3</v>
      </c>
      <c r="G3979" s="2" t="s">
        <v>3</v>
      </c>
      <c r="H3979" s="2">
        <v>159238</v>
      </c>
      <c r="I3979" s="2">
        <v>-9874</v>
      </c>
    </row>
    <row r="3980" spans="1:9" hidden="1" x14ac:dyDescent="0.3">
      <c r="A3980" t="s">
        <v>59</v>
      </c>
      <c r="B3980" s="1">
        <v>44166</v>
      </c>
      <c r="C3980" s="2">
        <v>349264</v>
      </c>
      <c r="D3980" s="2" t="s">
        <v>3</v>
      </c>
      <c r="E3980" s="2">
        <v>180152</v>
      </c>
      <c r="F3980" s="2" t="s">
        <v>3</v>
      </c>
      <c r="G3980" s="2" t="s">
        <v>3</v>
      </c>
      <c r="H3980" s="2">
        <v>169112</v>
      </c>
      <c r="I3980" s="2">
        <v>-386</v>
      </c>
    </row>
    <row r="3981" spans="1:9" hidden="1" x14ac:dyDescent="0.3">
      <c r="A3981" t="s">
        <v>59</v>
      </c>
      <c r="B3981" s="1">
        <v>44136</v>
      </c>
      <c r="C3981" s="2">
        <v>350398</v>
      </c>
      <c r="D3981" s="2" t="s">
        <v>3</v>
      </c>
      <c r="E3981" s="2">
        <v>180900</v>
      </c>
      <c r="F3981" s="2" t="s">
        <v>3</v>
      </c>
      <c r="G3981" s="2" t="s">
        <v>3</v>
      </c>
      <c r="H3981" s="2">
        <v>169498</v>
      </c>
      <c r="I3981" s="2">
        <v>5399</v>
      </c>
    </row>
    <row r="3982" spans="1:9" hidden="1" x14ac:dyDescent="0.3">
      <c r="A3982" t="s">
        <v>59</v>
      </c>
      <c r="B3982" s="1">
        <v>44105</v>
      </c>
      <c r="C3982" s="2">
        <v>350668</v>
      </c>
      <c r="D3982" s="2" t="s">
        <v>3</v>
      </c>
      <c r="E3982" s="2">
        <v>186569</v>
      </c>
      <c r="F3982" s="2" t="s">
        <v>3</v>
      </c>
      <c r="G3982" s="2" t="s">
        <v>3</v>
      </c>
      <c r="H3982" s="2">
        <v>164099</v>
      </c>
      <c r="I3982" s="2">
        <v>-2558</v>
      </c>
    </row>
    <row r="3983" spans="1:9" hidden="1" x14ac:dyDescent="0.3">
      <c r="A3983" t="s">
        <v>59</v>
      </c>
      <c r="B3983" s="1">
        <v>44075</v>
      </c>
      <c r="C3983" s="2">
        <v>361519</v>
      </c>
      <c r="D3983" s="2" t="s">
        <v>3</v>
      </c>
      <c r="E3983" s="2">
        <v>194862</v>
      </c>
      <c r="F3983" s="2" t="s">
        <v>3</v>
      </c>
      <c r="G3983" s="2" t="s">
        <v>3</v>
      </c>
      <c r="H3983" s="2">
        <v>166657</v>
      </c>
      <c r="I3983" s="2">
        <v>8471</v>
      </c>
    </row>
    <row r="3984" spans="1:9" hidden="1" x14ac:dyDescent="0.3">
      <c r="A3984" t="s">
        <v>59</v>
      </c>
      <c r="B3984" s="1">
        <v>44044</v>
      </c>
      <c r="C3984" s="2">
        <v>359432</v>
      </c>
      <c r="D3984" s="2" t="s">
        <v>3</v>
      </c>
      <c r="E3984" s="2">
        <v>201246</v>
      </c>
      <c r="F3984" s="2" t="s">
        <v>3</v>
      </c>
      <c r="G3984" s="2" t="s">
        <v>3</v>
      </c>
      <c r="H3984" s="2">
        <v>158186</v>
      </c>
      <c r="I3984" s="2">
        <v>5333</v>
      </c>
    </row>
    <row r="3985" spans="1:9" hidden="1" x14ac:dyDescent="0.3">
      <c r="A3985" t="s">
        <v>59</v>
      </c>
      <c r="B3985" s="1">
        <v>44013</v>
      </c>
      <c r="C3985" s="2">
        <v>349519</v>
      </c>
      <c r="D3985" s="2" t="s">
        <v>3</v>
      </c>
      <c r="E3985" s="2">
        <v>196666</v>
      </c>
      <c r="F3985" s="2" t="s">
        <v>3</v>
      </c>
      <c r="G3985" s="2" t="s">
        <v>3</v>
      </c>
      <c r="H3985" s="2">
        <v>152853</v>
      </c>
      <c r="I3985" s="2">
        <v>-8091</v>
      </c>
    </row>
    <row r="3986" spans="1:9" hidden="1" x14ac:dyDescent="0.3">
      <c r="A3986" t="s">
        <v>59</v>
      </c>
      <c r="B3986" s="1">
        <v>43983</v>
      </c>
      <c r="C3986" s="2">
        <v>357741</v>
      </c>
      <c r="D3986" s="2" t="s">
        <v>3</v>
      </c>
      <c r="E3986" s="2">
        <v>196797</v>
      </c>
      <c r="F3986" s="2" t="s">
        <v>3</v>
      </c>
      <c r="G3986" s="2" t="s">
        <v>3</v>
      </c>
      <c r="H3986" s="2">
        <v>160944</v>
      </c>
      <c r="I3986" s="2">
        <v>8155</v>
      </c>
    </row>
    <row r="3987" spans="1:9" hidden="1" x14ac:dyDescent="0.3">
      <c r="A3987" t="s">
        <v>59</v>
      </c>
      <c r="B3987" s="1">
        <v>43952</v>
      </c>
      <c r="C3987" s="2">
        <v>338907</v>
      </c>
      <c r="D3987" s="2" t="s">
        <v>3</v>
      </c>
      <c r="E3987" s="2">
        <v>186118</v>
      </c>
      <c r="F3987" s="2" t="s">
        <v>3</v>
      </c>
      <c r="G3987" s="2" t="s">
        <v>3</v>
      </c>
      <c r="H3987" s="2">
        <v>152789</v>
      </c>
      <c r="I3987" s="2">
        <v>6486</v>
      </c>
    </row>
    <row r="3988" spans="1:9" hidden="1" x14ac:dyDescent="0.3">
      <c r="A3988" t="s">
        <v>59</v>
      </c>
      <c r="B3988" s="1">
        <v>43922</v>
      </c>
      <c r="C3988" s="2">
        <v>335251</v>
      </c>
      <c r="D3988" s="2" t="s">
        <v>3</v>
      </c>
      <c r="E3988" s="2">
        <v>188948</v>
      </c>
      <c r="F3988" s="2" t="s">
        <v>3</v>
      </c>
      <c r="G3988" s="2" t="s">
        <v>3</v>
      </c>
      <c r="H3988" s="2">
        <v>146303</v>
      </c>
      <c r="I3988" s="2">
        <v>11592</v>
      </c>
    </row>
    <row r="3989" spans="1:9" hidden="1" x14ac:dyDescent="0.3">
      <c r="A3989" t="s">
        <v>59</v>
      </c>
      <c r="B3989" s="1">
        <v>43891</v>
      </c>
      <c r="C3989" s="2">
        <v>333023</v>
      </c>
      <c r="D3989" s="2" t="s">
        <v>3</v>
      </c>
      <c r="E3989" s="2">
        <v>198312</v>
      </c>
      <c r="F3989" s="2" t="s">
        <v>3</v>
      </c>
      <c r="G3989" s="2" t="s">
        <v>3</v>
      </c>
      <c r="H3989" s="2">
        <v>134711</v>
      </c>
      <c r="I3989" s="2">
        <v>2413</v>
      </c>
    </row>
    <row r="3990" spans="1:9" hidden="1" x14ac:dyDescent="0.3">
      <c r="A3990" t="s">
        <v>59</v>
      </c>
      <c r="B3990" s="1">
        <v>43862</v>
      </c>
      <c r="C3990" s="2">
        <v>354388</v>
      </c>
      <c r="D3990" s="2" t="s">
        <v>3</v>
      </c>
      <c r="E3990" s="2">
        <v>222090</v>
      </c>
      <c r="F3990" s="2" t="s">
        <v>3</v>
      </c>
      <c r="G3990" s="2" t="s">
        <v>3</v>
      </c>
      <c r="H3990" s="2">
        <v>132298</v>
      </c>
      <c r="I3990" s="2">
        <v>3740</v>
      </c>
    </row>
    <row r="3991" spans="1:9" hidden="1" x14ac:dyDescent="0.3">
      <c r="A3991" t="s">
        <v>59</v>
      </c>
      <c r="B3991" s="1">
        <v>43831</v>
      </c>
      <c r="C3991" s="2">
        <v>349194</v>
      </c>
      <c r="D3991" s="2" t="s">
        <v>3</v>
      </c>
      <c r="E3991" s="2">
        <v>220636</v>
      </c>
      <c r="F3991" s="2" t="s">
        <v>3</v>
      </c>
      <c r="G3991" s="2" t="s">
        <v>3</v>
      </c>
      <c r="H3991" s="2">
        <v>128558</v>
      </c>
      <c r="I3991" s="2">
        <v>-3841</v>
      </c>
    </row>
    <row r="3992" spans="1:9" x14ac:dyDescent="0.3">
      <c r="A3992" t="s">
        <v>60</v>
      </c>
      <c r="B3992" s="1">
        <v>45931</v>
      </c>
      <c r="C3992" s="2">
        <v>688748</v>
      </c>
      <c r="D3992" s="2">
        <v>-14961</v>
      </c>
      <c r="E3992" s="2">
        <v>620876</v>
      </c>
      <c r="F3992" s="2">
        <v>-11258</v>
      </c>
      <c r="G3992" s="2">
        <v>2386</v>
      </c>
      <c r="H3992" s="2">
        <v>67872</v>
      </c>
      <c r="I3992" s="2">
        <v>-3703</v>
      </c>
    </row>
    <row r="3993" spans="1:9" x14ac:dyDescent="0.3">
      <c r="A3993" t="s">
        <v>60</v>
      </c>
      <c r="B3993" s="1">
        <v>45901</v>
      </c>
      <c r="C3993" s="2">
        <v>700541</v>
      </c>
      <c r="D3993" s="2">
        <v>-9973</v>
      </c>
      <c r="E3993" s="2">
        <v>628966</v>
      </c>
      <c r="F3993" s="2">
        <v>-2966</v>
      </c>
      <c r="G3993" s="2">
        <v>8062</v>
      </c>
      <c r="H3993" s="2">
        <v>71575</v>
      </c>
      <c r="I3993" s="2">
        <v>-7007</v>
      </c>
    </row>
    <row r="3994" spans="1:9" x14ac:dyDescent="0.3">
      <c r="A3994" t="s">
        <v>60</v>
      </c>
      <c r="B3994" s="1">
        <v>45870</v>
      </c>
      <c r="C3994" s="2">
        <v>700985</v>
      </c>
      <c r="D3994" s="2">
        <v>-8961</v>
      </c>
      <c r="E3994" s="2">
        <v>622403</v>
      </c>
      <c r="F3994" s="2">
        <v>-21767</v>
      </c>
      <c r="G3994" s="2">
        <v>5420</v>
      </c>
      <c r="H3994" s="2">
        <v>78582</v>
      </c>
      <c r="I3994" s="2">
        <v>12806</v>
      </c>
    </row>
    <row r="3995" spans="1:9" x14ac:dyDescent="0.3">
      <c r="A3995" t="s">
        <v>60</v>
      </c>
      <c r="B3995" s="1">
        <v>45839</v>
      </c>
      <c r="C3995" s="2">
        <v>696888</v>
      </c>
      <c r="D3995" s="2">
        <v>-33421</v>
      </c>
      <c r="E3995" s="2">
        <v>631112</v>
      </c>
      <c r="F3995" s="2">
        <v>-23572</v>
      </c>
      <c r="G3995" s="2">
        <v>-2826</v>
      </c>
      <c r="H3995" s="2">
        <v>65776</v>
      </c>
      <c r="I3995" s="2">
        <v>-9849</v>
      </c>
    </row>
    <row r="3996" spans="1:9" x14ac:dyDescent="0.3">
      <c r="A3996" t="s">
        <v>60</v>
      </c>
      <c r="B3996" s="1">
        <v>45809</v>
      </c>
      <c r="C3996" s="2">
        <v>732684</v>
      </c>
      <c r="D3996" s="2">
        <v>-5198</v>
      </c>
      <c r="E3996" s="2">
        <v>657059</v>
      </c>
      <c r="F3996" s="2">
        <v>-5389</v>
      </c>
      <c r="G3996" s="2">
        <v>6217</v>
      </c>
      <c r="H3996" s="2">
        <v>75625</v>
      </c>
      <c r="I3996" s="2">
        <v>191</v>
      </c>
    </row>
    <row r="3997" spans="1:9" x14ac:dyDescent="0.3">
      <c r="A3997" t="s">
        <v>60</v>
      </c>
      <c r="B3997" s="1">
        <v>45778</v>
      </c>
      <c r="C3997" s="2">
        <v>732669</v>
      </c>
      <c r="D3997" s="2">
        <v>-4993</v>
      </c>
      <c r="E3997" s="2">
        <v>657235</v>
      </c>
      <c r="F3997" s="2">
        <v>2459</v>
      </c>
      <c r="G3997" s="2">
        <v>-6442</v>
      </c>
      <c r="H3997" s="2">
        <v>75434</v>
      </c>
      <c r="I3997" s="2">
        <v>-7452</v>
      </c>
    </row>
    <row r="3998" spans="1:9" x14ac:dyDescent="0.3">
      <c r="A3998" t="s">
        <v>60</v>
      </c>
      <c r="B3998" s="1">
        <v>45748</v>
      </c>
      <c r="C3998" s="2">
        <v>743560</v>
      </c>
      <c r="D3998" s="2">
        <v>-23599</v>
      </c>
      <c r="E3998" s="2">
        <v>660674</v>
      </c>
      <c r="F3998" s="2">
        <v>-20736</v>
      </c>
      <c r="G3998" s="2">
        <v>2373</v>
      </c>
      <c r="H3998" s="2">
        <v>82886</v>
      </c>
      <c r="I3998" s="2">
        <v>-2863</v>
      </c>
    </row>
    <row r="3999" spans="1:9" x14ac:dyDescent="0.3">
      <c r="A3999" t="s">
        <v>60</v>
      </c>
      <c r="B3999" s="1">
        <v>45717</v>
      </c>
      <c r="C3999" s="2">
        <v>765359</v>
      </c>
      <c r="D3999" s="2">
        <v>-19098</v>
      </c>
      <c r="E3999" s="2">
        <v>679610</v>
      </c>
      <c r="F3999" s="2">
        <v>-27575</v>
      </c>
      <c r="G3999" s="2">
        <v>1938</v>
      </c>
      <c r="H3999" s="2">
        <v>85749</v>
      </c>
      <c r="I3999" s="2">
        <v>8477</v>
      </c>
    </row>
    <row r="4000" spans="1:9" x14ac:dyDescent="0.3">
      <c r="A4000" t="s">
        <v>60</v>
      </c>
      <c r="B4000" s="1">
        <v>45689</v>
      </c>
      <c r="C4000" s="2">
        <v>784287</v>
      </c>
      <c r="D4000" s="2">
        <v>10308</v>
      </c>
      <c r="E4000" s="2">
        <v>707015</v>
      </c>
      <c r="F4000" s="2">
        <v>-4781</v>
      </c>
      <c r="G4000" s="2">
        <v>13445</v>
      </c>
      <c r="H4000" s="2">
        <v>77272</v>
      </c>
      <c r="I4000" s="2">
        <v>15089</v>
      </c>
    </row>
    <row r="4001" spans="1:9" x14ac:dyDescent="0.3">
      <c r="A4001" t="s">
        <v>60</v>
      </c>
      <c r="B4001" s="1">
        <v>45658</v>
      </c>
      <c r="C4001" s="2">
        <v>760818</v>
      </c>
      <c r="D4001" s="2">
        <v>-1395</v>
      </c>
      <c r="E4001" s="2">
        <v>698635</v>
      </c>
      <c r="F4001" s="2">
        <v>-3197</v>
      </c>
      <c r="G4001" s="2">
        <v>4225</v>
      </c>
      <c r="H4001" s="2">
        <v>62183</v>
      </c>
      <c r="I4001" s="2">
        <v>1802</v>
      </c>
    </row>
    <row r="4002" spans="1:9" x14ac:dyDescent="0.3">
      <c r="A4002" t="s">
        <v>60</v>
      </c>
      <c r="B4002" s="1">
        <v>45627</v>
      </c>
      <c r="C4002" s="2">
        <v>759016</v>
      </c>
      <c r="D4002" s="2">
        <v>1514</v>
      </c>
      <c r="E4002" s="2">
        <v>698635</v>
      </c>
      <c r="F4002" s="2">
        <v>-10702</v>
      </c>
      <c r="G4002" s="2">
        <v>-11384</v>
      </c>
      <c r="H4002" s="2">
        <v>60381</v>
      </c>
      <c r="I4002" s="2">
        <v>12216</v>
      </c>
    </row>
    <row r="4003" spans="1:9" x14ac:dyDescent="0.3">
      <c r="A4003" t="s">
        <v>60</v>
      </c>
      <c r="B4003" s="1">
        <v>45597</v>
      </c>
      <c r="C4003" s="2">
        <v>768600</v>
      </c>
      <c r="D4003" s="2">
        <v>2344</v>
      </c>
      <c r="E4003" s="2">
        <v>720435</v>
      </c>
      <c r="F4003" s="2">
        <v>-4132</v>
      </c>
      <c r="G4003" s="2">
        <v>4446</v>
      </c>
      <c r="H4003" s="2">
        <v>48165</v>
      </c>
      <c r="I4003" s="2">
        <v>6476</v>
      </c>
    </row>
    <row r="4004" spans="1:9" x14ac:dyDescent="0.3">
      <c r="A4004" t="s">
        <v>60</v>
      </c>
      <c r="B4004" s="1">
        <v>45566</v>
      </c>
      <c r="C4004" s="2">
        <v>760102</v>
      </c>
      <c r="D4004" s="2">
        <v>3877</v>
      </c>
      <c r="E4004" s="2">
        <v>718413</v>
      </c>
      <c r="F4004" s="2">
        <v>3138</v>
      </c>
      <c r="G4004" s="2">
        <v>-16159</v>
      </c>
      <c r="H4004" s="2">
        <v>41689</v>
      </c>
      <c r="I4004" s="2">
        <v>739</v>
      </c>
    </row>
    <row r="4005" spans="1:9" x14ac:dyDescent="0.3">
      <c r="A4005" t="s">
        <v>60</v>
      </c>
      <c r="B4005" s="1">
        <v>45536</v>
      </c>
      <c r="C4005" s="2">
        <v>771968</v>
      </c>
      <c r="D4005" s="2">
        <v>-11927</v>
      </c>
      <c r="E4005" s="2">
        <v>731018</v>
      </c>
      <c r="F4005" s="2">
        <v>-12354</v>
      </c>
      <c r="G4005" s="2">
        <v>7213</v>
      </c>
      <c r="H4005" s="2">
        <v>40950</v>
      </c>
      <c r="I4005" s="2">
        <v>427</v>
      </c>
    </row>
    <row r="4006" spans="1:9" x14ac:dyDescent="0.3">
      <c r="A4006" t="s">
        <v>60</v>
      </c>
      <c r="B4006" s="1">
        <v>45505</v>
      </c>
      <c r="C4006" s="2">
        <v>774614</v>
      </c>
      <c r="D4006" s="2">
        <v>-7795</v>
      </c>
      <c r="E4006" s="2">
        <v>734091</v>
      </c>
      <c r="F4006" s="2">
        <v>-15866</v>
      </c>
      <c r="G4006" s="2">
        <v>7263</v>
      </c>
      <c r="H4006" s="2">
        <v>40523</v>
      </c>
      <c r="I4006" s="2">
        <v>8071</v>
      </c>
    </row>
    <row r="4007" spans="1:9" x14ac:dyDescent="0.3">
      <c r="A4007" t="s">
        <v>60</v>
      </c>
      <c r="B4007" s="1">
        <v>45474</v>
      </c>
      <c r="C4007" s="2">
        <v>776493</v>
      </c>
      <c r="D4007" s="2">
        <v>-18367</v>
      </c>
      <c r="E4007" s="2">
        <v>744041</v>
      </c>
      <c r="F4007" s="2">
        <v>-23106</v>
      </c>
      <c r="G4007" s="2">
        <v>12851</v>
      </c>
      <c r="H4007" s="2">
        <v>32452</v>
      </c>
      <c r="I4007" s="2">
        <v>4739</v>
      </c>
    </row>
    <row r="4008" spans="1:9" x14ac:dyDescent="0.3">
      <c r="A4008" t="s">
        <v>60</v>
      </c>
      <c r="B4008" s="1">
        <v>45444</v>
      </c>
      <c r="C4008" s="2">
        <v>780196</v>
      </c>
      <c r="D4008" s="2">
        <v>6389</v>
      </c>
      <c r="E4008" s="2">
        <v>752483</v>
      </c>
      <c r="F4008" s="2">
        <v>5925</v>
      </c>
      <c r="G4008" s="2">
        <v>5219</v>
      </c>
      <c r="H4008" s="2">
        <v>27713</v>
      </c>
      <c r="I4008" s="2">
        <v>464</v>
      </c>
    </row>
    <row r="4009" spans="1:9" x14ac:dyDescent="0.3">
      <c r="A4009" t="s">
        <v>60</v>
      </c>
      <c r="B4009" s="1">
        <v>45413</v>
      </c>
      <c r="C4009" s="2">
        <v>768295</v>
      </c>
      <c r="D4009" s="2">
        <v>-11342</v>
      </c>
      <c r="E4009" s="2">
        <v>741046</v>
      </c>
      <c r="F4009" s="2">
        <v>-23887</v>
      </c>
      <c r="G4009" s="2">
        <v>8861</v>
      </c>
      <c r="H4009" s="2">
        <v>27249</v>
      </c>
      <c r="I4009" s="2">
        <v>12545</v>
      </c>
    </row>
    <row r="4010" spans="1:9" x14ac:dyDescent="0.3">
      <c r="A4010" t="s">
        <v>60</v>
      </c>
      <c r="B4010" s="1">
        <v>45383</v>
      </c>
      <c r="C4010" s="2">
        <v>770746</v>
      </c>
      <c r="D4010" s="2">
        <v>21575</v>
      </c>
      <c r="E4010" s="2">
        <v>756042</v>
      </c>
      <c r="F4010" s="2">
        <v>23895</v>
      </c>
      <c r="G4010" s="2">
        <v>-18842</v>
      </c>
      <c r="H4010" s="2">
        <v>14704</v>
      </c>
      <c r="I4010" s="2">
        <v>-2320</v>
      </c>
    </row>
    <row r="4011" spans="1:9" x14ac:dyDescent="0.3">
      <c r="A4011" t="s">
        <v>60</v>
      </c>
      <c r="B4011" s="1">
        <v>45352</v>
      </c>
      <c r="C4011" s="2">
        <v>767413</v>
      </c>
      <c r="D4011" s="2">
        <v>-12642</v>
      </c>
      <c r="E4011" s="2">
        <v>750389</v>
      </c>
      <c r="F4011" s="2">
        <v>-9813</v>
      </c>
      <c r="G4011" s="2">
        <v>5918</v>
      </c>
      <c r="H4011" s="2">
        <v>17024</v>
      </c>
      <c r="I4011" s="2">
        <v>-2829</v>
      </c>
    </row>
    <row r="4012" spans="1:9" x14ac:dyDescent="0.3">
      <c r="A4012" t="s">
        <v>60</v>
      </c>
      <c r="B4012" s="1">
        <v>45323</v>
      </c>
      <c r="C4012" s="2">
        <v>774950</v>
      </c>
      <c r="D4012" s="2">
        <v>-13905</v>
      </c>
      <c r="E4012" s="2">
        <v>755097</v>
      </c>
      <c r="F4012" s="2">
        <v>-13154</v>
      </c>
      <c r="G4012" s="2">
        <v>-9668</v>
      </c>
      <c r="H4012" s="2">
        <v>19853</v>
      </c>
      <c r="I4012" s="2">
        <v>-751</v>
      </c>
    </row>
    <row r="4013" spans="1:9" x14ac:dyDescent="0.3">
      <c r="A4013" t="s">
        <v>60</v>
      </c>
      <c r="B4013" s="1">
        <v>45292</v>
      </c>
      <c r="C4013" s="2">
        <v>797734</v>
      </c>
      <c r="D4013" s="2">
        <v>-17807</v>
      </c>
      <c r="E4013" s="2">
        <v>777130</v>
      </c>
      <c r="F4013" s="2">
        <v>-21735</v>
      </c>
      <c r="G4013" s="2">
        <v>-3342</v>
      </c>
      <c r="H4013" s="2">
        <v>20604</v>
      </c>
      <c r="I4013" s="2">
        <v>3928</v>
      </c>
    </row>
    <row r="4014" spans="1:9" x14ac:dyDescent="0.3">
      <c r="A4014" t="s">
        <v>60</v>
      </c>
      <c r="B4014" s="1">
        <v>45261</v>
      </c>
      <c r="C4014" s="2">
        <v>816305</v>
      </c>
      <c r="D4014" s="2">
        <v>6385</v>
      </c>
      <c r="E4014" s="2">
        <v>799629</v>
      </c>
      <c r="F4014" s="2">
        <v>-2645</v>
      </c>
      <c r="G4014" s="2">
        <v>25191</v>
      </c>
      <c r="H4014" s="2">
        <v>16676</v>
      </c>
      <c r="I4014" s="2">
        <v>9030</v>
      </c>
    </row>
    <row r="4015" spans="1:9" x14ac:dyDescent="0.3">
      <c r="A4015" t="s">
        <v>60</v>
      </c>
      <c r="B4015" s="1">
        <v>45231</v>
      </c>
      <c r="C4015" s="2">
        <v>781965</v>
      </c>
      <c r="D4015" s="2">
        <v>-12459</v>
      </c>
      <c r="E4015" s="2">
        <v>774319</v>
      </c>
      <c r="F4015" s="2">
        <v>-15046</v>
      </c>
      <c r="G4015" s="2">
        <v>25091</v>
      </c>
      <c r="H4015" s="2">
        <v>7646</v>
      </c>
      <c r="I4015" s="2">
        <v>2587</v>
      </c>
    </row>
    <row r="4016" spans="1:9" x14ac:dyDescent="0.3">
      <c r="A4016" t="s">
        <v>60</v>
      </c>
      <c r="B4016" s="1">
        <v>45200</v>
      </c>
      <c r="C4016" s="2">
        <v>769617</v>
      </c>
      <c r="D4016" s="2">
        <v>1976</v>
      </c>
      <c r="E4016" s="2">
        <v>764558</v>
      </c>
      <c r="F4016" s="2">
        <v>1852</v>
      </c>
      <c r="G4016" s="2">
        <v>-10665</v>
      </c>
      <c r="H4016" s="2">
        <v>5059</v>
      </c>
      <c r="I4016" s="2">
        <v>124</v>
      </c>
    </row>
    <row r="4017" spans="1:9" x14ac:dyDescent="0.3">
      <c r="A4017" t="s">
        <v>60</v>
      </c>
      <c r="B4017" s="1">
        <v>45170</v>
      </c>
      <c r="C4017" s="2">
        <v>778139</v>
      </c>
      <c r="D4017" s="2">
        <v>-7928</v>
      </c>
      <c r="E4017" s="2">
        <v>773204</v>
      </c>
      <c r="F4017" s="2">
        <v>-1004</v>
      </c>
      <c r="G4017" s="2">
        <v>-18892</v>
      </c>
      <c r="H4017" s="2">
        <v>4935</v>
      </c>
      <c r="I4017" s="2">
        <v>-6924</v>
      </c>
    </row>
    <row r="4018" spans="1:9" x14ac:dyDescent="0.3">
      <c r="A4018" t="s">
        <v>60</v>
      </c>
      <c r="B4018" s="1">
        <v>45139</v>
      </c>
      <c r="C4018" s="2">
        <v>805366</v>
      </c>
      <c r="D4018" s="2">
        <v>-9256</v>
      </c>
      <c r="E4018" s="2">
        <v>793507</v>
      </c>
      <c r="F4018" s="2">
        <v>-14867</v>
      </c>
      <c r="G4018" s="2">
        <v>-7447</v>
      </c>
      <c r="H4018" s="2">
        <v>11859</v>
      </c>
      <c r="I4018" s="2">
        <v>5611</v>
      </c>
    </row>
    <row r="4019" spans="1:9" x14ac:dyDescent="0.3">
      <c r="A4019" t="s">
        <v>60</v>
      </c>
      <c r="B4019" s="1">
        <v>45108</v>
      </c>
      <c r="C4019" s="2">
        <v>821807</v>
      </c>
      <c r="D4019" s="2">
        <v>-9824</v>
      </c>
      <c r="E4019" s="2">
        <v>815559</v>
      </c>
      <c r="F4019" s="2">
        <v>-11204</v>
      </c>
      <c r="G4019" s="2">
        <v>-4427</v>
      </c>
      <c r="H4019" s="2">
        <v>6248</v>
      </c>
      <c r="I4019" s="2">
        <v>1380</v>
      </c>
    </row>
    <row r="4020" spans="1:9" x14ac:dyDescent="0.3">
      <c r="A4020" t="s">
        <v>60</v>
      </c>
      <c r="B4020" s="1">
        <v>45078</v>
      </c>
      <c r="C4020" s="2">
        <v>835775</v>
      </c>
      <c r="D4020" s="2">
        <v>-3825</v>
      </c>
      <c r="E4020" s="2">
        <v>830907</v>
      </c>
      <c r="F4020" s="2">
        <v>8088</v>
      </c>
      <c r="G4020" s="2">
        <v>-7873</v>
      </c>
      <c r="H4020" s="2">
        <v>4868</v>
      </c>
      <c r="I4020" s="2">
        <v>-11913</v>
      </c>
    </row>
    <row r="4021" spans="1:9" x14ac:dyDescent="0.3">
      <c r="A4021" t="s">
        <v>60</v>
      </c>
      <c r="B4021" s="1">
        <v>45047</v>
      </c>
      <c r="C4021" s="2">
        <v>846716</v>
      </c>
      <c r="D4021" s="2">
        <v>-13281</v>
      </c>
      <c r="E4021" s="2">
        <v>829935</v>
      </c>
      <c r="F4021" s="2">
        <v>-13671</v>
      </c>
      <c r="G4021" s="2">
        <v>-11709</v>
      </c>
      <c r="H4021" s="2">
        <v>16781</v>
      </c>
      <c r="I4021" s="2">
        <v>390</v>
      </c>
    </row>
    <row r="4022" spans="1:9" x14ac:dyDescent="0.3">
      <c r="A4022" t="s">
        <v>60</v>
      </c>
      <c r="B4022" s="1">
        <v>45017</v>
      </c>
      <c r="C4022" s="2">
        <v>868920</v>
      </c>
      <c r="D4022" s="2">
        <v>176</v>
      </c>
      <c r="E4022" s="2">
        <v>852529</v>
      </c>
      <c r="F4022" s="2">
        <v>-997</v>
      </c>
      <c r="G4022" s="2">
        <v>1586</v>
      </c>
      <c r="H4022" s="2">
        <v>16391</v>
      </c>
      <c r="I4022" s="2">
        <v>1173</v>
      </c>
    </row>
    <row r="4023" spans="1:9" x14ac:dyDescent="0.3">
      <c r="A4023" t="s">
        <v>60</v>
      </c>
      <c r="B4023" s="1">
        <v>44986</v>
      </c>
      <c r="C4023" s="2">
        <v>869298</v>
      </c>
      <c r="D4023" s="2">
        <v>-5222</v>
      </c>
      <c r="E4023" s="2">
        <v>854080</v>
      </c>
      <c r="F4023" s="2">
        <v>-13816</v>
      </c>
      <c r="G4023" s="2">
        <v>25384</v>
      </c>
      <c r="H4023" s="2">
        <v>15218</v>
      </c>
      <c r="I4023" s="2">
        <v>8594</v>
      </c>
    </row>
    <row r="4024" spans="1:9" x14ac:dyDescent="0.3">
      <c r="A4024" t="s">
        <v>60</v>
      </c>
      <c r="B4024" s="1">
        <v>44958</v>
      </c>
      <c r="C4024" s="2">
        <v>848975</v>
      </c>
      <c r="D4024" s="2">
        <v>8319</v>
      </c>
      <c r="E4024" s="2">
        <v>842351</v>
      </c>
      <c r="F4024" s="2">
        <v>6006</v>
      </c>
      <c r="G4024" s="2">
        <v>-19615</v>
      </c>
      <c r="H4024" s="2">
        <v>6624</v>
      </c>
      <c r="I4024" s="2">
        <v>2313</v>
      </c>
    </row>
    <row r="4025" spans="1:9" hidden="1" x14ac:dyDescent="0.3">
      <c r="A4025" t="s">
        <v>60</v>
      </c>
      <c r="B4025" s="1">
        <v>44927</v>
      </c>
      <c r="C4025" s="2">
        <v>859342</v>
      </c>
      <c r="D4025" s="2" t="s">
        <v>3</v>
      </c>
      <c r="E4025" s="2">
        <v>855031</v>
      </c>
      <c r="F4025" s="2" t="s">
        <v>3</v>
      </c>
      <c r="G4025" s="2" t="s">
        <v>3</v>
      </c>
      <c r="H4025" s="2">
        <v>4311</v>
      </c>
      <c r="I4025" s="2">
        <v>-479</v>
      </c>
    </row>
    <row r="4026" spans="1:9" hidden="1" x14ac:dyDescent="0.3">
      <c r="A4026" t="s">
        <v>60</v>
      </c>
      <c r="B4026" s="1">
        <v>44896</v>
      </c>
      <c r="C4026" s="2">
        <v>867088</v>
      </c>
      <c r="D4026" s="2" t="s">
        <v>3</v>
      </c>
      <c r="E4026" s="2">
        <v>862298</v>
      </c>
      <c r="F4026" s="2" t="s">
        <v>3</v>
      </c>
      <c r="G4026" s="2" t="s">
        <v>3</v>
      </c>
      <c r="H4026" s="2">
        <v>4790</v>
      </c>
      <c r="I4026" s="2">
        <v>-5078</v>
      </c>
    </row>
    <row r="4027" spans="1:9" hidden="1" x14ac:dyDescent="0.3">
      <c r="A4027" t="s">
        <v>60</v>
      </c>
      <c r="B4027" s="1">
        <v>44866</v>
      </c>
      <c r="C4027" s="2">
        <v>870287</v>
      </c>
      <c r="D4027" s="2" t="s">
        <v>3</v>
      </c>
      <c r="E4027" s="2">
        <v>860419</v>
      </c>
      <c r="F4027" s="2" t="s">
        <v>3</v>
      </c>
      <c r="G4027" s="2" t="s">
        <v>3</v>
      </c>
      <c r="H4027" s="2">
        <v>9868</v>
      </c>
      <c r="I4027" s="2">
        <v>3585</v>
      </c>
    </row>
    <row r="4028" spans="1:9" hidden="1" x14ac:dyDescent="0.3">
      <c r="A4028" t="s">
        <v>60</v>
      </c>
      <c r="B4028" s="1">
        <v>44835</v>
      </c>
      <c r="C4028" s="2">
        <v>877937</v>
      </c>
      <c r="D4028" s="2" t="s">
        <v>3</v>
      </c>
      <c r="E4028" s="2">
        <v>871654</v>
      </c>
      <c r="F4028" s="2" t="s">
        <v>3</v>
      </c>
      <c r="G4028" s="2" t="s">
        <v>3</v>
      </c>
      <c r="H4028" s="2">
        <v>6283</v>
      </c>
      <c r="I4028" s="2">
        <v>3063</v>
      </c>
    </row>
    <row r="4029" spans="1:9" hidden="1" x14ac:dyDescent="0.3">
      <c r="A4029" t="s">
        <v>60</v>
      </c>
      <c r="B4029" s="1">
        <v>44805</v>
      </c>
      <c r="C4029" s="2">
        <v>901722</v>
      </c>
      <c r="D4029" s="2" t="s">
        <v>3</v>
      </c>
      <c r="E4029" s="2">
        <v>898502</v>
      </c>
      <c r="F4029" s="2" t="s">
        <v>3</v>
      </c>
      <c r="G4029" s="2" t="s">
        <v>3</v>
      </c>
      <c r="H4029" s="2">
        <v>3220</v>
      </c>
      <c r="I4029" s="2">
        <v>-832</v>
      </c>
    </row>
    <row r="4030" spans="1:9" hidden="1" x14ac:dyDescent="0.3">
      <c r="A4030" t="s">
        <v>60</v>
      </c>
      <c r="B4030" s="1">
        <v>44774</v>
      </c>
      <c r="C4030" s="2">
        <v>938552</v>
      </c>
      <c r="D4030" s="2" t="s">
        <v>3</v>
      </c>
      <c r="E4030" s="2">
        <v>934500</v>
      </c>
      <c r="F4030" s="2" t="s">
        <v>3</v>
      </c>
      <c r="G4030" s="2" t="s">
        <v>3</v>
      </c>
      <c r="H4030" s="2">
        <v>4052</v>
      </c>
      <c r="I4030" s="2">
        <v>480</v>
      </c>
    </row>
    <row r="4031" spans="1:9" hidden="1" x14ac:dyDescent="0.3">
      <c r="A4031" t="s">
        <v>60</v>
      </c>
      <c r="B4031" s="1">
        <v>44743</v>
      </c>
      <c r="C4031" s="2">
        <v>939170</v>
      </c>
      <c r="D4031" s="2" t="s">
        <v>3</v>
      </c>
      <c r="E4031" s="2">
        <v>935598</v>
      </c>
      <c r="F4031" s="2" t="s">
        <v>3</v>
      </c>
      <c r="G4031" s="2" t="s">
        <v>3</v>
      </c>
      <c r="H4031" s="2">
        <v>3572</v>
      </c>
      <c r="I4031" s="2">
        <v>1341</v>
      </c>
    </row>
    <row r="4032" spans="1:9" hidden="1" x14ac:dyDescent="0.3">
      <c r="A4032" t="s">
        <v>60</v>
      </c>
      <c r="B4032" s="1">
        <v>44713</v>
      </c>
      <c r="C4032" s="2">
        <v>938847</v>
      </c>
      <c r="D4032" s="2" t="s">
        <v>3</v>
      </c>
      <c r="E4032" s="2">
        <v>936616</v>
      </c>
      <c r="F4032" s="2" t="s">
        <v>3</v>
      </c>
      <c r="G4032" s="2" t="s">
        <v>3</v>
      </c>
      <c r="H4032" s="2">
        <v>2231</v>
      </c>
      <c r="I4032" s="2">
        <v>-6642</v>
      </c>
    </row>
    <row r="4033" spans="1:9" hidden="1" x14ac:dyDescent="0.3">
      <c r="A4033" t="s">
        <v>60</v>
      </c>
      <c r="B4033" s="1">
        <v>44682</v>
      </c>
      <c r="C4033" s="2">
        <v>951753</v>
      </c>
      <c r="D4033" s="2" t="s">
        <v>3</v>
      </c>
      <c r="E4033" s="2">
        <v>942880</v>
      </c>
      <c r="F4033" s="2" t="s">
        <v>3</v>
      </c>
      <c r="G4033" s="2" t="s">
        <v>3</v>
      </c>
      <c r="H4033" s="2">
        <v>8873</v>
      </c>
      <c r="I4033" s="2">
        <v>-2077</v>
      </c>
    </row>
    <row r="4034" spans="1:9" hidden="1" x14ac:dyDescent="0.3">
      <c r="A4034" t="s">
        <v>60</v>
      </c>
      <c r="B4034" s="1">
        <v>44652</v>
      </c>
      <c r="C4034" s="2">
        <v>976022</v>
      </c>
      <c r="D4034" s="2" t="s">
        <v>3</v>
      </c>
      <c r="E4034" s="2">
        <v>965072</v>
      </c>
      <c r="F4034" s="2" t="s">
        <v>3</v>
      </c>
      <c r="G4034" s="2" t="s">
        <v>3</v>
      </c>
      <c r="H4034" s="2">
        <v>10950</v>
      </c>
      <c r="I4034" s="2">
        <v>8218</v>
      </c>
    </row>
    <row r="4035" spans="1:9" hidden="1" x14ac:dyDescent="0.3">
      <c r="A4035" t="s">
        <v>60</v>
      </c>
      <c r="B4035" s="1">
        <v>44621</v>
      </c>
      <c r="C4035" s="2">
        <v>1013201</v>
      </c>
      <c r="D4035" s="2" t="s">
        <v>3</v>
      </c>
      <c r="E4035" s="2">
        <v>1010469</v>
      </c>
      <c r="F4035" s="2" t="s">
        <v>3</v>
      </c>
      <c r="G4035" s="2" t="s">
        <v>3</v>
      </c>
      <c r="H4035" s="2">
        <v>2732</v>
      </c>
      <c r="I4035" s="2">
        <v>-5790</v>
      </c>
    </row>
    <row r="4036" spans="1:9" hidden="1" x14ac:dyDescent="0.3">
      <c r="A4036" t="s">
        <v>60</v>
      </c>
      <c r="B4036" s="1">
        <v>44593</v>
      </c>
      <c r="C4036" s="2">
        <v>1028674</v>
      </c>
      <c r="D4036" s="2" t="s">
        <v>3</v>
      </c>
      <c r="E4036" s="2">
        <v>1020152</v>
      </c>
      <c r="F4036" s="2" t="s">
        <v>3</v>
      </c>
      <c r="G4036" s="2" t="s">
        <v>3</v>
      </c>
      <c r="H4036" s="2">
        <v>8522</v>
      </c>
      <c r="I4036" s="2">
        <v>-859</v>
      </c>
    </row>
    <row r="4037" spans="1:9" hidden="1" x14ac:dyDescent="0.3">
      <c r="A4037" t="s">
        <v>60</v>
      </c>
      <c r="B4037" s="1">
        <v>44562</v>
      </c>
      <c r="C4037" s="2">
        <v>1033804</v>
      </c>
      <c r="D4037" s="2" t="s">
        <v>3</v>
      </c>
      <c r="E4037" s="2">
        <v>1024423</v>
      </c>
      <c r="F4037" s="2" t="s">
        <v>3</v>
      </c>
      <c r="G4037" s="2" t="s">
        <v>3</v>
      </c>
      <c r="H4037" s="2">
        <v>9381</v>
      </c>
      <c r="I4037" s="2">
        <v>5176</v>
      </c>
    </row>
    <row r="4038" spans="1:9" hidden="1" x14ac:dyDescent="0.3">
      <c r="A4038" t="s">
        <v>60</v>
      </c>
      <c r="B4038" s="1">
        <v>44531</v>
      </c>
      <c r="C4038" s="2">
        <v>1040330</v>
      </c>
      <c r="D4038" s="2" t="s">
        <v>3</v>
      </c>
      <c r="E4038" s="2">
        <v>1036125</v>
      </c>
      <c r="F4038" s="2" t="s">
        <v>3</v>
      </c>
      <c r="G4038" s="2" t="s">
        <v>3</v>
      </c>
      <c r="H4038" s="2">
        <v>4205</v>
      </c>
      <c r="I4038" s="2">
        <v>-7908</v>
      </c>
    </row>
    <row r="4039" spans="1:9" hidden="1" x14ac:dyDescent="0.3">
      <c r="A4039" t="s">
        <v>60</v>
      </c>
      <c r="B4039" s="1">
        <v>44501</v>
      </c>
      <c r="C4039" s="2">
        <v>1052882</v>
      </c>
      <c r="D4039" s="2" t="s">
        <v>3</v>
      </c>
      <c r="E4039" s="2">
        <v>1040769</v>
      </c>
      <c r="F4039" s="2" t="s">
        <v>3</v>
      </c>
      <c r="G4039" s="2" t="s">
        <v>3</v>
      </c>
      <c r="H4039" s="2">
        <v>12113</v>
      </c>
      <c r="I4039" s="2">
        <v>9403</v>
      </c>
    </row>
    <row r="4040" spans="1:9" hidden="1" x14ac:dyDescent="0.3">
      <c r="A4040" t="s">
        <v>60</v>
      </c>
      <c r="B4040" s="1">
        <v>44470</v>
      </c>
      <c r="C4040" s="2">
        <v>1065403</v>
      </c>
      <c r="D4040" s="2" t="s">
        <v>3</v>
      </c>
      <c r="E4040" s="2">
        <v>1062693</v>
      </c>
      <c r="F4040" s="2" t="s">
        <v>3</v>
      </c>
      <c r="G4040" s="2" t="s">
        <v>3</v>
      </c>
      <c r="H4040" s="2">
        <v>2710</v>
      </c>
      <c r="I4040" s="2">
        <v>321</v>
      </c>
    </row>
    <row r="4041" spans="1:9" hidden="1" x14ac:dyDescent="0.3">
      <c r="A4041" t="s">
        <v>60</v>
      </c>
      <c r="B4041" s="1">
        <v>44440</v>
      </c>
      <c r="C4041" s="2">
        <v>1047543</v>
      </c>
      <c r="D4041" s="2" t="s">
        <v>3</v>
      </c>
      <c r="E4041" s="2">
        <v>1045154</v>
      </c>
      <c r="F4041" s="2" t="s">
        <v>3</v>
      </c>
      <c r="G4041" s="2" t="s">
        <v>3</v>
      </c>
      <c r="H4041" s="2">
        <v>2389</v>
      </c>
      <c r="I4041" s="2">
        <v>-638</v>
      </c>
    </row>
    <row r="4042" spans="1:9" hidden="1" x14ac:dyDescent="0.3">
      <c r="A4042" t="s">
        <v>60</v>
      </c>
      <c r="B4042" s="1">
        <v>44409</v>
      </c>
      <c r="C4042" s="2">
        <v>1047016</v>
      </c>
      <c r="D4042" s="2" t="s">
        <v>3</v>
      </c>
      <c r="E4042" s="2">
        <v>1043989</v>
      </c>
      <c r="F4042" s="2" t="s">
        <v>3</v>
      </c>
      <c r="G4042" s="2" t="s">
        <v>3</v>
      </c>
      <c r="H4042" s="2">
        <v>3027</v>
      </c>
      <c r="I4042" s="2">
        <v>-11641</v>
      </c>
    </row>
    <row r="4043" spans="1:9" hidden="1" x14ac:dyDescent="0.3">
      <c r="A4043" t="s">
        <v>60</v>
      </c>
      <c r="B4043" s="1">
        <v>44378</v>
      </c>
      <c r="C4043" s="2">
        <v>1068347</v>
      </c>
      <c r="D4043" s="2" t="s">
        <v>3</v>
      </c>
      <c r="E4043" s="2">
        <v>1053679</v>
      </c>
      <c r="F4043" s="2" t="s">
        <v>3</v>
      </c>
      <c r="G4043" s="2" t="s">
        <v>3</v>
      </c>
      <c r="H4043" s="2">
        <v>14668</v>
      </c>
      <c r="I4043" s="2">
        <v>11327</v>
      </c>
    </row>
    <row r="4044" spans="1:9" hidden="1" x14ac:dyDescent="0.3">
      <c r="A4044" t="s">
        <v>60</v>
      </c>
      <c r="B4044" s="1">
        <v>44348</v>
      </c>
      <c r="C4044" s="2">
        <v>1061844</v>
      </c>
      <c r="D4044" s="2" t="s">
        <v>3</v>
      </c>
      <c r="E4044" s="2">
        <v>1058503</v>
      </c>
      <c r="F4044" s="2" t="s">
        <v>3</v>
      </c>
      <c r="G4044" s="2" t="s">
        <v>3</v>
      </c>
      <c r="H4044" s="2">
        <v>3341</v>
      </c>
      <c r="I4044" s="2">
        <v>-11984</v>
      </c>
    </row>
    <row r="4045" spans="1:9" hidden="1" x14ac:dyDescent="0.3">
      <c r="A4045" t="s">
        <v>60</v>
      </c>
      <c r="B4045" s="1">
        <v>44317</v>
      </c>
      <c r="C4045" s="2">
        <v>1078439</v>
      </c>
      <c r="D4045" s="2" t="s">
        <v>3</v>
      </c>
      <c r="E4045" s="2">
        <v>1063114</v>
      </c>
      <c r="F4045" s="2" t="s">
        <v>3</v>
      </c>
      <c r="G4045" s="2" t="s">
        <v>3</v>
      </c>
      <c r="H4045" s="2">
        <v>15325</v>
      </c>
      <c r="I4045" s="2">
        <v>-17318</v>
      </c>
    </row>
    <row r="4046" spans="1:9" hidden="1" x14ac:dyDescent="0.3">
      <c r="A4046" t="s">
        <v>60</v>
      </c>
      <c r="B4046" s="1">
        <v>44287</v>
      </c>
      <c r="C4046" s="2">
        <v>1096080</v>
      </c>
      <c r="D4046" s="2" t="s">
        <v>3</v>
      </c>
      <c r="E4046" s="2">
        <v>1063437</v>
      </c>
      <c r="F4046" s="2" t="s">
        <v>3</v>
      </c>
      <c r="G4046" s="2" t="s">
        <v>3</v>
      </c>
      <c r="H4046" s="2">
        <v>32643</v>
      </c>
      <c r="I4046" s="2">
        <v>-23087</v>
      </c>
    </row>
    <row r="4047" spans="1:9" hidden="1" x14ac:dyDescent="0.3">
      <c r="A4047" t="s">
        <v>60</v>
      </c>
      <c r="B4047" s="1">
        <v>44256</v>
      </c>
      <c r="C4047" s="2">
        <v>1100366</v>
      </c>
      <c r="D4047" s="2" t="s">
        <v>3</v>
      </c>
      <c r="E4047" s="2">
        <v>1044636</v>
      </c>
      <c r="F4047" s="2" t="s">
        <v>3</v>
      </c>
      <c r="G4047" s="2" t="s">
        <v>3</v>
      </c>
      <c r="H4047" s="2">
        <v>55730</v>
      </c>
      <c r="I4047" s="2">
        <v>-20312</v>
      </c>
    </row>
    <row r="4048" spans="1:9" hidden="1" x14ac:dyDescent="0.3">
      <c r="A4048" t="s">
        <v>60</v>
      </c>
      <c r="B4048" s="1">
        <v>44228</v>
      </c>
      <c r="C4048" s="2">
        <v>1104226</v>
      </c>
      <c r="D4048" s="2" t="s">
        <v>3</v>
      </c>
      <c r="E4048" s="2">
        <v>1028184</v>
      </c>
      <c r="F4048" s="2" t="s">
        <v>3</v>
      </c>
      <c r="G4048" s="2" t="s">
        <v>3</v>
      </c>
      <c r="H4048" s="2">
        <v>76042</v>
      </c>
      <c r="I4048" s="2">
        <v>18702</v>
      </c>
    </row>
    <row r="4049" spans="1:9" hidden="1" x14ac:dyDescent="0.3">
      <c r="A4049" t="s">
        <v>60</v>
      </c>
      <c r="B4049" s="1">
        <v>44197</v>
      </c>
      <c r="C4049" s="2">
        <v>1095180</v>
      </c>
      <c r="D4049" s="2" t="s">
        <v>3</v>
      </c>
      <c r="E4049" s="2">
        <v>1037840</v>
      </c>
      <c r="F4049" s="2" t="s">
        <v>3</v>
      </c>
      <c r="G4049" s="2" t="s">
        <v>3</v>
      </c>
      <c r="H4049" s="2">
        <v>57340</v>
      </c>
      <c r="I4049" s="2">
        <v>17693</v>
      </c>
    </row>
    <row r="4050" spans="1:9" hidden="1" x14ac:dyDescent="0.3">
      <c r="A4050" t="s">
        <v>60</v>
      </c>
      <c r="B4050" s="1">
        <v>44166</v>
      </c>
      <c r="C4050" s="2">
        <v>1072281</v>
      </c>
      <c r="D4050" s="2" t="s">
        <v>3</v>
      </c>
      <c r="E4050" s="2">
        <v>1032634</v>
      </c>
      <c r="F4050" s="2" t="s">
        <v>3</v>
      </c>
      <c r="G4050" s="2" t="s">
        <v>3</v>
      </c>
      <c r="H4050" s="2">
        <v>39647</v>
      </c>
      <c r="I4050" s="2">
        <v>7710</v>
      </c>
    </row>
    <row r="4051" spans="1:9" hidden="1" x14ac:dyDescent="0.3">
      <c r="A4051" t="s">
        <v>60</v>
      </c>
      <c r="B4051" s="1">
        <v>44136</v>
      </c>
      <c r="C4051" s="2">
        <v>1062960</v>
      </c>
      <c r="D4051" s="2" t="s">
        <v>3</v>
      </c>
      <c r="E4051" s="2">
        <v>1031023</v>
      </c>
      <c r="F4051" s="2" t="s">
        <v>3</v>
      </c>
      <c r="G4051" s="2" t="s">
        <v>3</v>
      </c>
      <c r="H4051" s="2">
        <v>31937</v>
      </c>
      <c r="I4051" s="2">
        <v>6979</v>
      </c>
    </row>
    <row r="4052" spans="1:9" hidden="1" x14ac:dyDescent="0.3">
      <c r="A4052" t="s">
        <v>60</v>
      </c>
      <c r="B4052" s="1">
        <v>44105</v>
      </c>
      <c r="C4052" s="2">
        <v>1054018</v>
      </c>
      <c r="D4052" s="2" t="s">
        <v>3</v>
      </c>
      <c r="E4052" s="2">
        <v>1029060</v>
      </c>
      <c r="F4052" s="2" t="s">
        <v>3</v>
      </c>
      <c r="G4052" s="2" t="s">
        <v>3</v>
      </c>
      <c r="H4052" s="2">
        <v>24958</v>
      </c>
      <c r="I4052" s="2">
        <v>5034</v>
      </c>
    </row>
    <row r="4053" spans="1:9" hidden="1" x14ac:dyDescent="0.3">
      <c r="A4053" t="s">
        <v>60</v>
      </c>
      <c r="B4053" s="1">
        <v>44075</v>
      </c>
      <c r="C4053" s="2">
        <v>1061746</v>
      </c>
      <c r="D4053" s="2" t="s">
        <v>3</v>
      </c>
      <c r="E4053" s="2">
        <v>1041822</v>
      </c>
      <c r="F4053" s="2" t="s">
        <v>3</v>
      </c>
      <c r="G4053" s="2" t="s">
        <v>3</v>
      </c>
      <c r="H4053" s="2">
        <v>19924</v>
      </c>
      <c r="I4053" s="2">
        <v>2406</v>
      </c>
    </row>
    <row r="4054" spans="1:9" hidden="1" x14ac:dyDescent="0.3">
      <c r="A4054" t="s">
        <v>60</v>
      </c>
      <c r="B4054" s="1">
        <v>44044</v>
      </c>
      <c r="C4054" s="2">
        <v>1067965</v>
      </c>
      <c r="D4054" s="2" t="s">
        <v>3</v>
      </c>
      <c r="E4054" s="2">
        <v>1050447</v>
      </c>
      <c r="F4054" s="2" t="s">
        <v>3</v>
      </c>
      <c r="G4054" s="2" t="s">
        <v>3</v>
      </c>
      <c r="H4054" s="2">
        <v>17518</v>
      </c>
      <c r="I4054" s="2">
        <v>-9956</v>
      </c>
    </row>
    <row r="4055" spans="1:9" hidden="1" x14ac:dyDescent="0.3">
      <c r="A4055" t="s">
        <v>60</v>
      </c>
      <c r="B4055" s="1">
        <v>44013</v>
      </c>
      <c r="C4055" s="2">
        <v>1073407</v>
      </c>
      <c r="D4055" s="2" t="s">
        <v>3</v>
      </c>
      <c r="E4055" s="2">
        <v>1045933</v>
      </c>
      <c r="F4055" s="2" t="s">
        <v>3</v>
      </c>
      <c r="G4055" s="2" t="s">
        <v>3</v>
      </c>
      <c r="H4055" s="2">
        <v>27474</v>
      </c>
      <c r="I4055" s="2">
        <v>-6543</v>
      </c>
    </row>
    <row r="4056" spans="1:9" hidden="1" x14ac:dyDescent="0.3">
      <c r="A4056" t="s">
        <v>60</v>
      </c>
      <c r="B4056" s="1">
        <v>43983</v>
      </c>
      <c r="C4056" s="2">
        <v>1074433</v>
      </c>
      <c r="D4056" s="2" t="s">
        <v>3</v>
      </c>
      <c r="E4056" s="2">
        <v>1040416</v>
      </c>
      <c r="F4056" s="2" t="s">
        <v>3</v>
      </c>
      <c r="G4056" s="2" t="s">
        <v>3</v>
      </c>
      <c r="H4056" s="2">
        <v>34017</v>
      </c>
      <c r="I4056" s="2">
        <v>-4830</v>
      </c>
    </row>
    <row r="4057" spans="1:9" hidden="1" x14ac:dyDescent="0.3">
      <c r="A4057" t="s">
        <v>60</v>
      </c>
      <c r="B4057" s="1">
        <v>43952</v>
      </c>
      <c r="C4057" s="2">
        <v>1083735</v>
      </c>
      <c r="D4057" s="2" t="s">
        <v>3</v>
      </c>
      <c r="E4057" s="2">
        <v>1044888</v>
      </c>
      <c r="F4057" s="2" t="s">
        <v>3</v>
      </c>
      <c r="G4057" s="2" t="s">
        <v>3</v>
      </c>
      <c r="H4057" s="2">
        <v>38847</v>
      </c>
      <c r="I4057" s="2">
        <v>-5646</v>
      </c>
    </row>
    <row r="4058" spans="1:9" hidden="1" x14ac:dyDescent="0.3">
      <c r="A4058" t="s">
        <v>60</v>
      </c>
      <c r="B4058" s="1">
        <v>43922</v>
      </c>
      <c r="C4058" s="2">
        <v>1072804</v>
      </c>
      <c r="D4058" s="2" t="s">
        <v>3</v>
      </c>
      <c r="E4058" s="2">
        <v>1028311</v>
      </c>
      <c r="F4058" s="2" t="s">
        <v>3</v>
      </c>
      <c r="G4058" s="2" t="s">
        <v>3</v>
      </c>
      <c r="H4058" s="2">
        <v>44493</v>
      </c>
      <c r="I4058" s="2">
        <v>11768</v>
      </c>
    </row>
    <row r="4059" spans="1:9" hidden="1" x14ac:dyDescent="0.3">
      <c r="A4059" t="s">
        <v>60</v>
      </c>
      <c r="B4059" s="1">
        <v>43891</v>
      </c>
      <c r="C4059" s="2">
        <v>1081615</v>
      </c>
      <c r="D4059" s="2" t="s">
        <v>3</v>
      </c>
      <c r="E4059" s="2">
        <v>1048890</v>
      </c>
      <c r="F4059" s="2" t="s">
        <v>3</v>
      </c>
      <c r="G4059" s="2" t="s">
        <v>3</v>
      </c>
      <c r="H4059" s="2">
        <v>32725</v>
      </c>
      <c r="I4059" s="2">
        <v>29314</v>
      </c>
    </row>
    <row r="4060" spans="1:9" hidden="1" x14ac:dyDescent="0.3">
      <c r="A4060" t="s">
        <v>60</v>
      </c>
      <c r="B4060" s="1">
        <v>43862</v>
      </c>
      <c r="C4060" s="2">
        <v>1092261</v>
      </c>
      <c r="D4060" s="2" t="s">
        <v>3</v>
      </c>
      <c r="E4060" s="2">
        <v>1088850</v>
      </c>
      <c r="F4060" s="2" t="s">
        <v>3</v>
      </c>
      <c r="G4060" s="2" t="s">
        <v>3</v>
      </c>
      <c r="H4060" s="2">
        <v>3411</v>
      </c>
      <c r="I4060" s="2">
        <v>-2069</v>
      </c>
    </row>
    <row r="4061" spans="1:9" hidden="1" x14ac:dyDescent="0.3">
      <c r="A4061" t="s">
        <v>60</v>
      </c>
      <c r="B4061" s="1">
        <v>43831</v>
      </c>
      <c r="C4061" s="2">
        <v>1078601</v>
      </c>
      <c r="D4061" s="2" t="s">
        <v>3</v>
      </c>
      <c r="E4061" s="2">
        <v>1073121</v>
      </c>
      <c r="F4061" s="2" t="s">
        <v>3</v>
      </c>
      <c r="G4061" s="2" t="s">
        <v>3</v>
      </c>
      <c r="H4061" s="2">
        <v>5480</v>
      </c>
      <c r="I4061" s="2">
        <v>3064</v>
      </c>
    </row>
    <row r="4062" spans="1:9" x14ac:dyDescent="0.3">
      <c r="A4062" t="s">
        <v>61</v>
      </c>
      <c r="B4062" s="1">
        <v>45931</v>
      </c>
      <c r="C4062" s="2">
        <v>251235</v>
      </c>
      <c r="D4062" s="2">
        <v>9553</v>
      </c>
      <c r="E4062" s="2">
        <v>207110</v>
      </c>
      <c r="F4062" s="2">
        <v>5991</v>
      </c>
      <c r="G4062" s="2">
        <v>62</v>
      </c>
      <c r="H4062" s="2">
        <v>44125</v>
      </c>
      <c r="I4062" s="2">
        <v>3562</v>
      </c>
    </row>
    <row r="4063" spans="1:9" x14ac:dyDescent="0.3">
      <c r="A4063" t="s">
        <v>61</v>
      </c>
      <c r="B4063" s="1">
        <v>45901</v>
      </c>
      <c r="C4063" s="2">
        <v>238138</v>
      </c>
      <c r="D4063" s="2">
        <v>-11828</v>
      </c>
      <c r="E4063" s="2">
        <v>197575</v>
      </c>
      <c r="F4063" s="2">
        <v>-8597</v>
      </c>
      <c r="G4063" s="2">
        <v>1115</v>
      </c>
      <c r="H4063" s="2">
        <v>40563</v>
      </c>
      <c r="I4063" s="2">
        <v>-3231</v>
      </c>
    </row>
    <row r="4064" spans="1:9" x14ac:dyDescent="0.3">
      <c r="A4064" t="s">
        <v>61</v>
      </c>
      <c r="B4064" s="1">
        <v>45870</v>
      </c>
      <c r="C4064" s="2">
        <v>252038</v>
      </c>
      <c r="D4064" s="2">
        <v>8278</v>
      </c>
      <c r="E4064" s="2">
        <v>208244</v>
      </c>
      <c r="F4064" s="2">
        <v>11294</v>
      </c>
      <c r="G4064" s="2">
        <v>945</v>
      </c>
      <c r="H4064" s="2">
        <v>43794</v>
      </c>
      <c r="I4064" s="2">
        <v>-3016</v>
      </c>
    </row>
    <row r="4065" spans="1:9" x14ac:dyDescent="0.3">
      <c r="A4065" t="s">
        <v>61</v>
      </c>
      <c r="B4065" s="1">
        <v>45839</v>
      </c>
      <c r="C4065" s="2">
        <v>247876</v>
      </c>
      <c r="D4065" s="2">
        <v>8119</v>
      </c>
      <c r="E4065" s="2">
        <v>201066</v>
      </c>
      <c r="F4065" s="2">
        <v>12963</v>
      </c>
      <c r="G4065" s="2">
        <v>-1480</v>
      </c>
      <c r="H4065" s="2">
        <v>46810</v>
      </c>
      <c r="I4065" s="2">
        <v>-4844</v>
      </c>
    </row>
    <row r="4066" spans="1:9" x14ac:dyDescent="0.3">
      <c r="A4066" t="s">
        <v>61</v>
      </c>
      <c r="B4066" s="1">
        <v>45809</v>
      </c>
      <c r="C4066" s="2">
        <v>242339</v>
      </c>
      <c r="D4066" s="2">
        <v>-15187</v>
      </c>
      <c r="E4066" s="2">
        <v>190685</v>
      </c>
      <c r="F4066" s="2">
        <v>-7959</v>
      </c>
      <c r="G4066" s="2">
        <v>930</v>
      </c>
      <c r="H4066" s="2">
        <v>51654</v>
      </c>
      <c r="I4066" s="2">
        <v>-7228</v>
      </c>
    </row>
    <row r="4067" spans="1:9" x14ac:dyDescent="0.3">
      <c r="A4067" t="s">
        <v>61</v>
      </c>
      <c r="B4067" s="1">
        <v>45778</v>
      </c>
      <c r="C4067" s="2">
        <v>252553</v>
      </c>
      <c r="D4067" s="2">
        <v>10561</v>
      </c>
      <c r="E4067" s="2">
        <v>193671</v>
      </c>
      <c r="F4067" s="2">
        <v>5631</v>
      </c>
      <c r="G4067" s="2">
        <v>-3030</v>
      </c>
      <c r="H4067" s="2">
        <v>58882</v>
      </c>
      <c r="I4067" s="2">
        <v>4930</v>
      </c>
    </row>
    <row r="4068" spans="1:9" x14ac:dyDescent="0.3">
      <c r="A4068" t="s">
        <v>61</v>
      </c>
      <c r="B4068" s="1">
        <v>45748</v>
      </c>
      <c r="C4068" s="2">
        <v>247116</v>
      </c>
      <c r="D4068" s="2">
        <v>2523</v>
      </c>
      <c r="E4068" s="2">
        <v>193164</v>
      </c>
      <c r="F4068" s="2">
        <v>8527</v>
      </c>
      <c r="G4068" s="2">
        <v>66</v>
      </c>
      <c r="H4068" s="2">
        <v>53952</v>
      </c>
      <c r="I4068" s="2">
        <v>-6004</v>
      </c>
    </row>
    <row r="4069" spans="1:9" x14ac:dyDescent="0.3">
      <c r="A4069" t="s">
        <v>61</v>
      </c>
      <c r="B4069" s="1">
        <v>45717</v>
      </c>
      <c r="C4069" s="2">
        <v>262932</v>
      </c>
      <c r="D4069" s="2">
        <v>-8354</v>
      </c>
      <c r="E4069" s="2">
        <v>202976</v>
      </c>
      <c r="F4069" s="2">
        <v>-9872</v>
      </c>
      <c r="G4069" s="2">
        <v>-1592</v>
      </c>
      <c r="H4069" s="2">
        <v>59956</v>
      </c>
      <c r="I4069" s="2">
        <v>1518</v>
      </c>
    </row>
    <row r="4070" spans="1:9" x14ac:dyDescent="0.3">
      <c r="A4070" t="s">
        <v>61</v>
      </c>
      <c r="B4070" s="1">
        <v>45689</v>
      </c>
      <c r="C4070" s="2">
        <v>273801</v>
      </c>
      <c r="D4070" s="2">
        <v>14925</v>
      </c>
      <c r="E4070" s="2">
        <v>215363</v>
      </c>
      <c r="F4070" s="2">
        <v>2880</v>
      </c>
      <c r="G4070" s="2">
        <v>3593</v>
      </c>
      <c r="H4070" s="2">
        <v>58438</v>
      </c>
      <c r="I4070" s="2">
        <v>12045</v>
      </c>
    </row>
    <row r="4071" spans="1:9" x14ac:dyDescent="0.3">
      <c r="A4071" t="s">
        <v>61</v>
      </c>
      <c r="B4071" s="1">
        <v>45658</v>
      </c>
      <c r="C4071" s="2">
        <v>255996</v>
      </c>
      <c r="D4071" s="2">
        <v>9384</v>
      </c>
      <c r="E4071" s="2">
        <v>209603</v>
      </c>
      <c r="F4071" s="2">
        <v>4561</v>
      </c>
      <c r="G4071" s="2">
        <v>908</v>
      </c>
      <c r="H4071" s="2">
        <v>46393</v>
      </c>
      <c r="I4071" s="2">
        <v>4823</v>
      </c>
    </row>
    <row r="4072" spans="1:9" x14ac:dyDescent="0.3">
      <c r="A4072" t="s">
        <v>61</v>
      </c>
      <c r="B4072" s="1">
        <v>45627</v>
      </c>
      <c r="C4072" s="2">
        <v>254958</v>
      </c>
      <c r="D4072" s="2">
        <v>-1222</v>
      </c>
      <c r="E4072" s="2">
        <v>213388</v>
      </c>
      <c r="F4072" s="2">
        <v>2978</v>
      </c>
      <c r="G4072" s="2">
        <v>-8231</v>
      </c>
      <c r="H4072" s="2">
        <v>41570</v>
      </c>
      <c r="I4072" s="2">
        <v>-4200</v>
      </c>
    </row>
    <row r="4073" spans="1:9" x14ac:dyDescent="0.3">
      <c r="A4073" t="s">
        <v>61</v>
      </c>
      <c r="B4073" s="1">
        <v>45597</v>
      </c>
      <c r="C4073" s="2">
        <v>265780</v>
      </c>
      <c r="D4073" s="2">
        <v>4039</v>
      </c>
      <c r="E4073" s="2">
        <v>220010</v>
      </c>
      <c r="F4073" s="2">
        <v>925</v>
      </c>
      <c r="G4073" s="2">
        <v>1005</v>
      </c>
      <c r="H4073" s="2">
        <v>45770</v>
      </c>
      <c r="I4073" s="2">
        <v>3114</v>
      </c>
    </row>
    <row r="4074" spans="1:9" x14ac:dyDescent="0.3">
      <c r="A4074" t="s">
        <v>61</v>
      </c>
      <c r="B4074" s="1">
        <v>45566</v>
      </c>
      <c r="C4074" s="2">
        <v>261758</v>
      </c>
      <c r="D4074" s="2">
        <v>21091</v>
      </c>
      <c r="E4074" s="2">
        <v>219102</v>
      </c>
      <c r="F4074" s="2">
        <v>22265</v>
      </c>
      <c r="G4074" s="2">
        <v>-3117</v>
      </c>
      <c r="H4074" s="2">
        <v>42656</v>
      </c>
      <c r="I4074" s="2">
        <v>-1174</v>
      </c>
    </row>
    <row r="4075" spans="1:9" x14ac:dyDescent="0.3">
      <c r="A4075" t="s">
        <v>61</v>
      </c>
      <c r="B4075" s="1">
        <v>45536</v>
      </c>
      <c r="C4075" s="2">
        <v>243722</v>
      </c>
      <c r="D4075" s="2">
        <v>2452</v>
      </c>
      <c r="E4075" s="2">
        <v>199892</v>
      </c>
      <c r="F4075" s="2">
        <v>-4721</v>
      </c>
      <c r="G4075" s="2">
        <v>-1785</v>
      </c>
      <c r="H4075" s="2">
        <v>43830</v>
      </c>
      <c r="I4075" s="2">
        <v>7173</v>
      </c>
    </row>
    <row r="4076" spans="1:9" x14ac:dyDescent="0.3">
      <c r="A4076" t="s">
        <v>61</v>
      </c>
      <c r="B4076" s="1">
        <v>45505</v>
      </c>
      <c r="C4076" s="2">
        <v>243658</v>
      </c>
      <c r="D4076" s="2">
        <v>3266</v>
      </c>
      <c r="E4076" s="2">
        <v>207001</v>
      </c>
      <c r="F4076" s="2">
        <v>-704</v>
      </c>
      <c r="G4076" s="2">
        <v>1781</v>
      </c>
      <c r="H4076" s="2">
        <v>36657</v>
      </c>
      <c r="I4076" s="2">
        <v>3970</v>
      </c>
    </row>
    <row r="4077" spans="1:9" x14ac:dyDescent="0.3">
      <c r="A4077" t="s">
        <v>61</v>
      </c>
      <c r="B4077" s="1">
        <v>45474</v>
      </c>
      <c r="C4077" s="2">
        <v>238645</v>
      </c>
      <c r="D4077" s="2">
        <v>10983</v>
      </c>
      <c r="E4077" s="2">
        <v>205958</v>
      </c>
      <c r="F4077" s="2">
        <v>10847</v>
      </c>
      <c r="G4077" s="2">
        <v>2121</v>
      </c>
      <c r="H4077" s="2">
        <v>32687</v>
      </c>
      <c r="I4077" s="2">
        <v>136</v>
      </c>
    </row>
    <row r="4078" spans="1:9" x14ac:dyDescent="0.3">
      <c r="A4078" t="s">
        <v>61</v>
      </c>
      <c r="B4078" s="1">
        <v>45444</v>
      </c>
      <c r="C4078" s="2">
        <v>226591</v>
      </c>
      <c r="D4078" s="2">
        <v>-174</v>
      </c>
      <c r="E4078" s="2">
        <v>194040</v>
      </c>
      <c r="F4078" s="2">
        <v>2046</v>
      </c>
      <c r="G4078" s="2">
        <v>1557</v>
      </c>
      <c r="H4078" s="2">
        <v>32551</v>
      </c>
      <c r="I4078" s="2">
        <v>-2220</v>
      </c>
    </row>
    <row r="4079" spans="1:9" x14ac:dyDescent="0.3">
      <c r="A4079" t="s">
        <v>61</v>
      </c>
      <c r="B4079" s="1">
        <v>45413</v>
      </c>
      <c r="C4079" s="2">
        <v>224171</v>
      </c>
      <c r="D4079" s="2">
        <v>-2254</v>
      </c>
      <c r="E4079" s="2">
        <v>189400</v>
      </c>
      <c r="F4079" s="2">
        <v>-1672</v>
      </c>
      <c r="G4079" s="2">
        <v>-578</v>
      </c>
      <c r="H4079" s="2">
        <v>34771</v>
      </c>
      <c r="I4079" s="2">
        <v>-582</v>
      </c>
    </row>
    <row r="4080" spans="1:9" x14ac:dyDescent="0.3">
      <c r="A4080" t="s">
        <v>61</v>
      </c>
      <c r="B4080" s="1">
        <v>45383</v>
      </c>
      <c r="C4080" s="2">
        <v>226550</v>
      </c>
      <c r="D4080" s="2">
        <v>21859</v>
      </c>
      <c r="E4080" s="2">
        <v>191197</v>
      </c>
      <c r="F4080" s="2">
        <v>18709</v>
      </c>
      <c r="G4080" s="2">
        <v>-3179</v>
      </c>
      <c r="H4080" s="2">
        <v>35353</v>
      </c>
      <c r="I4080" s="2">
        <v>3150</v>
      </c>
    </row>
    <row r="4081" spans="1:9" x14ac:dyDescent="0.3">
      <c r="A4081" t="s">
        <v>61</v>
      </c>
      <c r="B4081" s="1">
        <v>45352</v>
      </c>
      <c r="C4081" s="2">
        <v>208184</v>
      </c>
      <c r="D4081" s="2">
        <v>-8102</v>
      </c>
      <c r="E4081" s="2">
        <v>175981</v>
      </c>
      <c r="F4081" s="2">
        <v>-11218</v>
      </c>
      <c r="G4081" s="2">
        <v>-255</v>
      </c>
      <c r="H4081" s="2">
        <v>32203</v>
      </c>
      <c r="I4081" s="2">
        <v>3116</v>
      </c>
    </row>
    <row r="4082" spans="1:9" x14ac:dyDescent="0.3">
      <c r="A4082" t="s">
        <v>61</v>
      </c>
      <c r="B4082" s="1">
        <v>45323</v>
      </c>
      <c r="C4082" s="2">
        <v>216678</v>
      </c>
      <c r="D4082" s="2">
        <v>7762</v>
      </c>
      <c r="E4082" s="2">
        <v>187591</v>
      </c>
      <c r="F4082" s="2">
        <v>2159</v>
      </c>
      <c r="G4082" s="2">
        <v>-2494</v>
      </c>
      <c r="H4082" s="2">
        <v>29087</v>
      </c>
      <c r="I4082" s="2">
        <v>5603</v>
      </c>
    </row>
    <row r="4083" spans="1:9" x14ac:dyDescent="0.3">
      <c r="A4083" t="s">
        <v>61</v>
      </c>
      <c r="B4083" s="1">
        <v>45292</v>
      </c>
      <c r="C4083" s="2">
        <v>232745</v>
      </c>
      <c r="D4083" s="2">
        <v>-2789</v>
      </c>
      <c r="E4083" s="2">
        <v>209261</v>
      </c>
      <c r="F4083" s="2">
        <v>-5218</v>
      </c>
      <c r="G4083" s="2">
        <v>-2470</v>
      </c>
      <c r="H4083" s="2">
        <v>23484</v>
      </c>
      <c r="I4083" s="2">
        <v>2429</v>
      </c>
    </row>
    <row r="4084" spans="1:9" x14ac:dyDescent="0.3">
      <c r="A4084" t="s">
        <v>61</v>
      </c>
      <c r="B4084" s="1">
        <v>45261</v>
      </c>
      <c r="C4084" s="2">
        <v>238044</v>
      </c>
      <c r="D4084" s="2">
        <v>16116</v>
      </c>
      <c r="E4084" s="2">
        <v>216989</v>
      </c>
      <c r="F4084" s="2">
        <v>15136</v>
      </c>
      <c r="G4084" s="2">
        <v>5345</v>
      </c>
      <c r="H4084" s="2">
        <v>21055</v>
      </c>
      <c r="I4084" s="2">
        <v>980</v>
      </c>
    </row>
    <row r="4085" spans="1:9" x14ac:dyDescent="0.3">
      <c r="A4085" t="s">
        <v>61</v>
      </c>
      <c r="B4085" s="1">
        <v>45231</v>
      </c>
      <c r="C4085" s="2">
        <v>211149</v>
      </c>
      <c r="D4085" s="2">
        <v>5235</v>
      </c>
      <c r="E4085" s="2">
        <v>191074</v>
      </c>
      <c r="F4085" s="2">
        <v>6900</v>
      </c>
      <c r="G4085" s="2">
        <v>7978</v>
      </c>
      <c r="H4085" s="2">
        <v>20075</v>
      </c>
      <c r="I4085" s="2">
        <v>-1665</v>
      </c>
    </row>
    <row r="4086" spans="1:9" x14ac:dyDescent="0.3">
      <c r="A4086" t="s">
        <v>61</v>
      </c>
      <c r="B4086" s="1">
        <v>45200</v>
      </c>
      <c r="C4086" s="2">
        <v>199080</v>
      </c>
      <c r="D4086" s="2">
        <v>904</v>
      </c>
      <c r="E4086" s="2">
        <v>177340</v>
      </c>
      <c r="F4086" s="2">
        <v>5266</v>
      </c>
      <c r="G4086" s="2">
        <v>-2719</v>
      </c>
      <c r="H4086" s="2">
        <v>21740</v>
      </c>
      <c r="I4086" s="2">
        <v>-4362</v>
      </c>
    </row>
    <row r="4087" spans="1:9" x14ac:dyDescent="0.3">
      <c r="A4087" t="s">
        <v>61</v>
      </c>
      <c r="B4087" s="1">
        <v>45170</v>
      </c>
      <c r="C4087" s="2">
        <v>196982</v>
      </c>
      <c r="D4087" s="2">
        <v>1393</v>
      </c>
      <c r="E4087" s="2">
        <v>170880</v>
      </c>
      <c r="F4087" s="2">
        <v>424</v>
      </c>
      <c r="G4087" s="2">
        <v>-8025</v>
      </c>
      <c r="H4087" s="2">
        <v>26102</v>
      </c>
      <c r="I4087" s="2">
        <v>969</v>
      </c>
    </row>
    <row r="4088" spans="1:9" x14ac:dyDescent="0.3">
      <c r="A4088" t="s">
        <v>61</v>
      </c>
      <c r="B4088" s="1">
        <v>45139</v>
      </c>
      <c r="C4088" s="2">
        <v>202628</v>
      </c>
      <c r="D4088" s="2">
        <v>-5379</v>
      </c>
      <c r="E4088" s="2">
        <v>177495</v>
      </c>
      <c r="F4088" s="2">
        <v>4065</v>
      </c>
      <c r="G4088" s="2">
        <v>190</v>
      </c>
      <c r="H4088" s="2">
        <v>25133</v>
      </c>
      <c r="I4088" s="2">
        <v>-9444</v>
      </c>
    </row>
    <row r="4089" spans="1:9" x14ac:dyDescent="0.3">
      <c r="A4089" t="s">
        <v>61</v>
      </c>
      <c r="B4089" s="1">
        <v>45108</v>
      </c>
      <c r="C4089" s="2">
        <v>205872</v>
      </c>
      <c r="D4089" s="2">
        <v>7063</v>
      </c>
      <c r="E4089" s="2">
        <v>171295</v>
      </c>
      <c r="F4089" s="2">
        <v>2247</v>
      </c>
      <c r="G4089" s="2">
        <v>-380</v>
      </c>
      <c r="H4089" s="2">
        <v>34577</v>
      </c>
      <c r="I4089" s="2">
        <v>4816</v>
      </c>
    </row>
    <row r="4090" spans="1:9" x14ac:dyDescent="0.3">
      <c r="A4090" t="s">
        <v>61</v>
      </c>
      <c r="B4090" s="1">
        <v>45078</v>
      </c>
      <c r="C4090" s="2">
        <v>198925</v>
      </c>
      <c r="D4090" s="2">
        <v>-16154</v>
      </c>
      <c r="E4090" s="2">
        <v>169164</v>
      </c>
      <c r="F4090" s="2">
        <v>-12237</v>
      </c>
      <c r="G4090" s="2">
        <v>-691</v>
      </c>
      <c r="H4090" s="2">
        <v>29761</v>
      </c>
      <c r="I4090" s="2">
        <v>-3917</v>
      </c>
    </row>
    <row r="4091" spans="1:9" x14ac:dyDescent="0.3">
      <c r="A4091" t="s">
        <v>61</v>
      </c>
      <c r="B4091" s="1">
        <v>45047</v>
      </c>
      <c r="C4091" s="2">
        <v>216080</v>
      </c>
      <c r="D4091" s="2">
        <v>-297</v>
      </c>
      <c r="E4091" s="2">
        <v>182402</v>
      </c>
      <c r="F4091" s="2">
        <v>7260</v>
      </c>
      <c r="G4091" s="2">
        <v>-2457</v>
      </c>
      <c r="H4091" s="2">
        <v>33678</v>
      </c>
      <c r="I4091" s="2">
        <v>-7557</v>
      </c>
    </row>
    <row r="4092" spans="1:9" x14ac:dyDescent="0.3">
      <c r="A4092" t="s">
        <v>61</v>
      </c>
      <c r="B4092" s="1">
        <v>45017</v>
      </c>
      <c r="C4092" s="2">
        <v>222183</v>
      </c>
      <c r="D4092" s="2">
        <v>2179</v>
      </c>
      <c r="E4092" s="2">
        <v>180948</v>
      </c>
      <c r="F4092" s="2">
        <v>4764</v>
      </c>
      <c r="G4092" s="2">
        <v>-1712</v>
      </c>
      <c r="H4092" s="2">
        <v>41235</v>
      </c>
      <c r="I4092" s="2">
        <v>-2585</v>
      </c>
    </row>
    <row r="4093" spans="1:9" x14ac:dyDescent="0.3">
      <c r="A4093" t="s">
        <v>61</v>
      </c>
      <c r="B4093" s="1">
        <v>44986</v>
      </c>
      <c r="C4093" s="2">
        <v>223145</v>
      </c>
      <c r="D4093" s="2">
        <v>5168</v>
      </c>
      <c r="E4093" s="2">
        <v>179325</v>
      </c>
      <c r="F4093" s="2">
        <v>-313</v>
      </c>
      <c r="G4093" s="2">
        <v>3703</v>
      </c>
      <c r="H4093" s="2">
        <v>43820</v>
      </c>
      <c r="I4093" s="2">
        <v>5481</v>
      </c>
    </row>
    <row r="4094" spans="1:9" x14ac:dyDescent="0.3">
      <c r="A4094" t="s">
        <v>61</v>
      </c>
      <c r="B4094" s="1">
        <v>44958</v>
      </c>
      <c r="C4094" s="2">
        <v>212503</v>
      </c>
      <c r="D4094" s="2">
        <v>-5381</v>
      </c>
      <c r="E4094" s="2">
        <v>174164</v>
      </c>
      <c r="F4094" s="2">
        <v>-5434</v>
      </c>
      <c r="G4094" s="2">
        <v>-4649</v>
      </c>
      <c r="H4094" s="2">
        <v>38339</v>
      </c>
      <c r="I4094" s="2">
        <v>53</v>
      </c>
    </row>
    <row r="4095" spans="1:9" hidden="1" x14ac:dyDescent="0.3">
      <c r="A4095" t="s">
        <v>61</v>
      </c>
      <c r="B4095" s="1">
        <v>44927</v>
      </c>
      <c r="C4095" s="2">
        <v>220983</v>
      </c>
      <c r="D4095" s="2" t="s">
        <v>3</v>
      </c>
      <c r="E4095" s="2">
        <v>182697</v>
      </c>
      <c r="F4095" s="2" t="s">
        <v>3</v>
      </c>
      <c r="G4095" s="2" t="s">
        <v>3</v>
      </c>
      <c r="H4095" s="2">
        <v>38286</v>
      </c>
      <c r="I4095" s="2">
        <v>-1174</v>
      </c>
    </row>
    <row r="4096" spans="1:9" hidden="1" x14ac:dyDescent="0.3">
      <c r="A4096" t="s">
        <v>61</v>
      </c>
      <c r="B4096" s="1">
        <v>44896</v>
      </c>
      <c r="C4096" s="2">
        <v>214538</v>
      </c>
      <c r="D4096" s="2" t="s">
        <v>3</v>
      </c>
      <c r="E4096" s="2">
        <v>175078</v>
      </c>
      <c r="F4096" s="2" t="s">
        <v>3</v>
      </c>
      <c r="G4096" s="2" t="s">
        <v>3</v>
      </c>
      <c r="H4096" s="2">
        <v>39460</v>
      </c>
      <c r="I4096" s="2">
        <v>6346</v>
      </c>
    </row>
    <row r="4097" spans="1:9" hidden="1" x14ac:dyDescent="0.3">
      <c r="A4097" t="s">
        <v>61</v>
      </c>
      <c r="B4097" s="1">
        <v>44866</v>
      </c>
      <c r="C4097" s="2">
        <v>201169</v>
      </c>
      <c r="D4097" s="2" t="s">
        <v>3</v>
      </c>
      <c r="E4097" s="2">
        <v>168055</v>
      </c>
      <c r="F4097" s="2" t="s">
        <v>3</v>
      </c>
      <c r="G4097" s="2" t="s">
        <v>3</v>
      </c>
      <c r="H4097" s="2">
        <v>33114</v>
      </c>
      <c r="I4097" s="2">
        <v>6174</v>
      </c>
    </row>
    <row r="4098" spans="1:9" hidden="1" x14ac:dyDescent="0.3">
      <c r="A4098" t="s">
        <v>61</v>
      </c>
      <c r="B4098" s="1">
        <v>44835</v>
      </c>
      <c r="C4098" s="2">
        <v>185042</v>
      </c>
      <c r="D4098" s="2" t="s">
        <v>3</v>
      </c>
      <c r="E4098" s="2">
        <v>158102</v>
      </c>
      <c r="F4098" s="2" t="s">
        <v>3</v>
      </c>
      <c r="G4098" s="2" t="s">
        <v>3</v>
      </c>
      <c r="H4098" s="2">
        <v>26940</v>
      </c>
      <c r="I4098" s="2">
        <v>5081</v>
      </c>
    </row>
    <row r="4099" spans="1:9" hidden="1" x14ac:dyDescent="0.3">
      <c r="A4099" t="s">
        <v>61</v>
      </c>
      <c r="B4099" s="1">
        <v>44805</v>
      </c>
      <c r="C4099" s="2">
        <v>178699</v>
      </c>
      <c r="D4099" s="2" t="s">
        <v>3</v>
      </c>
      <c r="E4099" s="2">
        <v>156840</v>
      </c>
      <c r="F4099" s="2" t="s">
        <v>3</v>
      </c>
      <c r="G4099" s="2" t="s">
        <v>3</v>
      </c>
      <c r="H4099" s="2">
        <v>21859</v>
      </c>
      <c r="I4099" s="2">
        <v>-833</v>
      </c>
    </row>
    <row r="4100" spans="1:9" hidden="1" x14ac:dyDescent="0.3">
      <c r="A4100" t="s">
        <v>61</v>
      </c>
      <c r="B4100" s="1">
        <v>44774</v>
      </c>
      <c r="C4100" s="2">
        <v>189811</v>
      </c>
      <c r="D4100" s="2" t="s">
        <v>3</v>
      </c>
      <c r="E4100" s="2">
        <v>167119</v>
      </c>
      <c r="F4100" s="2" t="s">
        <v>3</v>
      </c>
      <c r="G4100" s="2" t="s">
        <v>3</v>
      </c>
      <c r="H4100" s="2">
        <v>22692</v>
      </c>
      <c r="I4100" s="2">
        <v>-2840</v>
      </c>
    </row>
    <row r="4101" spans="1:9" hidden="1" x14ac:dyDescent="0.3">
      <c r="A4101" t="s">
        <v>61</v>
      </c>
      <c r="B4101" s="1">
        <v>44743</v>
      </c>
      <c r="C4101" s="2">
        <v>192786</v>
      </c>
      <c r="D4101" s="2" t="s">
        <v>3</v>
      </c>
      <c r="E4101" s="2">
        <v>167254</v>
      </c>
      <c r="F4101" s="2" t="s">
        <v>3</v>
      </c>
      <c r="G4101" s="2" t="s">
        <v>3</v>
      </c>
      <c r="H4101" s="2">
        <v>25532</v>
      </c>
      <c r="I4101" s="2">
        <v>2815</v>
      </c>
    </row>
    <row r="4102" spans="1:9" hidden="1" x14ac:dyDescent="0.3">
      <c r="A4102" t="s">
        <v>61</v>
      </c>
      <c r="B4102" s="1">
        <v>44713</v>
      </c>
      <c r="C4102" s="2">
        <v>187307</v>
      </c>
      <c r="D4102" s="2" t="s">
        <v>3</v>
      </c>
      <c r="E4102" s="2">
        <v>164590</v>
      </c>
      <c r="F4102" s="2" t="s">
        <v>3</v>
      </c>
      <c r="G4102" s="2" t="s">
        <v>3</v>
      </c>
      <c r="H4102" s="2">
        <v>22717</v>
      </c>
      <c r="I4102" s="2">
        <v>-827</v>
      </c>
    </row>
    <row r="4103" spans="1:9" hidden="1" x14ac:dyDescent="0.3">
      <c r="A4103" t="s">
        <v>61</v>
      </c>
      <c r="B4103" s="1">
        <v>44682</v>
      </c>
      <c r="C4103" s="2">
        <v>185601</v>
      </c>
      <c r="D4103" s="2" t="s">
        <v>3</v>
      </c>
      <c r="E4103" s="2">
        <v>162057</v>
      </c>
      <c r="F4103" s="2" t="s">
        <v>3</v>
      </c>
      <c r="G4103" s="2" t="s">
        <v>3</v>
      </c>
      <c r="H4103" s="2">
        <v>23544</v>
      </c>
      <c r="I4103" s="2">
        <v>-1274</v>
      </c>
    </row>
    <row r="4104" spans="1:9" hidden="1" x14ac:dyDescent="0.3">
      <c r="A4104" t="s">
        <v>61</v>
      </c>
      <c r="B4104" s="1">
        <v>44652</v>
      </c>
      <c r="C4104" s="2">
        <v>194961</v>
      </c>
      <c r="D4104" s="2" t="s">
        <v>3</v>
      </c>
      <c r="E4104" s="2">
        <v>170143</v>
      </c>
      <c r="F4104" s="2" t="s">
        <v>3</v>
      </c>
      <c r="G4104" s="2" t="s">
        <v>3</v>
      </c>
      <c r="H4104" s="2">
        <v>24818</v>
      </c>
      <c r="I4104" s="2">
        <v>-2550</v>
      </c>
    </row>
    <row r="4105" spans="1:9" hidden="1" x14ac:dyDescent="0.3">
      <c r="A4105" t="s">
        <v>61</v>
      </c>
      <c r="B4105" s="1">
        <v>44621</v>
      </c>
      <c r="C4105" s="2">
        <v>207744</v>
      </c>
      <c r="D4105" s="2" t="s">
        <v>3</v>
      </c>
      <c r="E4105" s="2">
        <v>180376</v>
      </c>
      <c r="F4105" s="2" t="s">
        <v>3</v>
      </c>
      <c r="G4105" s="2" t="s">
        <v>3</v>
      </c>
      <c r="H4105" s="2">
        <v>27368</v>
      </c>
      <c r="I4105" s="2">
        <v>2867</v>
      </c>
    </row>
    <row r="4106" spans="1:9" hidden="1" x14ac:dyDescent="0.3">
      <c r="A4106" t="s">
        <v>61</v>
      </c>
      <c r="B4106" s="1">
        <v>44593</v>
      </c>
      <c r="C4106" s="2">
        <v>205398</v>
      </c>
      <c r="D4106" s="2" t="s">
        <v>3</v>
      </c>
      <c r="E4106" s="2">
        <v>180897</v>
      </c>
      <c r="F4106" s="2" t="s">
        <v>3</v>
      </c>
      <c r="G4106" s="2" t="s">
        <v>3</v>
      </c>
      <c r="H4106" s="2">
        <v>24501</v>
      </c>
      <c r="I4106" s="2">
        <v>4739</v>
      </c>
    </row>
    <row r="4107" spans="1:9" hidden="1" x14ac:dyDescent="0.3">
      <c r="A4107" t="s">
        <v>61</v>
      </c>
      <c r="B4107" s="1">
        <v>44562</v>
      </c>
      <c r="C4107" s="2">
        <v>225616</v>
      </c>
      <c r="D4107" s="2" t="s">
        <v>3</v>
      </c>
      <c r="E4107" s="2">
        <v>205854</v>
      </c>
      <c r="F4107" s="2" t="s">
        <v>3</v>
      </c>
      <c r="G4107" s="2" t="s">
        <v>3</v>
      </c>
      <c r="H4107" s="2">
        <v>19762</v>
      </c>
      <c r="I4107" s="2">
        <v>-1004</v>
      </c>
    </row>
    <row r="4108" spans="1:9" hidden="1" x14ac:dyDescent="0.3">
      <c r="A4108" t="s">
        <v>61</v>
      </c>
      <c r="B4108" s="1">
        <v>44531</v>
      </c>
      <c r="C4108" s="2">
        <v>225235</v>
      </c>
      <c r="D4108" s="2" t="s">
        <v>3</v>
      </c>
      <c r="E4108" s="2">
        <v>204469</v>
      </c>
      <c r="F4108" s="2" t="s">
        <v>3</v>
      </c>
      <c r="G4108" s="2" t="s">
        <v>3</v>
      </c>
      <c r="H4108" s="2">
        <v>20766</v>
      </c>
      <c r="I4108" s="2">
        <v>1162</v>
      </c>
    </row>
    <row r="4109" spans="1:9" hidden="1" x14ac:dyDescent="0.3">
      <c r="A4109" t="s">
        <v>61</v>
      </c>
      <c r="B4109" s="1">
        <v>44501</v>
      </c>
      <c r="C4109" s="2">
        <v>234371</v>
      </c>
      <c r="D4109" s="2" t="s">
        <v>3</v>
      </c>
      <c r="E4109" s="2">
        <v>214767</v>
      </c>
      <c r="F4109" s="2" t="s">
        <v>3</v>
      </c>
      <c r="G4109" s="2" t="s">
        <v>3</v>
      </c>
      <c r="H4109" s="2">
        <v>19604</v>
      </c>
      <c r="I4109" s="2">
        <v>424</v>
      </c>
    </row>
    <row r="4110" spans="1:9" hidden="1" x14ac:dyDescent="0.3">
      <c r="A4110" t="s">
        <v>61</v>
      </c>
      <c r="B4110" s="1">
        <v>44470</v>
      </c>
      <c r="C4110" s="2">
        <v>233369</v>
      </c>
      <c r="D4110" s="2" t="s">
        <v>3</v>
      </c>
      <c r="E4110" s="2">
        <v>214189</v>
      </c>
      <c r="F4110" s="2" t="s">
        <v>3</v>
      </c>
      <c r="G4110" s="2" t="s">
        <v>3</v>
      </c>
      <c r="H4110" s="2">
        <v>19180</v>
      </c>
      <c r="I4110" s="2">
        <v>-214</v>
      </c>
    </row>
    <row r="4111" spans="1:9" hidden="1" x14ac:dyDescent="0.3">
      <c r="A4111" t="s">
        <v>61</v>
      </c>
      <c r="B4111" s="1">
        <v>44440</v>
      </c>
      <c r="C4111" s="2">
        <v>229519</v>
      </c>
      <c r="D4111" s="2" t="s">
        <v>3</v>
      </c>
      <c r="E4111" s="2">
        <v>210125</v>
      </c>
      <c r="F4111" s="2" t="s">
        <v>3</v>
      </c>
      <c r="G4111" s="2" t="s">
        <v>3</v>
      </c>
      <c r="H4111" s="2">
        <v>19394</v>
      </c>
      <c r="I4111" s="2">
        <v>-1659</v>
      </c>
    </row>
    <row r="4112" spans="1:9" hidden="1" x14ac:dyDescent="0.3">
      <c r="A4112" t="s">
        <v>61</v>
      </c>
      <c r="B4112" s="1">
        <v>44409</v>
      </c>
      <c r="C4112" s="2">
        <v>219535</v>
      </c>
      <c r="D4112" s="2" t="s">
        <v>3</v>
      </c>
      <c r="E4112" s="2">
        <v>198482</v>
      </c>
      <c r="F4112" s="2" t="s">
        <v>3</v>
      </c>
      <c r="G4112" s="2" t="s">
        <v>3</v>
      </c>
      <c r="H4112" s="2">
        <v>21053</v>
      </c>
      <c r="I4112" s="2">
        <v>-1004</v>
      </c>
    </row>
    <row r="4113" spans="1:9" hidden="1" x14ac:dyDescent="0.3">
      <c r="A4113" t="s">
        <v>61</v>
      </c>
      <c r="B4113" s="1">
        <v>44378</v>
      </c>
      <c r="C4113" s="2">
        <v>227149</v>
      </c>
      <c r="D4113" s="2" t="s">
        <v>3</v>
      </c>
      <c r="E4113" s="2">
        <v>205092</v>
      </c>
      <c r="F4113" s="2" t="s">
        <v>3</v>
      </c>
      <c r="G4113" s="2" t="s">
        <v>3</v>
      </c>
      <c r="H4113" s="2">
        <v>22057</v>
      </c>
      <c r="I4113" s="2">
        <v>589</v>
      </c>
    </row>
    <row r="4114" spans="1:9" hidden="1" x14ac:dyDescent="0.3">
      <c r="A4114" t="s">
        <v>61</v>
      </c>
      <c r="B4114" s="1">
        <v>44348</v>
      </c>
      <c r="C4114" s="2">
        <v>219200</v>
      </c>
      <c r="D4114" s="2" t="s">
        <v>3</v>
      </c>
      <c r="E4114" s="2">
        <v>197732</v>
      </c>
      <c r="F4114" s="2" t="s">
        <v>3</v>
      </c>
      <c r="G4114" s="2" t="s">
        <v>3</v>
      </c>
      <c r="H4114" s="2">
        <v>21468</v>
      </c>
      <c r="I4114" s="2">
        <v>847</v>
      </c>
    </row>
    <row r="4115" spans="1:9" hidden="1" x14ac:dyDescent="0.3">
      <c r="A4115" t="s">
        <v>61</v>
      </c>
      <c r="B4115" s="1">
        <v>44317</v>
      </c>
      <c r="C4115" s="2">
        <v>224134</v>
      </c>
      <c r="D4115" s="2" t="s">
        <v>3</v>
      </c>
      <c r="E4115" s="2">
        <v>203513</v>
      </c>
      <c r="F4115" s="2" t="s">
        <v>3</v>
      </c>
      <c r="G4115" s="2" t="s">
        <v>3</v>
      </c>
      <c r="H4115" s="2">
        <v>20621</v>
      </c>
      <c r="I4115" s="2">
        <v>-1545</v>
      </c>
    </row>
    <row r="4116" spans="1:9" hidden="1" x14ac:dyDescent="0.3">
      <c r="A4116" t="s">
        <v>61</v>
      </c>
      <c r="B4116" s="1">
        <v>44287</v>
      </c>
      <c r="C4116" s="2">
        <v>215904</v>
      </c>
      <c r="D4116" s="2" t="s">
        <v>3</v>
      </c>
      <c r="E4116" s="2">
        <v>193738</v>
      </c>
      <c r="F4116" s="2" t="s">
        <v>3</v>
      </c>
      <c r="G4116" s="2" t="s">
        <v>3</v>
      </c>
      <c r="H4116" s="2">
        <v>22166</v>
      </c>
      <c r="I4116" s="2">
        <v>-9709</v>
      </c>
    </row>
    <row r="4117" spans="1:9" hidden="1" x14ac:dyDescent="0.3">
      <c r="A4117" t="s">
        <v>61</v>
      </c>
      <c r="B4117" s="1">
        <v>44256</v>
      </c>
      <c r="C4117" s="2">
        <v>226969</v>
      </c>
      <c r="D4117" s="2" t="s">
        <v>3</v>
      </c>
      <c r="E4117" s="2">
        <v>195094</v>
      </c>
      <c r="F4117" s="2" t="s">
        <v>3</v>
      </c>
      <c r="G4117" s="2" t="s">
        <v>3</v>
      </c>
      <c r="H4117" s="2">
        <v>31875</v>
      </c>
      <c r="I4117" s="2">
        <v>1517</v>
      </c>
    </row>
    <row r="4118" spans="1:9" hidden="1" x14ac:dyDescent="0.3">
      <c r="A4118" t="s">
        <v>61</v>
      </c>
      <c r="B4118" s="1">
        <v>44228</v>
      </c>
      <c r="C4118" s="2">
        <v>224996</v>
      </c>
      <c r="D4118" s="2" t="s">
        <v>3</v>
      </c>
      <c r="E4118" s="2">
        <v>194638</v>
      </c>
      <c r="F4118" s="2" t="s">
        <v>3</v>
      </c>
      <c r="G4118" s="2" t="s">
        <v>3</v>
      </c>
      <c r="H4118" s="2">
        <v>30358</v>
      </c>
      <c r="I4118" s="2">
        <v>-1063</v>
      </c>
    </row>
    <row r="4119" spans="1:9" hidden="1" x14ac:dyDescent="0.3">
      <c r="A4119" t="s">
        <v>61</v>
      </c>
      <c r="B4119" s="1">
        <v>44197</v>
      </c>
      <c r="C4119" s="2">
        <v>223907</v>
      </c>
      <c r="D4119" s="2" t="s">
        <v>3</v>
      </c>
      <c r="E4119" s="2">
        <v>192486</v>
      </c>
      <c r="F4119" s="2" t="s">
        <v>3</v>
      </c>
      <c r="G4119" s="2" t="s">
        <v>3</v>
      </c>
      <c r="H4119" s="2">
        <v>31421</v>
      </c>
      <c r="I4119" s="2">
        <v>744</v>
      </c>
    </row>
    <row r="4120" spans="1:9" hidden="1" x14ac:dyDescent="0.3">
      <c r="A4120" t="s">
        <v>61</v>
      </c>
      <c r="B4120" s="1">
        <v>44166</v>
      </c>
      <c r="C4120" s="2">
        <v>224078</v>
      </c>
      <c r="D4120" s="2" t="s">
        <v>3</v>
      </c>
      <c r="E4120" s="2">
        <v>193401</v>
      </c>
      <c r="F4120" s="2" t="s">
        <v>3</v>
      </c>
      <c r="G4120" s="2" t="s">
        <v>3</v>
      </c>
      <c r="H4120" s="2">
        <v>30677</v>
      </c>
      <c r="I4120" s="2">
        <v>1817</v>
      </c>
    </row>
    <row r="4121" spans="1:9" hidden="1" x14ac:dyDescent="0.3">
      <c r="A4121" t="s">
        <v>61</v>
      </c>
      <c r="B4121" s="1">
        <v>44136</v>
      </c>
      <c r="C4121" s="2">
        <v>223781</v>
      </c>
      <c r="D4121" s="2" t="s">
        <v>3</v>
      </c>
      <c r="E4121" s="2">
        <v>194921</v>
      </c>
      <c r="F4121" s="2" t="s">
        <v>3</v>
      </c>
      <c r="G4121" s="2" t="s">
        <v>3</v>
      </c>
      <c r="H4121" s="2">
        <v>28860</v>
      </c>
      <c r="I4121" s="2">
        <v>-1776</v>
      </c>
    </row>
    <row r="4122" spans="1:9" hidden="1" x14ac:dyDescent="0.3">
      <c r="A4122" t="s">
        <v>61</v>
      </c>
      <c r="B4122" s="1">
        <v>44105</v>
      </c>
      <c r="C4122" s="2">
        <v>226626</v>
      </c>
      <c r="D4122" s="2" t="s">
        <v>3</v>
      </c>
      <c r="E4122" s="2">
        <v>195990</v>
      </c>
      <c r="F4122" s="2" t="s">
        <v>3</v>
      </c>
      <c r="G4122" s="2" t="s">
        <v>3</v>
      </c>
      <c r="H4122" s="2">
        <v>30636</v>
      </c>
      <c r="I4122" s="2">
        <v>8185</v>
      </c>
    </row>
    <row r="4123" spans="1:9" hidden="1" x14ac:dyDescent="0.3">
      <c r="A4123" t="s">
        <v>61</v>
      </c>
      <c r="B4123" s="1">
        <v>44075</v>
      </c>
      <c r="C4123" s="2">
        <v>241652</v>
      </c>
      <c r="D4123" s="2" t="s">
        <v>3</v>
      </c>
      <c r="E4123" s="2">
        <v>219201</v>
      </c>
      <c r="F4123" s="2" t="s">
        <v>3</v>
      </c>
      <c r="G4123" s="2" t="s">
        <v>3</v>
      </c>
      <c r="H4123" s="2">
        <v>22451</v>
      </c>
      <c r="I4123" s="2">
        <v>1096</v>
      </c>
    </row>
    <row r="4124" spans="1:9" hidden="1" x14ac:dyDescent="0.3">
      <c r="A4124" t="s">
        <v>61</v>
      </c>
      <c r="B4124" s="1">
        <v>44044</v>
      </c>
      <c r="C4124" s="2">
        <v>246736</v>
      </c>
      <c r="D4124" s="2" t="s">
        <v>3</v>
      </c>
      <c r="E4124" s="2">
        <v>225381</v>
      </c>
      <c r="F4124" s="2" t="s">
        <v>3</v>
      </c>
      <c r="G4124" s="2" t="s">
        <v>3</v>
      </c>
      <c r="H4124" s="2">
        <v>21355</v>
      </c>
      <c r="I4124" s="2">
        <v>-2490</v>
      </c>
    </row>
    <row r="4125" spans="1:9" hidden="1" x14ac:dyDescent="0.3">
      <c r="A4125" t="s">
        <v>61</v>
      </c>
      <c r="B4125" s="1">
        <v>44013</v>
      </c>
      <c r="C4125" s="2">
        <v>262711</v>
      </c>
      <c r="D4125" s="2" t="s">
        <v>3</v>
      </c>
      <c r="E4125" s="2">
        <v>238866</v>
      </c>
      <c r="F4125" s="2" t="s">
        <v>3</v>
      </c>
      <c r="G4125" s="2" t="s">
        <v>3</v>
      </c>
      <c r="H4125" s="2">
        <v>23845</v>
      </c>
      <c r="I4125" s="2">
        <v>-2576</v>
      </c>
    </row>
    <row r="4126" spans="1:9" hidden="1" x14ac:dyDescent="0.3">
      <c r="A4126" t="s">
        <v>61</v>
      </c>
      <c r="B4126" s="1">
        <v>43983</v>
      </c>
      <c r="C4126" s="2">
        <v>262199</v>
      </c>
      <c r="D4126" s="2" t="s">
        <v>3</v>
      </c>
      <c r="E4126" s="2">
        <v>235778</v>
      </c>
      <c r="F4126" s="2" t="s">
        <v>3</v>
      </c>
      <c r="G4126" s="2" t="s">
        <v>3</v>
      </c>
      <c r="H4126" s="2">
        <v>26421</v>
      </c>
      <c r="I4126" s="2">
        <v>1755</v>
      </c>
    </row>
    <row r="4127" spans="1:9" hidden="1" x14ac:dyDescent="0.3">
      <c r="A4127" t="s">
        <v>61</v>
      </c>
      <c r="B4127" s="1">
        <v>43952</v>
      </c>
      <c r="C4127" s="2">
        <v>269024</v>
      </c>
      <c r="D4127" s="2" t="s">
        <v>3</v>
      </c>
      <c r="E4127" s="2">
        <v>244358</v>
      </c>
      <c r="F4127" s="2" t="s">
        <v>3</v>
      </c>
      <c r="G4127" s="2" t="s">
        <v>3</v>
      </c>
      <c r="H4127" s="2">
        <v>24666</v>
      </c>
      <c r="I4127" s="2">
        <v>10099</v>
      </c>
    </row>
    <row r="4128" spans="1:9" hidden="1" x14ac:dyDescent="0.3">
      <c r="A4128" t="s">
        <v>61</v>
      </c>
      <c r="B4128" s="1">
        <v>43922</v>
      </c>
      <c r="C4128" s="2">
        <v>259365</v>
      </c>
      <c r="D4128" s="2" t="s">
        <v>3</v>
      </c>
      <c r="E4128" s="2">
        <v>244798</v>
      </c>
      <c r="F4128" s="2" t="s">
        <v>3</v>
      </c>
      <c r="G4128" s="2" t="s">
        <v>3</v>
      </c>
      <c r="H4128" s="2">
        <v>14567</v>
      </c>
      <c r="I4128" s="2">
        <v>-49</v>
      </c>
    </row>
    <row r="4129" spans="1:9" hidden="1" x14ac:dyDescent="0.3">
      <c r="A4129" t="s">
        <v>61</v>
      </c>
      <c r="B4129" s="1">
        <v>43891</v>
      </c>
      <c r="C4129" s="2">
        <v>256032</v>
      </c>
      <c r="D4129" s="2" t="s">
        <v>3</v>
      </c>
      <c r="E4129" s="2">
        <v>241416</v>
      </c>
      <c r="F4129" s="2" t="s">
        <v>3</v>
      </c>
      <c r="G4129" s="2" t="s">
        <v>3</v>
      </c>
      <c r="H4129" s="2">
        <v>14616</v>
      </c>
      <c r="I4129" s="2">
        <v>-5121</v>
      </c>
    </row>
    <row r="4130" spans="1:9" hidden="1" x14ac:dyDescent="0.3">
      <c r="A4130" t="s">
        <v>61</v>
      </c>
      <c r="B4130" s="1">
        <v>43862</v>
      </c>
      <c r="C4130" s="2">
        <v>268405</v>
      </c>
      <c r="D4130" s="2" t="s">
        <v>3</v>
      </c>
      <c r="E4130" s="2">
        <v>248668</v>
      </c>
      <c r="F4130" s="2" t="s">
        <v>3</v>
      </c>
      <c r="G4130" s="2" t="s">
        <v>3</v>
      </c>
      <c r="H4130" s="2">
        <v>19737</v>
      </c>
      <c r="I4130" s="2">
        <v>4635</v>
      </c>
    </row>
    <row r="4131" spans="1:9" hidden="1" x14ac:dyDescent="0.3">
      <c r="A4131" t="s">
        <v>61</v>
      </c>
      <c r="B4131" s="1">
        <v>43831</v>
      </c>
      <c r="C4131" s="2">
        <v>252956</v>
      </c>
      <c r="D4131" s="2" t="s">
        <v>3</v>
      </c>
      <c r="E4131" s="2">
        <v>237854</v>
      </c>
      <c r="F4131" s="2" t="s">
        <v>3</v>
      </c>
      <c r="G4131" s="2" t="s">
        <v>3</v>
      </c>
      <c r="H4131" s="2">
        <v>15102</v>
      </c>
      <c r="I4131" s="2">
        <v>-917</v>
      </c>
    </row>
    <row r="4132" spans="1:9" x14ac:dyDescent="0.3">
      <c r="A4132" t="s">
        <v>62</v>
      </c>
      <c r="B4132" s="1">
        <v>45931</v>
      </c>
      <c r="C4132" s="2">
        <v>190744</v>
      </c>
      <c r="D4132" s="2">
        <v>-12491</v>
      </c>
      <c r="E4132" s="2">
        <v>175254</v>
      </c>
      <c r="F4132" s="2">
        <v>-13636</v>
      </c>
      <c r="G4132" s="2">
        <v>521</v>
      </c>
      <c r="H4132" s="2">
        <v>15490</v>
      </c>
      <c r="I4132" s="2">
        <v>1145</v>
      </c>
    </row>
    <row r="4133" spans="1:9" x14ac:dyDescent="0.3">
      <c r="A4133" t="s">
        <v>62</v>
      </c>
      <c r="B4133" s="1">
        <v>45901</v>
      </c>
      <c r="C4133" s="2">
        <v>202670</v>
      </c>
      <c r="D4133" s="2">
        <v>-16905</v>
      </c>
      <c r="E4133" s="2">
        <v>188325</v>
      </c>
      <c r="F4133" s="2">
        <v>-13486</v>
      </c>
      <c r="G4133" s="2">
        <v>191</v>
      </c>
      <c r="H4133" s="2">
        <v>14345</v>
      </c>
      <c r="I4133" s="2">
        <v>-3419</v>
      </c>
    </row>
    <row r="4134" spans="1:9" x14ac:dyDescent="0.3">
      <c r="A4134" t="s">
        <v>62</v>
      </c>
      <c r="B4134" s="1">
        <v>45870</v>
      </c>
      <c r="C4134" s="2">
        <v>219376</v>
      </c>
      <c r="D4134" s="2">
        <v>-2416</v>
      </c>
      <c r="E4134" s="2">
        <v>201612</v>
      </c>
      <c r="F4134" s="2">
        <v>-4234</v>
      </c>
      <c r="G4134" s="2">
        <v>2110</v>
      </c>
      <c r="H4134" s="2">
        <v>17764</v>
      </c>
      <c r="I4134" s="2">
        <v>1818</v>
      </c>
    </row>
    <row r="4135" spans="1:9" x14ac:dyDescent="0.3">
      <c r="A4135" t="s">
        <v>62</v>
      </c>
      <c r="B4135" s="1">
        <v>45839</v>
      </c>
      <c r="C4135" s="2">
        <v>219691</v>
      </c>
      <c r="D4135" s="2">
        <v>-6700</v>
      </c>
      <c r="E4135" s="2">
        <v>203745</v>
      </c>
      <c r="F4135" s="2">
        <v>-6427</v>
      </c>
      <c r="G4135" s="2">
        <v>-977</v>
      </c>
      <c r="H4135" s="2">
        <v>15946</v>
      </c>
      <c r="I4135" s="2">
        <v>-273</v>
      </c>
    </row>
    <row r="4136" spans="1:9" x14ac:dyDescent="0.3">
      <c r="A4136" t="s">
        <v>62</v>
      </c>
      <c r="B4136" s="1">
        <v>45809</v>
      </c>
      <c r="C4136" s="2">
        <v>227364</v>
      </c>
      <c r="D4136" s="2">
        <v>-9609</v>
      </c>
      <c r="E4136" s="2">
        <v>211145</v>
      </c>
      <c r="F4136" s="2">
        <v>-8683</v>
      </c>
      <c r="G4136" s="2">
        <v>1646</v>
      </c>
      <c r="H4136" s="2">
        <v>16219</v>
      </c>
      <c r="I4136" s="2">
        <v>-926</v>
      </c>
    </row>
    <row r="4137" spans="1:9" x14ac:dyDescent="0.3">
      <c r="A4137" t="s">
        <v>62</v>
      </c>
      <c r="B4137" s="1">
        <v>45778</v>
      </c>
      <c r="C4137" s="2">
        <v>235329</v>
      </c>
      <c r="D4137" s="2">
        <v>4481</v>
      </c>
      <c r="E4137" s="2">
        <v>218184</v>
      </c>
      <c r="F4137" s="2">
        <v>1712</v>
      </c>
      <c r="G4137" s="2">
        <v>-1684</v>
      </c>
      <c r="H4137" s="2">
        <v>17145</v>
      </c>
      <c r="I4137" s="2">
        <v>2769</v>
      </c>
    </row>
    <row r="4138" spans="1:9" x14ac:dyDescent="0.3">
      <c r="A4138" t="s">
        <v>62</v>
      </c>
      <c r="B4138" s="1">
        <v>45748</v>
      </c>
      <c r="C4138" s="2">
        <v>232510</v>
      </c>
      <c r="D4138" s="2">
        <v>-9176</v>
      </c>
      <c r="E4138" s="2">
        <v>218134</v>
      </c>
      <c r="F4138" s="2">
        <v>-5459</v>
      </c>
      <c r="G4138" s="2">
        <v>1842</v>
      </c>
      <c r="H4138" s="2">
        <v>14376</v>
      </c>
      <c r="I4138" s="2">
        <v>-3717</v>
      </c>
    </row>
    <row r="4139" spans="1:9" x14ac:dyDescent="0.3">
      <c r="A4139" t="s">
        <v>62</v>
      </c>
      <c r="B4139" s="1">
        <v>45717</v>
      </c>
      <c r="C4139" s="2">
        <v>239855</v>
      </c>
      <c r="D4139" s="2">
        <v>11186</v>
      </c>
      <c r="E4139" s="2">
        <v>221762</v>
      </c>
      <c r="F4139" s="2">
        <v>9663</v>
      </c>
      <c r="G4139" s="2">
        <v>664</v>
      </c>
      <c r="H4139" s="2">
        <v>18093</v>
      </c>
      <c r="I4139" s="2">
        <v>1523</v>
      </c>
    </row>
    <row r="4140" spans="1:9" x14ac:dyDescent="0.3">
      <c r="A4140" t="s">
        <v>62</v>
      </c>
      <c r="B4140" s="1">
        <v>45689</v>
      </c>
      <c r="C4140" s="2">
        <v>228000</v>
      </c>
      <c r="D4140" s="2">
        <v>-461</v>
      </c>
      <c r="E4140" s="2">
        <v>211430</v>
      </c>
      <c r="F4140" s="2">
        <v>-1602</v>
      </c>
      <c r="G4140" s="2">
        <v>2800</v>
      </c>
      <c r="H4140" s="2">
        <v>16570</v>
      </c>
      <c r="I4140" s="2">
        <v>1141</v>
      </c>
    </row>
    <row r="4141" spans="1:9" x14ac:dyDescent="0.3">
      <c r="A4141" t="s">
        <v>62</v>
      </c>
      <c r="B4141" s="1">
        <v>45658</v>
      </c>
      <c r="C4141" s="2">
        <v>225675</v>
      </c>
      <c r="D4141" s="2">
        <v>5859</v>
      </c>
      <c r="E4141" s="2">
        <v>210246</v>
      </c>
      <c r="F4141" s="2">
        <v>-3336</v>
      </c>
      <c r="G4141" s="2">
        <v>747</v>
      </c>
      <c r="H4141" s="2">
        <v>15429</v>
      </c>
      <c r="I4141" s="2">
        <v>9195</v>
      </c>
    </row>
    <row r="4142" spans="1:9" x14ac:dyDescent="0.3">
      <c r="A4142" t="s">
        <v>62</v>
      </c>
      <c r="B4142" s="1">
        <v>45627</v>
      </c>
      <c r="C4142" s="2">
        <v>219075</v>
      </c>
      <c r="D4142" s="2">
        <v>-12608</v>
      </c>
      <c r="E4142" s="2">
        <v>212841</v>
      </c>
      <c r="F4142" s="2">
        <v>-10278</v>
      </c>
      <c r="G4142" s="2">
        <v>-2334</v>
      </c>
      <c r="H4142" s="2">
        <v>6234</v>
      </c>
      <c r="I4142" s="2">
        <v>-2330</v>
      </c>
    </row>
    <row r="4143" spans="1:9" x14ac:dyDescent="0.3">
      <c r="A4143" t="s">
        <v>62</v>
      </c>
      <c r="B4143" s="1">
        <v>45597</v>
      </c>
      <c r="C4143" s="2">
        <v>234010</v>
      </c>
      <c r="D4143" s="2">
        <v>-8513</v>
      </c>
      <c r="E4143" s="2">
        <v>225446</v>
      </c>
      <c r="F4143" s="2">
        <v>-6524</v>
      </c>
      <c r="G4143" s="2">
        <v>1126</v>
      </c>
      <c r="H4143" s="2">
        <v>8564</v>
      </c>
      <c r="I4143" s="2">
        <v>-1989</v>
      </c>
    </row>
    <row r="4144" spans="1:9" x14ac:dyDescent="0.3">
      <c r="A4144" t="s">
        <v>62</v>
      </c>
      <c r="B4144" s="1">
        <v>45566</v>
      </c>
      <c r="C4144" s="2">
        <v>241399</v>
      </c>
      <c r="D4144" s="2">
        <v>-892</v>
      </c>
      <c r="E4144" s="2">
        <v>230846</v>
      </c>
      <c r="F4144" s="2">
        <v>7293</v>
      </c>
      <c r="G4144" s="2">
        <v>-4944</v>
      </c>
      <c r="H4144" s="2">
        <v>10553</v>
      </c>
      <c r="I4144" s="2">
        <v>-8185</v>
      </c>
    </row>
    <row r="4145" spans="1:9" x14ac:dyDescent="0.3">
      <c r="A4145" t="s">
        <v>62</v>
      </c>
      <c r="B4145" s="1">
        <v>45536</v>
      </c>
      <c r="C4145" s="2">
        <v>247234</v>
      </c>
      <c r="D4145" s="2">
        <v>-455</v>
      </c>
      <c r="E4145" s="2">
        <v>228496</v>
      </c>
      <c r="F4145" s="2">
        <v>-3902</v>
      </c>
      <c r="G4145" s="2">
        <v>1712</v>
      </c>
      <c r="H4145" s="2">
        <v>18738</v>
      </c>
      <c r="I4145" s="2">
        <v>3447</v>
      </c>
    </row>
    <row r="4146" spans="1:9" x14ac:dyDescent="0.3">
      <c r="A4146" t="s">
        <v>62</v>
      </c>
      <c r="B4146" s="1">
        <v>45505</v>
      </c>
      <c r="C4146" s="2">
        <v>245943</v>
      </c>
      <c r="D4146" s="2">
        <v>5221</v>
      </c>
      <c r="E4146" s="2">
        <v>230652</v>
      </c>
      <c r="F4146" s="2">
        <v>625</v>
      </c>
      <c r="G4146" s="2">
        <v>1911</v>
      </c>
      <c r="H4146" s="2">
        <v>15291</v>
      </c>
      <c r="I4146" s="2">
        <v>4596</v>
      </c>
    </row>
    <row r="4147" spans="1:9" x14ac:dyDescent="0.3">
      <c r="A4147" t="s">
        <v>62</v>
      </c>
      <c r="B4147" s="1">
        <v>45474</v>
      </c>
      <c r="C4147" s="2">
        <v>238821</v>
      </c>
      <c r="D4147" s="2">
        <v>-6835</v>
      </c>
      <c r="E4147" s="2">
        <v>228126</v>
      </c>
      <c r="F4147" s="2">
        <v>-8484</v>
      </c>
      <c r="G4147" s="2">
        <v>3719</v>
      </c>
      <c r="H4147" s="2">
        <v>10695</v>
      </c>
      <c r="I4147" s="2">
        <v>1649</v>
      </c>
    </row>
    <row r="4148" spans="1:9" x14ac:dyDescent="0.3">
      <c r="A4148" t="s">
        <v>62</v>
      </c>
      <c r="B4148" s="1">
        <v>45444</v>
      </c>
      <c r="C4148" s="2">
        <v>241919</v>
      </c>
      <c r="D4148" s="2">
        <v>2725</v>
      </c>
      <c r="E4148" s="2">
        <v>232873</v>
      </c>
      <c r="F4148" s="2">
        <v>4627</v>
      </c>
      <c r="G4148" s="2">
        <v>1412</v>
      </c>
      <c r="H4148" s="2">
        <v>9046</v>
      </c>
      <c r="I4148" s="2">
        <v>-1902</v>
      </c>
    </row>
    <row r="4149" spans="1:9" x14ac:dyDescent="0.3">
      <c r="A4149" t="s">
        <v>62</v>
      </c>
      <c r="B4149" s="1">
        <v>45413</v>
      </c>
      <c r="C4149" s="2">
        <v>237758</v>
      </c>
      <c r="D4149" s="2">
        <v>2142</v>
      </c>
      <c r="E4149" s="2">
        <v>226810</v>
      </c>
      <c r="F4149" s="2">
        <v>1937</v>
      </c>
      <c r="G4149" s="2">
        <v>2077</v>
      </c>
      <c r="H4149" s="2">
        <v>10948</v>
      </c>
      <c r="I4149" s="2">
        <v>205</v>
      </c>
    </row>
    <row r="4150" spans="1:9" x14ac:dyDescent="0.3">
      <c r="A4150" t="s">
        <v>62</v>
      </c>
      <c r="B4150" s="1">
        <v>45383</v>
      </c>
      <c r="C4150" s="2">
        <v>233537</v>
      </c>
      <c r="D4150" s="2">
        <v>-3509</v>
      </c>
      <c r="E4150" s="2">
        <v>222794</v>
      </c>
      <c r="F4150" s="2">
        <v>-1817</v>
      </c>
      <c r="G4150" s="2">
        <v>-3533</v>
      </c>
      <c r="H4150" s="2">
        <v>10743</v>
      </c>
      <c r="I4150" s="2">
        <v>-1692</v>
      </c>
    </row>
    <row r="4151" spans="1:9" x14ac:dyDescent="0.3">
      <c r="A4151" t="s">
        <v>62</v>
      </c>
      <c r="B4151" s="1">
        <v>45352</v>
      </c>
      <c r="C4151" s="2">
        <v>240627</v>
      </c>
      <c r="D4151" s="2">
        <v>5227</v>
      </c>
      <c r="E4151" s="2">
        <v>228192</v>
      </c>
      <c r="F4151" s="2">
        <v>2345</v>
      </c>
      <c r="G4151" s="2">
        <v>685</v>
      </c>
      <c r="H4151" s="2">
        <v>12435</v>
      </c>
      <c r="I4151" s="2">
        <v>2882</v>
      </c>
    </row>
    <row r="4152" spans="1:9" x14ac:dyDescent="0.3">
      <c r="A4152" t="s">
        <v>62</v>
      </c>
      <c r="B4152" s="1">
        <v>45323</v>
      </c>
      <c r="C4152" s="2">
        <v>234719</v>
      </c>
      <c r="D4152" s="2">
        <v>1252</v>
      </c>
      <c r="E4152" s="2">
        <v>225166</v>
      </c>
      <c r="F4152" s="2">
        <v>1607</v>
      </c>
      <c r="G4152" s="2">
        <v>-2637</v>
      </c>
      <c r="H4152" s="2">
        <v>9553</v>
      </c>
      <c r="I4152" s="2">
        <v>-355</v>
      </c>
    </row>
    <row r="4153" spans="1:9" x14ac:dyDescent="0.3">
      <c r="A4153" t="s">
        <v>62</v>
      </c>
      <c r="B4153" s="1">
        <v>45292</v>
      </c>
      <c r="C4153" s="2">
        <v>236122</v>
      </c>
      <c r="D4153" s="2">
        <v>2203</v>
      </c>
      <c r="E4153" s="2">
        <v>226214</v>
      </c>
      <c r="F4153" s="2">
        <v>-851</v>
      </c>
      <c r="G4153" s="2">
        <v>206</v>
      </c>
      <c r="H4153" s="2">
        <v>9908</v>
      </c>
      <c r="I4153" s="2">
        <v>3054</v>
      </c>
    </row>
    <row r="4154" spans="1:9" x14ac:dyDescent="0.3">
      <c r="A4154" t="s">
        <v>62</v>
      </c>
      <c r="B4154" s="1">
        <v>45261</v>
      </c>
      <c r="C4154" s="2">
        <v>233707</v>
      </c>
      <c r="D4154" s="2">
        <v>4856</v>
      </c>
      <c r="E4154" s="2">
        <v>226853</v>
      </c>
      <c r="F4154" s="2">
        <v>4239</v>
      </c>
      <c r="G4154" s="2">
        <v>3902</v>
      </c>
      <c r="H4154" s="2">
        <v>6854</v>
      </c>
      <c r="I4154" s="2">
        <v>617</v>
      </c>
    </row>
    <row r="4155" spans="1:9" x14ac:dyDescent="0.3">
      <c r="A4155" t="s">
        <v>62</v>
      </c>
      <c r="B4155" s="1">
        <v>45231</v>
      </c>
      <c r="C4155" s="2">
        <v>224899</v>
      </c>
      <c r="D4155" s="2">
        <v>-1446</v>
      </c>
      <c r="E4155" s="2">
        <v>218662</v>
      </c>
      <c r="F4155" s="2">
        <v>-4030</v>
      </c>
      <c r="G4155" s="2">
        <v>4290</v>
      </c>
      <c r="H4155" s="2">
        <v>6237</v>
      </c>
      <c r="I4155" s="2">
        <v>2584</v>
      </c>
    </row>
    <row r="4156" spans="1:9" x14ac:dyDescent="0.3">
      <c r="A4156" t="s">
        <v>62</v>
      </c>
      <c r="B4156" s="1">
        <v>45200</v>
      </c>
      <c r="C4156" s="2">
        <v>222040</v>
      </c>
      <c r="D4156" s="2">
        <v>-5791</v>
      </c>
      <c r="E4156" s="2">
        <v>218387</v>
      </c>
      <c r="F4156" s="2">
        <v>-8201</v>
      </c>
      <c r="G4156" s="2">
        <v>-1247</v>
      </c>
      <c r="H4156" s="2">
        <v>3653</v>
      </c>
      <c r="I4156" s="2">
        <v>2410</v>
      </c>
    </row>
    <row r="4157" spans="1:9" x14ac:dyDescent="0.3">
      <c r="A4157" t="s">
        <v>62</v>
      </c>
      <c r="B4157" s="1">
        <v>45170</v>
      </c>
      <c r="C4157" s="2">
        <v>229081</v>
      </c>
      <c r="D4157" s="2">
        <v>-989</v>
      </c>
      <c r="E4157" s="2">
        <v>227838</v>
      </c>
      <c r="F4157" s="2">
        <v>-559</v>
      </c>
      <c r="G4157" s="2">
        <v>-2412</v>
      </c>
      <c r="H4157" s="2">
        <v>1243</v>
      </c>
      <c r="I4157" s="2">
        <v>-430</v>
      </c>
    </row>
    <row r="4158" spans="1:9" x14ac:dyDescent="0.3">
      <c r="A4158" t="s">
        <v>62</v>
      </c>
      <c r="B4158" s="1">
        <v>45139</v>
      </c>
      <c r="C4158" s="2">
        <v>232493</v>
      </c>
      <c r="D4158" s="2">
        <v>-335</v>
      </c>
      <c r="E4158" s="2">
        <v>230820</v>
      </c>
      <c r="F4158" s="2">
        <v>-427</v>
      </c>
      <c r="G4158" s="2">
        <v>-306</v>
      </c>
      <c r="H4158" s="2">
        <v>1673</v>
      </c>
      <c r="I4158" s="2">
        <v>92</v>
      </c>
    </row>
    <row r="4159" spans="1:9" x14ac:dyDescent="0.3">
      <c r="A4159" t="s">
        <v>62</v>
      </c>
      <c r="B4159" s="1">
        <v>45108</v>
      </c>
      <c r="C4159" s="2">
        <v>233127</v>
      </c>
      <c r="D4159" s="2">
        <v>-2096</v>
      </c>
      <c r="E4159" s="2">
        <v>231546</v>
      </c>
      <c r="F4159" s="2">
        <v>-1156</v>
      </c>
      <c r="G4159" s="2">
        <v>-139</v>
      </c>
      <c r="H4159" s="2">
        <v>1581</v>
      </c>
      <c r="I4159" s="2">
        <v>-940</v>
      </c>
    </row>
    <row r="4160" spans="1:9" x14ac:dyDescent="0.3">
      <c r="A4160" t="s">
        <v>62</v>
      </c>
      <c r="B4160" s="1">
        <v>45078</v>
      </c>
      <c r="C4160" s="2">
        <v>235390</v>
      </c>
      <c r="D4160" s="2">
        <v>-1389</v>
      </c>
      <c r="E4160" s="2">
        <v>232869</v>
      </c>
      <c r="F4160" s="2">
        <v>-1019</v>
      </c>
      <c r="G4160" s="2">
        <v>-1531</v>
      </c>
      <c r="H4160" s="2">
        <v>2521</v>
      </c>
      <c r="I4160" s="2">
        <v>-370</v>
      </c>
    </row>
    <row r="4161" spans="1:9" x14ac:dyDescent="0.3">
      <c r="A4161" t="s">
        <v>62</v>
      </c>
      <c r="B4161" s="1">
        <v>45047</v>
      </c>
      <c r="C4161" s="2">
        <v>238338</v>
      </c>
      <c r="D4161" s="2">
        <v>1191</v>
      </c>
      <c r="E4161" s="2">
        <v>235447</v>
      </c>
      <c r="F4161" s="2">
        <v>2182</v>
      </c>
      <c r="G4161" s="2">
        <v>-1505</v>
      </c>
      <c r="H4161" s="2">
        <v>2891</v>
      </c>
      <c r="I4161" s="2">
        <v>-991</v>
      </c>
    </row>
    <row r="4162" spans="1:9" x14ac:dyDescent="0.3">
      <c r="A4162" t="s">
        <v>62</v>
      </c>
      <c r="B4162" s="1">
        <v>45017</v>
      </c>
      <c r="C4162" s="2">
        <v>238723</v>
      </c>
      <c r="D4162" s="2">
        <v>115</v>
      </c>
      <c r="E4162" s="2">
        <v>234841</v>
      </c>
      <c r="F4162" s="2">
        <v>1077</v>
      </c>
      <c r="G4162" s="2">
        <v>743</v>
      </c>
      <c r="H4162" s="2">
        <v>3882</v>
      </c>
      <c r="I4162" s="2">
        <v>-962</v>
      </c>
    </row>
    <row r="4163" spans="1:9" x14ac:dyDescent="0.3">
      <c r="A4163" t="s">
        <v>62</v>
      </c>
      <c r="B4163" s="1">
        <v>44986</v>
      </c>
      <c r="C4163" s="2">
        <v>237875</v>
      </c>
      <c r="D4163" s="2">
        <v>2529</v>
      </c>
      <c r="E4163" s="2">
        <v>233031</v>
      </c>
      <c r="F4163" s="2">
        <v>1322</v>
      </c>
      <c r="G4163" s="2">
        <v>4183</v>
      </c>
      <c r="H4163" s="2">
        <v>4844</v>
      </c>
      <c r="I4163" s="2">
        <v>1207</v>
      </c>
    </row>
    <row r="4164" spans="1:9" x14ac:dyDescent="0.3">
      <c r="A4164" t="s">
        <v>62</v>
      </c>
      <c r="B4164" s="1">
        <v>44958</v>
      </c>
      <c r="C4164" s="2">
        <v>231164</v>
      </c>
      <c r="D4164" s="2">
        <v>2276</v>
      </c>
      <c r="E4164" s="2">
        <v>227527</v>
      </c>
      <c r="F4164" s="2">
        <v>1867</v>
      </c>
      <c r="G4164" s="2">
        <v>-3129</v>
      </c>
      <c r="H4164" s="2">
        <v>3637</v>
      </c>
      <c r="I4164" s="2">
        <v>409</v>
      </c>
    </row>
    <row r="4165" spans="1:9" hidden="1" x14ac:dyDescent="0.3">
      <c r="A4165" t="s">
        <v>62</v>
      </c>
      <c r="B4165" s="1">
        <v>44927</v>
      </c>
      <c r="C4165" s="2">
        <v>232039</v>
      </c>
      <c r="D4165" s="2" t="s">
        <v>3</v>
      </c>
      <c r="E4165" s="2">
        <v>228811</v>
      </c>
      <c r="F4165" s="2" t="s">
        <v>3</v>
      </c>
      <c r="G4165" s="2" t="s">
        <v>3</v>
      </c>
      <c r="H4165" s="2">
        <v>3228</v>
      </c>
      <c r="I4165" s="2">
        <v>659</v>
      </c>
    </row>
    <row r="4166" spans="1:9" hidden="1" x14ac:dyDescent="0.3">
      <c r="A4166" t="s">
        <v>62</v>
      </c>
      <c r="B4166" s="1">
        <v>44896</v>
      </c>
      <c r="C4166" s="2">
        <v>224066</v>
      </c>
      <c r="D4166" s="2" t="s">
        <v>3</v>
      </c>
      <c r="E4166" s="2">
        <v>221497</v>
      </c>
      <c r="F4166" s="2" t="s">
        <v>3</v>
      </c>
      <c r="G4166" s="2" t="s">
        <v>3</v>
      </c>
      <c r="H4166" s="2">
        <v>2569</v>
      </c>
      <c r="I4166" s="2">
        <v>-404</v>
      </c>
    </row>
    <row r="4167" spans="1:9" hidden="1" x14ac:dyDescent="0.3">
      <c r="A4167" t="s">
        <v>62</v>
      </c>
      <c r="B4167" s="1">
        <v>44866</v>
      </c>
      <c r="C4167" s="2">
        <v>219012</v>
      </c>
      <c r="D4167" s="2" t="s">
        <v>3</v>
      </c>
      <c r="E4167" s="2">
        <v>216039</v>
      </c>
      <c r="F4167" s="2" t="s">
        <v>3</v>
      </c>
      <c r="G4167" s="2" t="s">
        <v>3</v>
      </c>
      <c r="H4167" s="2">
        <v>2973</v>
      </c>
      <c r="I4167" s="2">
        <v>21</v>
      </c>
    </row>
    <row r="4168" spans="1:9" hidden="1" x14ac:dyDescent="0.3">
      <c r="A4168" t="s">
        <v>62</v>
      </c>
      <c r="B4168" s="1">
        <v>44835</v>
      </c>
      <c r="C4168" s="2">
        <v>213005</v>
      </c>
      <c r="D4168" s="2" t="s">
        <v>3</v>
      </c>
      <c r="E4168" s="2">
        <v>210053</v>
      </c>
      <c r="F4168" s="2" t="s">
        <v>3</v>
      </c>
      <c r="G4168" s="2" t="s">
        <v>3</v>
      </c>
      <c r="H4168" s="2">
        <v>2952</v>
      </c>
      <c r="I4168" s="2">
        <v>-531</v>
      </c>
    </row>
    <row r="4169" spans="1:9" hidden="1" x14ac:dyDescent="0.3">
      <c r="A4169" t="s">
        <v>62</v>
      </c>
      <c r="B4169" s="1">
        <v>44805</v>
      </c>
      <c r="C4169" s="2">
        <v>212593</v>
      </c>
      <c r="D4169" s="2" t="s">
        <v>3</v>
      </c>
      <c r="E4169" s="2">
        <v>209110</v>
      </c>
      <c r="F4169" s="2" t="s">
        <v>3</v>
      </c>
      <c r="G4169" s="2" t="s">
        <v>3</v>
      </c>
      <c r="H4169" s="2">
        <v>3483</v>
      </c>
      <c r="I4169" s="2">
        <v>273</v>
      </c>
    </row>
    <row r="4170" spans="1:9" hidden="1" x14ac:dyDescent="0.3">
      <c r="A4170" t="s">
        <v>62</v>
      </c>
      <c r="B4170" s="1">
        <v>44774</v>
      </c>
      <c r="C4170" s="2">
        <v>221235</v>
      </c>
      <c r="D4170" s="2" t="s">
        <v>3</v>
      </c>
      <c r="E4170" s="2">
        <v>218025</v>
      </c>
      <c r="F4170" s="2" t="s">
        <v>3</v>
      </c>
      <c r="G4170" s="2" t="s">
        <v>3</v>
      </c>
      <c r="H4170" s="2">
        <v>3210</v>
      </c>
      <c r="I4170" s="2">
        <v>315</v>
      </c>
    </row>
    <row r="4171" spans="1:9" hidden="1" x14ac:dyDescent="0.3">
      <c r="A4171" t="s">
        <v>62</v>
      </c>
      <c r="B4171" s="1">
        <v>44743</v>
      </c>
      <c r="C4171" s="2">
        <v>212048</v>
      </c>
      <c r="D4171" s="2" t="s">
        <v>3</v>
      </c>
      <c r="E4171" s="2">
        <v>209153</v>
      </c>
      <c r="F4171" s="2" t="s">
        <v>3</v>
      </c>
      <c r="G4171" s="2" t="s">
        <v>3</v>
      </c>
      <c r="H4171" s="2">
        <v>2895</v>
      </c>
      <c r="I4171" s="2">
        <v>-63</v>
      </c>
    </row>
    <row r="4172" spans="1:9" hidden="1" x14ac:dyDescent="0.3">
      <c r="A4172" t="s">
        <v>62</v>
      </c>
      <c r="B4172" s="1">
        <v>44713</v>
      </c>
      <c r="C4172" s="2">
        <v>208752</v>
      </c>
      <c r="D4172" s="2" t="s">
        <v>3</v>
      </c>
      <c r="E4172" s="2">
        <v>205794</v>
      </c>
      <c r="F4172" s="2" t="s">
        <v>3</v>
      </c>
      <c r="G4172" s="2" t="s">
        <v>3</v>
      </c>
      <c r="H4172" s="2">
        <v>2958</v>
      </c>
      <c r="I4172" s="2">
        <v>43</v>
      </c>
    </row>
    <row r="4173" spans="1:9" hidden="1" x14ac:dyDescent="0.3">
      <c r="A4173" t="s">
        <v>62</v>
      </c>
      <c r="B4173" s="1">
        <v>44682</v>
      </c>
      <c r="C4173" s="2">
        <v>203739</v>
      </c>
      <c r="D4173" s="2" t="s">
        <v>3</v>
      </c>
      <c r="E4173" s="2">
        <v>200824</v>
      </c>
      <c r="F4173" s="2" t="s">
        <v>3</v>
      </c>
      <c r="G4173" s="2" t="s">
        <v>3</v>
      </c>
      <c r="H4173" s="2">
        <v>2915</v>
      </c>
      <c r="I4173" s="2">
        <v>-57</v>
      </c>
    </row>
    <row r="4174" spans="1:9" hidden="1" x14ac:dyDescent="0.3">
      <c r="A4174" t="s">
        <v>62</v>
      </c>
      <c r="B4174" s="1">
        <v>44652</v>
      </c>
      <c r="C4174" s="2">
        <v>199042</v>
      </c>
      <c r="D4174" s="2" t="s">
        <v>3</v>
      </c>
      <c r="E4174" s="2">
        <v>196070</v>
      </c>
      <c r="F4174" s="2" t="s">
        <v>3</v>
      </c>
      <c r="G4174" s="2" t="s">
        <v>3</v>
      </c>
      <c r="H4174" s="2">
        <v>2972</v>
      </c>
      <c r="I4174" s="2">
        <v>612</v>
      </c>
    </row>
    <row r="4175" spans="1:9" hidden="1" x14ac:dyDescent="0.3">
      <c r="A4175" t="s">
        <v>62</v>
      </c>
      <c r="B4175" s="1">
        <v>44621</v>
      </c>
      <c r="C4175" s="2">
        <v>199836</v>
      </c>
      <c r="D4175" s="2" t="s">
        <v>3</v>
      </c>
      <c r="E4175" s="2">
        <v>197476</v>
      </c>
      <c r="F4175" s="2" t="s">
        <v>3</v>
      </c>
      <c r="G4175" s="2" t="s">
        <v>3</v>
      </c>
      <c r="H4175" s="2">
        <v>2360</v>
      </c>
      <c r="I4175" s="2">
        <v>544</v>
      </c>
    </row>
    <row r="4176" spans="1:9" hidden="1" x14ac:dyDescent="0.3">
      <c r="A4176" t="s">
        <v>62</v>
      </c>
      <c r="B4176" s="1">
        <v>44593</v>
      </c>
      <c r="C4176" s="2">
        <v>199757</v>
      </c>
      <c r="D4176" s="2" t="s">
        <v>3</v>
      </c>
      <c r="E4176" s="2">
        <v>197941</v>
      </c>
      <c r="F4176" s="2" t="s">
        <v>3</v>
      </c>
      <c r="G4176" s="2" t="s">
        <v>3</v>
      </c>
      <c r="H4176" s="2">
        <v>1816</v>
      </c>
      <c r="I4176" s="2">
        <v>-390</v>
      </c>
    </row>
    <row r="4177" spans="1:9" hidden="1" x14ac:dyDescent="0.3">
      <c r="A4177" t="s">
        <v>62</v>
      </c>
      <c r="B4177" s="1">
        <v>44562</v>
      </c>
      <c r="C4177" s="2">
        <v>198647</v>
      </c>
      <c r="D4177" s="2" t="s">
        <v>3</v>
      </c>
      <c r="E4177" s="2">
        <v>196441</v>
      </c>
      <c r="F4177" s="2" t="s">
        <v>3</v>
      </c>
      <c r="G4177" s="2" t="s">
        <v>3</v>
      </c>
      <c r="H4177" s="2">
        <v>2206</v>
      </c>
      <c r="I4177" s="2">
        <v>723</v>
      </c>
    </row>
    <row r="4178" spans="1:9" hidden="1" x14ac:dyDescent="0.3">
      <c r="A4178" t="s">
        <v>62</v>
      </c>
      <c r="B4178" s="1">
        <v>44531</v>
      </c>
      <c r="C4178" s="2">
        <v>198892</v>
      </c>
      <c r="D4178" s="2" t="s">
        <v>3</v>
      </c>
      <c r="E4178" s="2">
        <v>197409</v>
      </c>
      <c r="F4178" s="2" t="s">
        <v>3</v>
      </c>
      <c r="G4178" s="2" t="s">
        <v>3</v>
      </c>
      <c r="H4178" s="2">
        <v>1483</v>
      </c>
      <c r="I4178" s="2">
        <v>98</v>
      </c>
    </row>
    <row r="4179" spans="1:9" hidden="1" x14ac:dyDescent="0.3">
      <c r="A4179" t="s">
        <v>62</v>
      </c>
      <c r="B4179" s="1">
        <v>44501</v>
      </c>
      <c r="C4179" s="2">
        <v>205213</v>
      </c>
      <c r="D4179" s="2" t="s">
        <v>3</v>
      </c>
      <c r="E4179" s="2">
        <v>203828</v>
      </c>
      <c r="F4179" s="2" t="s">
        <v>3</v>
      </c>
      <c r="G4179" s="2" t="s">
        <v>3</v>
      </c>
      <c r="H4179" s="2">
        <v>1385</v>
      </c>
      <c r="I4179" s="2">
        <v>-580</v>
      </c>
    </row>
    <row r="4180" spans="1:9" hidden="1" x14ac:dyDescent="0.3">
      <c r="A4180" t="s">
        <v>62</v>
      </c>
      <c r="B4180" s="1">
        <v>44470</v>
      </c>
      <c r="C4180" s="2">
        <v>210738</v>
      </c>
      <c r="D4180" s="2" t="s">
        <v>3</v>
      </c>
      <c r="E4180" s="2">
        <v>208773</v>
      </c>
      <c r="F4180" s="2" t="s">
        <v>3</v>
      </c>
      <c r="G4180" s="2" t="s">
        <v>3</v>
      </c>
      <c r="H4180" s="2">
        <v>1965</v>
      </c>
      <c r="I4180" s="2">
        <v>-1052</v>
      </c>
    </row>
    <row r="4181" spans="1:9" hidden="1" x14ac:dyDescent="0.3">
      <c r="A4181" t="s">
        <v>62</v>
      </c>
      <c r="B4181" s="1">
        <v>44440</v>
      </c>
      <c r="C4181" s="2">
        <v>218431</v>
      </c>
      <c r="D4181" s="2" t="s">
        <v>3</v>
      </c>
      <c r="E4181" s="2">
        <v>215414</v>
      </c>
      <c r="F4181" s="2" t="s">
        <v>3</v>
      </c>
      <c r="G4181" s="2" t="s">
        <v>3</v>
      </c>
      <c r="H4181" s="2">
        <v>3017</v>
      </c>
      <c r="I4181" s="2">
        <v>523</v>
      </c>
    </row>
    <row r="4182" spans="1:9" hidden="1" x14ac:dyDescent="0.3">
      <c r="A4182" t="s">
        <v>62</v>
      </c>
      <c r="B4182" s="1">
        <v>44409</v>
      </c>
      <c r="C4182" s="2">
        <v>217023</v>
      </c>
      <c r="D4182" s="2" t="s">
        <v>3</v>
      </c>
      <c r="E4182" s="2">
        <v>214529</v>
      </c>
      <c r="F4182" s="2" t="s">
        <v>3</v>
      </c>
      <c r="G4182" s="2" t="s">
        <v>3</v>
      </c>
      <c r="H4182" s="2">
        <v>2494</v>
      </c>
      <c r="I4182" s="2">
        <v>-2219</v>
      </c>
    </row>
    <row r="4183" spans="1:9" hidden="1" x14ac:dyDescent="0.3">
      <c r="A4183" t="s">
        <v>62</v>
      </c>
      <c r="B4183" s="1">
        <v>44378</v>
      </c>
      <c r="C4183" s="2">
        <v>219235</v>
      </c>
      <c r="D4183" s="2" t="s">
        <v>3</v>
      </c>
      <c r="E4183" s="2">
        <v>214522</v>
      </c>
      <c r="F4183" s="2" t="s">
        <v>3</v>
      </c>
      <c r="G4183" s="2" t="s">
        <v>3</v>
      </c>
      <c r="H4183" s="2">
        <v>4713</v>
      </c>
      <c r="I4183" s="2">
        <v>-5741</v>
      </c>
    </row>
    <row r="4184" spans="1:9" hidden="1" x14ac:dyDescent="0.3">
      <c r="A4184" t="s">
        <v>62</v>
      </c>
      <c r="B4184" s="1">
        <v>44348</v>
      </c>
      <c r="C4184" s="2">
        <v>220188</v>
      </c>
      <c r="D4184" s="2" t="s">
        <v>3</v>
      </c>
      <c r="E4184" s="2">
        <v>209734</v>
      </c>
      <c r="F4184" s="2" t="s">
        <v>3</v>
      </c>
      <c r="G4184" s="2" t="s">
        <v>3</v>
      </c>
      <c r="H4184" s="2">
        <v>10454</v>
      </c>
      <c r="I4184" s="2">
        <v>-1439</v>
      </c>
    </row>
    <row r="4185" spans="1:9" hidden="1" x14ac:dyDescent="0.3">
      <c r="A4185" t="s">
        <v>62</v>
      </c>
      <c r="B4185" s="1">
        <v>44317</v>
      </c>
      <c r="C4185" s="2">
        <v>215764</v>
      </c>
      <c r="D4185" s="2" t="s">
        <v>3</v>
      </c>
      <c r="E4185" s="2">
        <v>203871</v>
      </c>
      <c r="F4185" s="2" t="s">
        <v>3</v>
      </c>
      <c r="G4185" s="2" t="s">
        <v>3</v>
      </c>
      <c r="H4185" s="2">
        <v>11893</v>
      </c>
      <c r="I4185" s="2">
        <v>-2590</v>
      </c>
    </row>
    <row r="4186" spans="1:9" hidden="1" x14ac:dyDescent="0.3">
      <c r="A4186" t="s">
        <v>62</v>
      </c>
      <c r="B4186" s="1">
        <v>44287</v>
      </c>
      <c r="C4186" s="2">
        <v>208661</v>
      </c>
      <c r="D4186" s="2" t="s">
        <v>3</v>
      </c>
      <c r="E4186" s="2">
        <v>194178</v>
      </c>
      <c r="F4186" s="2" t="s">
        <v>3</v>
      </c>
      <c r="G4186" s="2" t="s">
        <v>3</v>
      </c>
      <c r="H4186" s="2">
        <v>14483</v>
      </c>
      <c r="I4186" s="2">
        <v>-6041</v>
      </c>
    </row>
    <row r="4187" spans="1:9" hidden="1" x14ac:dyDescent="0.3">
      <c r="A4187" t="s">
        <v>62</v>
      </c>
      <c r="B4187" s="1">
        <v>44256</v>
      </c>
      <c r="C4187" s="2">
        <v>199952</v>
      </c>
      <c r="D4187" s="2" t="s">
        <v>3</v>
      </c>
      <c r="E4187" s="2">
        <v>179428</v>
      </c>
      <c r="F4187" s="2" t="s">
        <v>3</v>
      </c>
      <c r="G4187" s="2" t="s">
        <v>3</v>
      </c>
      <c r="H4187" s="2">
        <v>20524</v>
      </c>
      <c r="I4187" s="2">
        <v>-7364</v>
      </c>
    </row>
    <row r="4188" spans="1:9" hidden="1" x14ac:dyDescent="0.3">
      <c r="A4188" t="s">
        <v>62</v>
      </c>
      <c r="B4188" s="1">
        <v>44228</v>
      </c>
      <c r="C4188" s="2">
        <v>204374</v>
      </c>
      <c r="D4188" s="2" t="s">
        <v>3</v>
      </c>
      <c r="E4188" s="2">
        <v>176486</v>
      </c>
      <c r="F4188" s="2" t="s">
        <v>3</v>
      </c>
      <c r="G4188" s="2" t="s">
        <v>3</v>
      </c>
      <c r="H4188" s="2">
        <v>27888</v>
      </c>
      <c r="I4188" s="2">
        <v>-2823</v>
      </c>
    </row>
    <row r="4189" spans="1:9" hidden="1" x14ac:dyDescent="0.3">
      <c r="A4189" t="s">
        <v>62</v>
      </c>
      <c r="B4189" s="1">
        <v>44197</v>
      </c>
      <c r="C4189" s="2">
        <v>211592</v>
      </c>
      <c r="D4189" s="2" t="s">
        <v>3</v>
      </c>
      <c r="E4189" s="2">
        <v>180881</v>
      </c>
      <c r="F4189" s="2" t="s">
        <v>3</v>
      </c>
      <c r="G4189" s="2" t="s">
        <v>3</v>
      </c>
      <c r="H4189" s="2">
        <v>30711</v>
      </c>
      <c r="I4189" s="2">
        <v>-1978</v>
      </c>
    </row>
    <row r="4190" spans="1:9" hidden="1" x14ac:dyDescent="0.3">
      <c r="A4190" t="s">
        <v>62</v>
      </c>
      <c r="B4190" s="1">
        <v>44166</v>
      </c>
      <c r="C4190" s="2">
        <v>216177</v>
      </c>
      <c r="D4190" s="2" t="s">
        <v>3</v>
      </c>
      <c r="E4190" s="2">
        <v>183488</v>
      </c>
      <c r="F4190" s="2" t="s">
        <v>3</v>
      </c>
      <c r="G4190" s="2" t="s">
        <v>3</v>
      </c>
      <c r="H4190" s="2">
        <v>32689</v>
      </c>
      <c r="I4190" s="2">
        <v>-7524</v>
      </c>
    </row>
    <row r="4191" spans="1:9" hidden="1" x14ac:dyDescent="0.3">
      <c r="A4191" t="s">
        <v>62</v>
      </c>
      <c r="B4191" s="1">
        <v>44136</v>
      </c>
      <c r="C4191" s="2">
        <v>220193</v>
      </c>
      <c r="D4191" s="2" t="s">
        <v>3</v>
      </c>
      <c r="E4191" s="2">
        <v>179980</v>
      </c>
      <c r="F4191" s="2" t="s">
        <v>3</v>
      </c>
      <c r="G4191" s="2" t="s">
        <v>3</v>
      </c>
      <c r="H4191" s="2">
        <v>40213</v>
      </c>
      <c r="I4191" s="2">
        <v>-7201</v>
      </c>
    </row>
    <row r="4192" spans="1:9" hidden="1" x14ac:dyDescent="0.3">
      <c r="A4192" t="s">
        <v>62</v>
      </c>
      <c r="B4192" s="1">
        <v>44105</v>
      </c>
      <c r="C4192" s="2">
        <v>222406</v>
      </c>
      <c r="D4192" s="2" t="s">
        <v>3</v>
      </c>
      <c r="E4192" s="2">
        <v>174992</v>
      </c>
      <c r="F4192" s="2" t="s">
        <v>3</v>
      </c>
      <c r="G4192" s="2" t="s">
        <v>3</v>
      </c>
      <c r="H4192" s="2">
        <v>47414</v>
      </c>
      <c r="I4192" s="2">
        <v>-483</v>
      </c>
    </row>
    <row r="4193" spans="1:9" hidden="1" x14ac:dyDescent="0.3">
      <c r="A4193" t="s">
        <v>62</v>
      </c>
      <c r="B4193" s="1">
        <v>44075</v>
      </c>
      <c r="C4193" s="2">
        <v>213484</v>
      </c>
      <c r="D4193" s="2" t="s">
        <v>3</v>
      </c>
      <c r="E4193" s="2">
        <v>165587</v>
      </c>
      <c r="F4193" s="2" t="s">
        <v>3</v>
      </c>
      <c r="G4193" s="2" t="s">
        <v>3</v>
      </c>
      <c r="H4193" s="2">
        <v>47897</v>
      </c>
      <c r="I4193" s="2">
        <v>8653</v>
      </c>
    </row>
    <row r="4194" spans="1:9" hidden="1" x14ac:dyDescent="0.3">
      <c r="A4194" t="s">
        <v>62</v>
      </c>
      <c r="B4194" s="1">
        <v>44044</v>
      </c>
      <c r="C4194" s="2">
        <v>196502</v>
      </c>
      <c r="D4194" s="2" t="s">
        <v>3</v>
      </c>
      <c r="E4194" s="2">
        <v>157258</v>
      </c>
      <c r="F4194" s="2" t="s">
        <v>3</v>
      </c>
      <c r="G4194" s="2" t="s">
        <v>3</v>
      </c>
      <c r="H4194" s="2">
        <v>39244</v>
      </c>
      <c r="I4194" s="2">
        <v>774</v>
      </c>
    </row>
    <row r="4195" spans="1:9" hidden="1" x14ac:dyDescent="0.3">
      <c r="A4195" t="s">
        <v>62</v>
      </c>
      <c r="B4195" s="1">
        <v>44013</v>
      </c>
      <c r="C4195" s="2">
        <v>194562</v>
      </c>
      <c r="D4195" s="2" t="s">
        <v>3</v>
      </c>
      <c r="E4195" s="2">
        <v>156092</v>
      </c>
      <c r="F4195" s="2" t="s">
        <v>3</v>
      </c>
      <c r="G4195" s="2" t="s">
        <v>3</v>
      </c>
      <c r="H4195" s="2">
        <v>38470</v>
      </c>
      <c r="I4195" s="2">
        <v>7142</v>
      </c>
    </row>
    <row r="4196" spans="1:9" hidden="1" x14ac:dyDescent="0.3">
      <c r="A4196" t="s">
        <v>62</v>
      </c>
      <c r="B4196" s="1">
        <v>43983</v>
      </c>
      <c r="C4196" s="2">
        <v>182732</v>
      </c>
      <c r="D4196" s="2" t="s">
        <v>3</v>
      </c>
      <c r="E4196" s="2">
        <v>151404</v>
      </c>
      <c r="F4196" s="2" t="s">
        <v>3</v>
      </c>
      <c r="G4196" s="2" t="s">
        <v>3</v>
      </c>
      <c r="H4196" s="2">
        <v>31328</v>
      </c>
      <c r="I4196" s="2">
        <v>13534</v>
      </c>
    </row>
    <row r="4197" spans="1:9" hidden="1" x14ac:dyDescent="0.3">
      <c r="A4197" t="s">
        <v>62</v>
      </c>
      <c r="B4197" s="1">
        <v>43952</v>
      </c>
      <c r="C4197" s="2">
        <v>169915</v>
      </c>
      <c r="D4197" s="2" t="s">
        <v>3</v>
      </c>
      <c r="E4197" s="2">
        <v>152121</v>
      </c>
      <c r="F4197" s="2" t="s">
        <v>3</v>
      </c>
      <c r="G4197" s="2" t="s">
        <v>3</v>
      </c>
      <c r="H4197" s="2">
        <v>17794</v>
      </c>
      <c r="I4197" s="2">
        <v>9446</v>
      </c>
    </row>
    <row r="4198" spans="1:9" hidden="1" x14ac:dyDescent="0.3">
      <c r="A4198" t="s">
        <v>62</v>
      </c>
      <c r="B4198" s="1">
        <v>43922</v>
      </c>
      <c r="C4198" s="2">
        <v>157383</v>
      </c>
      <c r="D4198" s="2" t="s">
        <v>3</v>
      </c>
      <c r="E4198" s="2">
        <v>149035</v>
      </c>
      <c r="F4198" s="2" t="s">
        <v>3</v>
      </c>
      <c r="G4198" s="2" t="s">
        <v>3</v>
      </c>
      <c r="H4198" s="2">
        <v>8348</v>
      </c>
      <c r="I4198" s="2">
        <v>3155</v>
      </c>
    </row>
    <row r="4199" spans="1:9" hidden="1" x14ac:dyDescent="0.3">
      <c r="A4199" t="s">
        <v>62</v>
      </c>
      <c r="B4199" s="1">
        <v>43891</v>
      </c>
      <c r="C4199" s="2">
        <v>156526</v>
      </c>
      <c r="D4199" s="2" t="s">
        <v>3</v>
      </c>
      <c r="E4199" s="2">
        <v>151333</v>
      </c>
      <c r="F4199" s="2" t="s">
        <v>3</v>
      </c>
      <c r="G4199" s="2" t="s">
        <v>3</v>
      </c>
      <c r="H4199" s="2">
        <v>5193</v>
      </c>
      <c r="I4199" s="2">
        <v>-13139</v>
      </c>
    </row>
    <row r="4200" spans="1:9" hidden="1" x14ac:dyDescent="0.3">
      <c r="A4200" t="s">
        <v>62</v>
      </c>
      <c r="B4200" s="1">
        <v>43862</v>
      </c>
      <c r="C4200" s="2">
        <v>177493</v>
      </c>
      <c r="D4200" s="2" t="s">
        <v>3</v>
      </c>
      <c r="E4200" s="2">
        <v>159161</v>
      </c>
      <c r="F4200" s="2" t="s">
        <v>3</v>
      </c>
      <c r="G4200" s="2" t="s">
        <v>3</v>
      </c>
      <c r="H4200" s="2">
        <v>18332</v>
      </c>
      <c r="I4200" s="2">
        <v>6519</v>
      </c>
    </row>
    <row r="4201" spans="1:9" hidden="1" x14ac:dyDescent="0.3">
      <c r="A4201" t="s">
        <v>62</v>
      </c>
      <c r="B4201" s="1">
        <v>43831</v>
      </c>
      <c r="C4201" s="2">
        <v>164344</v>
      </c>
      <c r="D4201" s="2" t="s">
        <v>3</v>
      </c>
      <c r="E4201" s="2">
        <v>152531</v>
      </c>
      <c r="F4201" s="2" t="s">
        <v>3</v>
      </c>
      <c r="G4201" s="2" t="s">
        <v>3</v>
      </c>
      <c r="H4201" s="2">
        <v>11813</v>
      </c>
      <c r="I4201" s="2">
        <v>8167</v>
      </c>
    </row>
    <row r="4202" spans="1:9" x14ac:dyDescent="0.3">
      <c r="A4202" t="s">
        <v>63</v>
      </c>
      <c r="B4202" s="1">
        <v>45931</v>
      </c>
      <c r="C4202" s="2">
        <v>28958</v>
      </c>
      <c r="D4202" s="2">
        <v>57</v>
      </c>
      <c r="E4202" s="2">
        <v>22913</v>
      </c>
      <c r="F4202" s="2">
        <v>-304</v>
      </c>
      <c r="G4202" s="2">
        <v>114</v>
      </c>
      <c r="H4202" s="2">
        <v>6045</v>
      </c>
      <c r="I4202" s="2">
        <v>361</v>
      </c>
    </row>
    <row r="4203" spans="1:9" x14ac:dyDescent="0.3">
      <c r="A4203" t="s">
        <v>63</v>
      </c>
      <c r="B4203" s="1">
        <v>45901</v>
      </c>
      <c r="C4203" s="2">
        <v>29773</v>
      </c>
      <c r="D4203" s="2">
        <v>-1454</v>
      </c>
      <c r="E4203" s="2">
        <v>24089</v>
      </c>
      <c r="F4203" s="2">
        <v>-1110</v>
      </c>
      <c r="G4203" s="2">
        <v>5</v>
      </c>
      <c r="H4203" s="2">
        <v>5684</v>
      </c>
      <c r="I4203" s="2">
        <v>-344</v>
      </c>
    </row>
    <row r="4204" spans="1:9" x14ac:dyDescent="0.3">
      <c r="A4204" t="s">
        <v>63</v>
      </c>
      <c r="B4204" s="1">
        <v>45870</v>
      </c>
      <c r="C4204" s="2">
        <v>30460</v>
      </c>
      <c r="D4204" s="2">
        <v>1513</v>
      </c>
      <c r="E4204" s="2">
        <v>24432</v>
      </c>
      <c r="F4204" s="2">
        <v>94</v>
      </c>
      <c r="G4204" s="2">
        <v>230</v>
      </c>
      <c r="H4204" s="2">
        <v>6028</v>
      </c>
      <c r="I4204" s="2">
        <v>1419</v>
      </c>
    </row>
    <row r="4205" spans="1:9" x14ac:dyDescent="0.3">
      <c r="A4205" t="s">
        <v>63</v>
      </c>
      <c r="B4205" s="1">
        <v>45839</v>
      </c>
      <c r="C4205" s="2">
        <v>28944</v>
      </c>
      <c r="D4205" s="2">
        <v>-1998</v>
      </c>
      <c r="E4205" s="2">
        <v>24335</v>
      </c>
      <c r="F4205" s="2">
        <v>-2019</v>
      </c>
      <c r="G4205" s="2">
        <v>-199</v>
      </c>
      <c r="H4205" s="2">
        <v>4609</v>
      </c>
      <c r="I4205" s="2">
        <v>21</v>
      </c>
    </row>
    <row r="4206" spans="1:9" x14ac:dyDescent="0.3">
      <c r="A4206" t="s">
        <v>63</v>
      </c>
      <c r="B4206" s="1">
        <v>45809</v>
      </c>
      <c r="C4206" s="2">
        <v>31394</v>
      </c>
      <c r="D4206" s="2">
        <v>-58</v>
      </c>
      <c r="E4206" s="2">
        <v>26806</v>
      </c>
      <c r="F4206" s="2">
        <v>-787</v>
      </c>
      <c r="G4206" s="2">
        <v>52</v>
      </c>
      <c r="H4206" s="2">
        <v>4588</v>
      </c>
      <c r="I4206" s="2">
        <v>729</v>
      </c>
    </row>
    <row r="4207" spans="1:9" x14ac:dyDescent="0.3">
      <c r="A4207" t="s">
        <v>63</v>
      </c>
      <c r="B4207" s="1">
        <v>45778</v>
      </c>
      <c r="C4207" s="2">
        <v>29182</v>
      </c>
      <c r="D4207" s="2">
        <v>46</v>
      </c>
      <c r="E4207" s="2">
        <v>25323</v>
      </c>
      <c r="F4207" s="2">
        <v>146</v>
      </c>
      <c r="G4207" s="2">
        <v>-146</v>
      </c>
      <c r="H4207" s="2">
        <v>3859</v>
      </c>
      <c r="I4207" s="2">
        <v>-100</v>
      </c>
    </row>
    <row r="4208" spans="1:9" x14ac:dyDescent="0.3">
      <c r="A4208" t="s">
        <v>63</v>
      </c>
      <c r="B4208" s="1">
        <v>45748</v>
      </c>
      <c r="C4208" s="2">
        <v>28694</v>
      </c>
      <c r="D4208" s="2">
        <v>2162</v>
      </c>
      <c r="E4208" s="2">
        <v>24735</v>
      </c>
      <c r="F4208" s="2">
        <v>2328</v>
      </c>
      <c r="G4208" s="2">
        <v>79</v>
      </c>
      <c r="H4208" s="2">
        <v>3959</v>
      </c>
      <c r="I4208" s="2">
        <v>-166</v>
      </c>
    </row>
    <row r="4209" spans="1:9" x14ac:dyDescent="0.3">
      <c r="A4209" t="s">
        <v>63</v>
      </c>
      <c r="B4209" s="1">
        <v>45717</v>
      </c>
      <c r="C4209" s="2">
        <v>27368</v>
      </c>
      <c r="D4209" s="2">
        <v>-278</v>
      </c>
      <c r="E4209" s="2">
        <v>23243</v>
      </c>
      <c r="F4209" s="2">
        <v>413</v>
      </c>
      <c r="G4209" s="2">
        <v>76</v>
      </c>
      <c r="H4209" s="2">
        <v>4125</v>
      </c>
      <c r="I4209" s="2">
        <v>-691</v>
      </c>
    </row>
    <row r="4210" spans="1:9" x14ac:dyDescent="0.3">
      <c r="A4210" t="s">
        <v>63</v>
      </c>
      <c r="B4210" s="1">
        <v>45689</v>
      </c>
      <c r="C4210" s="2">
        <v>27605</v>
      </c>
      <c r="D4210" s="2">
        <v>-910</v>
      </c>
      <c r="E4210" s="2">
        <v>22789</v>
      </c>
      <c r="F4210" s="2">
        <v>-723</v>
      </c>
      <c r="G4210" s="2">
        <v>107</v>
      </c>
      <c r="H4210" s="2">
        <v>4816</v>
      </c>
      <c r="I4210" s="2">
        <v>-187</v>
      </c>
    </row>
    <row r="4211" spans="1:9" x14ac:dyDescent="0.3">
      <c r="A4211" t="s">
        <v>63</v>
      </c>
      <c r="B4211" s="1">
        <v>45658</v>
      </c>
      <c r="C4211" s="2">
        <v>29255</v>
      </c>
      <c r="D4211" s="2">
        <v>813</v>
      </c>
      <c r="E4211" s="2">
        <v>24252</v>
      </c>
      <c r="F4211" s="2">
        <v>236</v>
      </c>
      <c r="G4211" s="2">
        <v>16</v>
      </c>
      <c r="H4211" s="2">
        <v>5003</v>
      </c>
      <c r="I4211" s="2">
        <v>577</v>
      </c>
    </row>
    <row r="4212" spans="1:9" x14ac:dyDescent="0.3">
      <c r="A4212" t="s">
        <v>63</v>
      </c>
      <c r="B4212" s="1">
        <v>45627</v>
      </c>
      <c r="C4212" s="2">
        <v>32034</v>
      </c>
      <c r="D4212" s="2">
        <v>-2147</v>
      </c>
      <c r="E4212" s="2">
        <v>27608</v>
      </c>
      <c r="F4212" s="2">
        <v>-1422</v>
      </c>
      <c r="G4212" s="2">
        <v>30</v>
      </c>
      <c r="H4212" s="2">
        <v>4426</v>
      </c>
      <c r="I4212" s="2">
        <v>-725</v>
      </c>
    </row>
    <row r="4213" spans="1:9" x14ac:dyDescent="0.3">
      <c r="A4213" t="s">
        <v>63</v>
      </c>
      <c r="B4213" s="1">
        <v>45597</v>
      </c>
      <c r="C4213" s="2">
        <v>33589</v>
      </c>
      <c r="D4213" s="2">
        <v>1164</v>
      </c>
      <c r="E4213" s="2">
        <v>28438</v>
      </c>
      <c r="F4213" s="2">
        <v>211</v>
      </c>
      <c r="G4213" s="2">
        <v>30</v>
      </c>
      <c r="H4213" s="2">
        <v>5151</v>
      </c>
      <c r="I4213" s="2">
        <v>953</v>
      </c>
    </row>
    <row r="4214" spans="1:9" x14ac:dyDescent="0.3">
      <c r="A4214" t="s">
        <v>63</v>
      </c>
      <c r="B4214" s="1">
        <v>45566</v>
      </c>
      <c r="C4214" s="2">
        <v>33529</v>
      </c>
      <c r="D4214" s="2">
        <v>1749</v>
      </c>
      <c r="E4214" s="2">
        <v>29331</v>
      </c>
      <c r="F4214" s="2">
        <v>1923</v>
      </c>
      <c r="G4214" s="2">
        <v>-435</v>
      </c>
      <c r="H4214" s="2">
        <v>4198</v>
      </c>
      <c r="I4214" s="2">
        <v>-174</v>
      </c>
    </row>
    <row r="4215" spans="1:9" x14ac:dyDescent="0.3">
      <c r="A4215" t="s">
        <v>63</v>
      </c>
      <c r="B4215" s="1">
        <v>45536</v>
      </c>
      <c r="C4215" s="2">
        <v>31891</v>
      </c>
      <c r="D4215" s="2">
        <v>8308</v>
      </c>
      <c r="E4215" s="2">
        <v>27519</v>
      </c>
      <c r="F4215" s="2">
        <v>8079</v>
      </c>
      <c r="G4215" s="2">
        <v>46</v>
      </c>
      <c r="H4215" s="2">
        <v>4372</v>
      </c>
      <c r="I4215" s="2">
        <v>229</v>
      </c>
    </row>
    <row r="4216" spans="1:9" x14ac:dyDescent="0.3">
      <c r="A4216" t="s">
        <v>63</v>
      </c>
      <c r="B4216" s="1">
        <v>45505</v>
      </c>
      <c r="C4216" s="2">
        <v>20901</v>
      </c>
      <c r="D4216" s="2">
        <v>1028</v>
      </c>
      <c r="E4216" s="2">
        <v>16758</v>
      </c>
      <c r="F4216" s="2">
        <v>622</v>
      </c>
      <c r="G4216" s="2">
        <v>82</v>
      </c>
      <c r="H4216" s="2">
        <v>4143</v>
      </c>
      <c r="I4216" s="2">
        <v>406</v>
      </c>
    </row>
    <row r="4217" spans="1:9" x14ac:dyDescent="0.3">
      <c r="A4217" t="s">
        <v>63</v>
      </c>
      <c r="B4217" s="1">
        <v>45474</v>
      </c>
      <c r="C4217" s="2">
        <v>20551</v>
      </c>
      <c r="D4217" s="2">
        <v>974</v>
      </c>
      <c r="E4217" s="2">
        <v>16814</v>
      </c>
      <c r="F4217" s="2">
        <v>-283</v>
      </c>
      <c r="G4217" s="2">
        <v>148</v>
      </c>
      <c r="H4217" s="2">
        <v>3737</v>
      </c>
      <c r="I4217" s="2">
        <v>1257</v>
      </c>
    </row>
    <row r="4218" spans="1:9" x14ac:dyDescent="0.3">
      <c r="A4218" t="s">
        <v>63</v>
      </c>
      <c r="B4218" s="1">
        <v>45444</v>
      </c>
      <c r="C4218" s="2">
        <v>20843</v>
      </c>
      <c r="D4218" s="2">
        <v>-157</v>
      </c>
      <c r="E4218" s="2">
        <v>18363</v>
      </c>
      <c r="F4218" s="2">
        <v>-56</v>
      </c>
      <c r="G4218" s="2">
        <v>188</v>
      </c>
      <c r="H4218" s="2">
        <v>2480</v>
      </c>
      <c r="I4218" s="2">
        <v>-101</v>
      </c>
    </row>
    <row r="4219" spans="1:9" x14ac:dyDescent="0.3">
      <c r="A4219" t="s">
        <v>63</v>
      </c>
      <c r="B4219" s="1">
        <v>45413</v>
      </c>
      <c r="C4219" s="2">
        <v>18614</v>
      </c>
      <c r="D4219" s="2">
        <v>-544</v>
      </c>
      <c r="E4219" s="2">
        <v>16033</v>
      </c>
      <c r="F4219" s="2">
        <v>-552</v>
      </c>
      <c r="G4219" s="2">
        <v>87</v>
      </c>
      <c r="H4219" s="2">
        <v>2581</v>
      </c>
      <c r="I4219" s="2">
        <v>8</v>
      </c>
    </row>
    <row r="4220" spans="1:9" x14ac:dyDescent="0.3">
      <c r="A4220" t="s">
        <v>63</v>
      </c>
      <c r="B4220" s="1">
        <v>45383</v>
      </c>
      <c r="C4220" s="2">
        <v>19830</v>
      </c>
      <c r="D4220" s="2">
        <v>21</v>
      </c>
      <c r="E4220" s="2">
        <v>17257</v>
      </c>
      <c r="F4220" s="2">
        <v>-125</v>
      </c>
      <c r="G4220" s="2">
        <v>-212</v>
      </c>
      <c r="H4220" s="2">
        <v>2573</v>
      </c>
      <c r="I4220" s="2">
        <v>146</v>
      </c>
    </row>
    <row r="4221" spans="1:9" x14ac:dyDescent="0.3">
      <c r="A4221" t="s">
        <v>63</v>
      </c>
      <c r="B4221" s="1">
        <v>45352</v>
      </c>
      <c r="C4221" s="2">
        <v>21895</v>
      </c>
      <c r="D4221" s="2">
        <v>3049</v>
      </c>
      <c r="E4221" s="2">
        <v>19468</v>
      </c>
      <c r="F4221" s="2">
        <v>2827</v>
      </c>
      <c r="G4221" s="2">
        <v>21</v>
      </c>
      <c r="H4221" s="2">
        <v>2427</v>
      </c>
      <c r="I4221" s="2">
        <v>222</v>
      </c>
    </row>
    <row r="4222" spans="1:9" x14ac:dyDescent="0.3">
      <c r="A4222" t="s">
        <v>63</v>
      </c>
      <c r="B4222" s="1">
        <v>45323</v>
      </c>
      <c r="C4222" s="2">
        <v>17492</v>
      </c>
      <c r="D4222" s="2">
        <v>2729</v>
      </c>
      <c r="E4222" s="2">
        <v>15287</v>
      </c>
      <c r="F4222" s="2">
        <v>2977</v>
      </c>
      <c r="G4222" s="2">
        <v>-97</v>
      </c>
      <c r="H4222" s="2">
        <v>2205</v>
      </c>
      <c r="I4222" s="2">
        <v>-248</v>
      </c>
    </row>
    <row r="4223" spans="1:9" x14ac:dyDescent="0.3">
      <c r="A4223" t="s">
        <v>63</v>
      </c>
      <c r="B4223" s="1">
        <v>45292</v>
      </c>
      <c r="C4223" s="2">
        <v>16673</v>
      </c>
      <c r="D4223" s="2">
        <v>3833</v>
      </c>
      <c r="E4223" s="2">
        <v>14220</v>
      </c>
      <c r="F4223" s="2">
        <v>3995</v>
      </c>
      <c r="G4223" s="2">
        <v>94</v>
      </c>
      <c r="H4223" s="2">
        <v>2453</v>
      </c>
      <c r="I4223" s="2">
        <v>-162</v>
      </c>
    </row>
    <row r="4224" spans="1:9" x14ac:dyDescent="0.3">
      <c r="A4224" t="s">
        <v>63</v>
      </c>
      <c r="B4224" s="1">
        <v>45261</v>
      </c>
      <c r="C4224" s="2">
        <v>13203</v>
      </c>
      <c r="D4224" s="2">
        <v>780</v>
      </c>
      <c r="E4224" s="2">
        <v>10588</v>
      </c>
      <c r="F4224" s="2">
        <v>1532</v>
      </c>
      <c r="G4224" s="2">
        <v>40</v>
      </c>
      <c r="H4224" s="2">
        <v>2615</v>
      </c>
      <c r="I4224" s="2">
        <v>-752</v>
      </c>
    </row>
    <row r="4225" spans="1:9" x14ac:dyDescent="0.3">
      <c r="A4225" t="s">
        <v>63</v>
      </c>
      <c r="B4225" s="1">
        <v>45231</v>
      </c>
      <c r="C4225" s="2">
        <v>13364</v>
      </c>
      <c r="D4225" s="2">
        <v>-1761</v>
      </c>
      <c r="E4225" s="2">
        <v>9997</v>
      </c>
      <c r="F4225" s="2">
        <v>153</v>
      </c>
      <c r="G4225" s="2">
        <v>106</v>
      </c>
      <c r="H4225" s="2">
        <v>3367</v>
      </c>
      <c r="I4225" s="2">
        <v>-1914</v>
      </c>
    </row>
    <row r="4226" spans="1:9" x14ac:dyDescent="0.3">
      <c r="A4226" t="s">
        <v>63</v>
      </c>
      <c r="B4226" s="1">
        <v>45200</v>
      </c>
      <c r="C4226" s="2">
        <v>14121</v>
      </c>
      <c r="D4226" s="2">
        <v>-3217</v>
      </c>
      <c r="E4226" s="2">
        <v>8840</v>
      </c>
      <c r="F4226" s="2">
        <v>-256</v>
      </c>
      <c r="G4226" s="2">
        <v>-163</v>
      </c>
      <c r="H4226" s="2">
        <v>5281</v>
      </c>
      <c r="I4226" s="2">
        <v>-2961</v>
      </c>
    </row>
    <row r="4227" spans="1:9" x14ac:dyDescent="0.3">
      <c r="A4227" t="s">
        <v>63</v>
      </c>
      <c r="B4227" s="1">
        <v>45170</v>
      </c>
      <c r="C4227" s="2">
        <v>17266</v>
      </c>
      <c r="D4227" s="2">
        <v>2989</v>
      </c>
      <c r="E4227" s="2">
        <v>9024</v>
      </c>
      <c r="F4227" s="2">
        <v>34</v>
      </c>
      <c r="G4227" s="2">
        <v>38</v>
      </c>
      <c r="H4227" s="2">
        <v>8242</v>
      </c>
      <c r="I4227" s="2">
        <v>2955</v>
      </c>
    </row>
    <row r="4228" spans="1:9" x14ac:dyDescent="0.3">
      <c r="A4228" t="s">
        <v>63</v>
      </c>
      <c r="B4228" s="1">
        <v>45139</v>
      </c>
      <c r="C4228" s="2">
        <v>14411</v>
      </c>
      <c r="D4228" s="2">
        <v>2447</v>
      </c>
      <c r="E4228" s="2">
        <v>9124</v>
      </c>
      <c r="F4228" s="2">
        <v>-212</v>
      </c>
      <c r="G4228" s="2">
        <v>4</v>
      </c>
      <c r="H4228" s="2">
        <v>5287</v>
      </c>
      <c r="I4228" s="2">
        <v>2659</v>
      </c>
    </row>
    <row r="4229" spans="1:9" x14ac:dyDescent="0.3">
      <c r="A4229" t="s">
        <v>63</v>
      </c>
      <c r="B4229" s="1">
        <v>45108</v>
      </c>
      <c r="C4229" s="2">
        <v>11982</v>
      </c>
      <c r="D4229" s="2">
        <v>840</v>
      </c>
      <c r="E4229" s="2">
        <v>9354</v>
      </c>
      <c r="F4229" s="2">
        <v>-408</v>
      </c>
      <c r="G4229" s="2">
        <v>236</v>
      </c>
      <c r="H4229" s="2">
        <v>2628</v>
      </c>
      <c r="I4229" s="2">
        <v>1248</v>
      </c>
    </row>
    <row r="4230" spans="1:9" x14ac:dyDescent="0.3">
      <c r="A4230" t="s">
        <v>63</v>
      </c>
      <c r="B4230" s="1">
        <v>45078</v>
      </c>
      <c r="C4230" s="2">
        <v>11139</v>
      </c>
      <c r="D4230" s="2">
        <v>-342</v>
      </c>
      <c r="E4230" s="2">
        <v>9759</v>
      </c>
      <c r="F4230" s="2">
        <v>68</v>
      </c>
      <c r="G4230" s="2">
        <v>-95</v>
      </c>
      <c r="H4230" s="2">
        <v>1380</v>
      </c>
      <c r="I4230" s="2">
        <v>-410</v>
      </c>
    </row>
    <row r="4231" spans="1:9" x14ac:dyDescent="0.3">
      <c r="A4231" t="s">
        <v>63</v>
      </c>
      <c r="B4231" s="1">
        <v>45047</v>
      </c>
      <c r="C4231" s="2">
        <v>11517</v>
      </c>
      <c r="D4231" s="2">
        <v>411</v>
      </c>
      <c r="E4231" s="2">
        <v>9727</v>
      </c>
      <c r="F4231" s="2">
        <v>-240</v>
      </c>
      <c r="G4231" s="2">
        <v>160</v>
      </c>
      <c r="H4231" s="2">
        <v>1790</v>
      </c>
      <c r="I4231" s="2">
        <v>651</v>
      </c>
    </row>
    <row r="4232" spans="1:9" x14ac:dyDescent="0.3">
      <c r="A4232" t="s">
        <v>63</v>
      </c>
      <c r="B4232" s="1">
        <v>45017</v>
      </c>
      <c r="C4232" s="2">
        <v>11766</v>
      </c>
      <c r="D4232" s="2">
        <v>-98</v>
      </c>
      <c r="E4232" s="2">
        <v>10627</v>
      </c>
      <c r="F4232" s="2">
        <v>5</v>
      </c>
      <c r="G4232" s="2">
        <v>1043</v>
      </c>
      <c r="H4232" s="2">
        <v>1139</v>
      </c>
      <c r="I4232" s="2">
        <v>-103</v>
      </c>
    </row>
    <row r="4233" spans="1:9" x14ac:dyDescent="0.3">
      <c r="A4233" t="s">
        <v>63</v>
      </c>
      <c r="B4233" s="1">
        <v>44986</v>
      </c>
      <c r="C4233" s="2">
        <v>11593</v>
      </c>
      <c r="D4233" s="2">
        <v>-1102</v>
      </c>
      <c r="E4233" s="2">
        <v>10351</v>
      </c>
      <c r="F4233" s="2">
        <v>-702</v>
      </c>
      <c r="G4233" s="2">
        <v>-437</v>
      </c>
      <c r="H4233" s="2">
        <v>1242</v>
      </c>
      <c r="I4233" s="2">
        <v>-400</v>
      </c>
    </row>
    <row r="4234" spans="1:9" x14ac:dyDescent="0.3">
      <c r="A4234" t="s">
        <v>63</v>
      </c>
      <c r="B4234" s="1">
        <v>44958</v>
      </c>
      <c r="C4234" s="2">
        <v>12367</v>
      </c>
      <c r="D4234" s="2">
        <v>-424</v>
      </c>
      <c r="E4234" s="2">
        <v>10725</v>
      </c>
      <c r="F4234" s="2">
        <v>-644</v>
      </c>
      <c r="G4234" s="2">
        <v>397</v>
      </c>
      <c r="H4234" s="2">
        <v>1642</v>
      </c>
      <c r="I4234" s="2">
        <v>220</v>
      </c>
    </row>
    <row r="4235" spans="1:9" hidden="1" x14ac:dyDescent="0.3">
      <c r="A4235" t="s">
        <v>63</v>
      </c>
      <c r="B4235" s="1">
        <v>44927</v>
      </c>
      <c r="C4235" s="2">
        <v>12913</v>
      </c>
      <c r="D4235" s="2" t="s">
        <v>3</v>
      </c>
      <c r="E4235" s="2">
        <v>11491</v>
      </c>
      <c r="F4235" s="2" t="s">
        <v>3</v>
      </c>
      <c r="G4235" s="2" t="s">
        <v>3</v>
      </c>
      <c r="H4235" s="2">
        <v>1422</v>
      </c>
      <c r="I4235" s="2">
        <v>204</v>
      </c>
    </row>
    <row r="4236" spans="1:9" hidden="1" x14ac:dyDescent="0.3">
      <c r="A4236" t="s">
        <v>63</v>
      </c>
      <c r="B4236" s="1">
        <v>44896</v>
      </c>
      <c r="C4236" s="2">
        <v>13940</v>
      </c>
      <c r="D4236" s="2" t="s">
        <v>3</v>
      </c>
      <c r="E4236" s="2">
        <v>12722</v>
      </c>
      <c r="F4236" s="2" t="s">
        <v>3</v>
      </c>
      <c r="G4236" s="2" t="s">
        <v>3</v>
      </c>
      <c r="H4236" s="2">
        <v>1218</v>
      </c>
      <c r="I4236" s="2">
        <v>-476</v>
      </c>
    </row>
    <row r="4237" spans="1:9" hidden="1" x14ac:dyDescent="0.3">
      <c r="A4237" t="s">
        <v>63</v>
      </c>
      <c r="B4237" s="1">
        <v>44866</v>
      </c>
      <c r="C4237" s="2">
        <v>14355</v>
      </c>
      <c r="D4237" s="2" t="s">
        <v>3</v>
      </c>
      <c r="E4237" s="2">
        <v>12661</v>
      </c>
      <c r="F4237" s="2" t="s">
        <v>3</v>
      </c>
      <c r="G4237" s="2" t="s">
        <v>3</v>
      </c>
      <c r="H4237" s="2">
        <v>1694</v>
      </c>
      <c r="I4237" s="2">
        <v>-122</v>
      </c>
    </row>
    <row r="4238" spans="1:9" hidden="1" x14ac:dyDescent="0.3">
      <c r="A4238" t="s">
        <v>63</v>
      </c>
      <c r="B4238" s="1">
        <v>44835</v>
      </c>
      <c r="C4238" s="2">
        <v>15093</v>
      </c>
      <c r="D4238" s="2" t="s">
        <v>3</v>
      </c>
      <c r="E4238" s="2">
        <v>13277</v>
      </c>
      <c r="F4238" s="2" t="s">
        <v>3</v>
      </c>
      <c r="G4238" s="2" t="s">
        <v>3</v>
      </c>
      <c r="H4238" s="2">
        <v>1816</v>
      </c>
      <c r="I4238" s="2">
        <v>-816</v>
      </c>
    </row>
    <row r="4239" spans="1:9" hidden="1" x14ac:dyDescent="0.3">
      <c r="A4239" t="s">
        <v>63</v>
      </c>
      <c r="B4239" s="1">
        <v>44805</v>
      </c>
      <c r="C4239" s="2">
        <v>17735</v>
      </c>
      <c r="D4239" s="2" t="s">
        <v>3</v>
      </c>
      <c r="E4239" s="2">
        <v>15103</v>
      </c>
      <c r="F4239" s="2" t="s">
        <v>3</v>
      </c>
      <c r="G4239" s="2" t="s">
        <v>3</v>
      </c>
      <c r="H4239" s="2">
        <v>2632</v>
      </c>
      <c r="I4239" s="2">
        <v>-419</v>
      </c>
    </row>
    <row r="4240" spans="1:9" hidden="1" x14ac:dyDescent="0.3">
      <c r="A4240" t="s">
        <v>63</v>
      </c>
      <c r="B4240" s="1">
        <v>44774</v>
      </c>
      <c r="C4240" s="2">
        <v>19889</v>
      </c>
      <c r="D4240" s="2" t="s">
        <v>3</v>
      </c>
      <c r="E4240" s="2">
        <v>16838</v>
      </c>
      <c r="F4240" s="2" t="s">
        <v>3</v>
      </c>
      <c r="G4240" s="2" t="s">
        <v>3</v>
      </c>
      <c r="H4240" s="2">
        <v>3051</v>
      </c>
      <c r="I4240" s="2">
        <v>-108</v>
      </c>
    </row>
    <row r="4241" spans="1:9" hidden="1" x14ac:dyDescent="0.3">
      <c r="A4241" t="s">
        <v>63</v>
      </c>
      <c r="B4241" s="1">
        <v>44743</v>
      </c>
      <c r="C4241" s="2">
        <v>19789</v>
      </c>
      <c r="D4241" s="2" t="s">
        <v>3</v>
      </c>
      <c r="E4241" s="2">
        <v>16630</v>
      </c>
      <c r="F4241" s="2" t="s">
        <v>3</v>
      </c>
      <c r="G4241" s="2" t="s">
        <v>3</v>
      </c>
      <c r="H4241" s="2">
        <v>3159</v>
      </c>
      <c r="I4241" s="2">
        <v>-323</v>
      </c>
    </row>
    <row r="4242" spans="1:9" hidden="1" x14ac:dyDescent="0.3">
      <c r="A4242" t="s">
        <v>63</v>
      </c>
      <c r="B4242" s="1">
        <v>44713</v>
      </c>
      <c r="C4242" s="2">
        <v>19778</v>
      </c>
      <c r="D4242" s="2" t="s">
        <v>3</v>
      </c>
      <c r="E4242" s="2">
        <v>16296</v>
      </c>
      <c r="F4242" s="2" t="s">
        <v>3</v>
      </c>
      <c r="G4242" s="2" t="s">
        <v>3</v>
      </c>
      <c r="H4242" s="2">
        <v>3482</v>
      </c>
      <c r="I4242" s="2">
        <v>-575</v>
      </c>
    </row>
    <row r="4243" spans="1:9" hidden="1" x14ac:dyDescent="0.3">
      <c r="A4243" t="s">
        <v>63</v>
      </c>
      <c r="B4243" s="1">
        <v>44682</v>
      </c>
      <c r="C4243" s="2">
        <v>19405</v>
      </c>
      <c r="D4243" s="2" t="s">
        <v>3</v>
      </c>
      <c r="E4243" s="2">
        <v>15348</v>
      </c>
      <c r="F4243" s="2" t="s">
        <v>3</v>
      </c>
      <c r="G4243" s="2" t="s">
        <v>3</v>
      </c>
      <c r="H4243" s="2">
        <v>4057</v>
      </c>
      <c r="I4243" s="2">
        <v>-574</v>
      </c>
    </row>
    <row r="4244" spans="1:9" hidden="1" x14ac:dyDescent="0.3">
      <c r="A4244" t="s">
        <v>63</v>
      </c>
      <c r="B4244" s="1">
        <v>44652</v>
      </c>
      <c r="C4244" s="2">
        <v>19927</v>
      </c>
      <c r="D4244" s="2" t="s">
        <v>3</v>
      </c>
      <c r="E4244" s="2">
        <v>15296</v>
      </c>
      <c r="F4244" s="2" t="s">
        <v>3</v>
      </c>
      <c r="G4244" s="2" t="s">
        <v>3</v>
      </c>
      <c r="H4244" s="2">
        <v>4631</v>
      </c>
      <c r="I4244" s="2">
        <v>-710</v>
      </c>
    </row>
    <row r="4245" spans="1:9" hidden="1" x14ac:dyDescent="0.3">
      <c r="A4245" t="s">
        <v>63</v>
      </c>
      <c r="B4245" s="1">
        <v>44621</v>
      </c>
      <c r="C4245" s="2">
        <v>20834</v>
      </c>
      <c r="D4245" s="2" t="s">
        <v>3</v>
      </c>
      <c r="E4245" s="2">
        <v>15493</v>
      </c>
      <c r="F4245" s="2" t="s">
        <v>3</v>
      </c>
      <c r="G4245" s="2" t="s">
        <v>3</v>
      </c>
      <c r="H4245" s="2">
        <v>5341</v>
      </c>
      <c r="I4245" s="2">
        <v>-191</v>
      </c>
    </row>
    <row r="4246" spans="1:9" hidden="1" x14ac:dyDescent="0.3">
      <c r="A4246" t="s">
        <v>63</v>
      </c>
      <c r="B4246" s="1">
        <v>44593</v>
      </c>
      <c r="C4246" s="2">
        <v>23587</v>
      </c>
      <c r="D4246" s="2" t="s">
        <v>3</v>
      </c>
      <c r="E4246" s="2">
        <v>18055</v>
      </c>
      <c r="F4246" s="2" t="s">
        <v>3</v>
      </c>
      <c r="G4246" s="2" t="s">
        <v>3</v>
      </c>
      <c r="H4246" s="2">
        <v>5532</v>
      </c>
      <c r="I4246" s="2">
        <v>-80</v>
      </c>
    </row>
    <row r="4247" spans="1:9" hidden="1" x14ac:dyDescent="0.3">
      <c r="A4247" t="s">
        <v>63</v>
      </c>
      <c r="B4247" s="1">
        <v>44562</v>
      </c>
      <c r="C4247" s="2">
        <v>24495</v>
      </c>
      <c r="D4247" s="2" t="s">
        <v>3</v>
      </c>
      <c r="E4247" s="2">
        <v>18883</v>
      </c>
      <c r="F4247" s="2" t="s">
        <v>3</v>
      </c>
      <c r="G4247" s="2" t="s">
        <v>3</v>
      </c>
      <c r="H4247" s="2">
        <v>5612</v>
      </c>
      <c r="I4247" s="2">
        <v>86</v>
      </c>
    </row>
    <row r="4248" spans="1:9" hidden="1" x14ac:dyDescent="0.3">
      <c r="A4248" t="s">
        <v>63</v>
      </c>
      <c r="B4248" s="1">
        <v>44531</v>
      </c>
      <c r="C4248" s="2">
        <v>23683</v>
      </c>
      <c r="D4248" s="2" t="s">
        <v>3</v>
      </c>
      <c r="E4248" s="2">
        <v>18157</v>
      </c>
      <c r="F4248" s="2" t="s">
        <v>3</v>
      </c>
      <c r="G4248" s="2" t="s">
        <v>3</v>
      </c>
      <c r="H4248" s="2">
        <v>5526</v>
      </c>
      <c r="I4248" s="2">
        <v>187</v>
      </c>
    </row>
    <row r="4249" spans="1:9" hidden="1" x14ac:dyDescent="0.3">
      <c r="A4249" t="s">
        <v>63</v>
      </c>
      <c r="B4249" s="1">
        <v>44501</v>
      </c>
      <c r="C4249" s="2">
        <v>24537</v>
      </c>
      <c r="D4249" s="2" t="s">
        <v>3</v>
      </c>
      <c r="E4249" s="2">
        <v>19198</v>
      </c>
      <c r="F4249" s="2" t="s">
        <v>3</v>
      </c>
      <c r="G4249" s="2" t="s">
        <v>3</v>
      </c>
      <c r="H4249" s="2">
        <v>5339</v>
      </c>
      <c r="I4249" s="2">
        <v>-381</v>
      </c>
    </row>
    <row r="4250" spans="1:9" hidden="1" x14ac:dyDescent="0.3">
      <c r="A4250" t="s">
        <v>63</v>
      </c>
      <c r="B4250" s="1">
        <v>44470</v>
      </c>
      <c r="C4250" s="2">
        <v>24792</v>
      </c>
      <c r="D4250" s="2" t="s">
        <v>3</v>
      </c>
      <c r="E4250" s="2">
        <v>19072</v>
      </c>
      <c r="F4250" s="2" t="s">
        <v>3</v>
      </c>
      <c r="G4250" s="2" t="s">
        <v>3</v>
      </c>
      <c r="H4250" s="2">
        <v>5720</v>
      </c>
      <c r="I4250" s="2">
        <v>570</v>
      </c>
    </row>
    <row r="4251" spans="1:9" hidden="1" x14ac:dyDescent="0.3">
      <c r="A4251" t="s">
        <v>63</v>
      </c>
      <c r="B4251" s="1">
        <v>44440</v>
      </c>
      <c r="C4251" s="2">
        <v>24723</v>
      </c>
      <c r="D4251" s="2" t="s">
        <v>3</v>
      </c>
      <c r="E4251" s="2">
        <v>19573</v>
      </c>
      <c r="F4251" s="2" t="s">
        <v>3</v>
      </c>
      <c r="G4251" s="2" t="s">
        <v>3</v>
      </c>
      <c r="H4251" s="2">
        <v>5150</v>
      </c>
      <c r="I4251" s="2">
        <v>-72</v>
      </c>
    </row>
    <row r="4252" spans="1:9" hidden="1" x14ac:dyDescent="0.3">
      <c r="A4252" t="s">
        <v>63</v>
      </c>
      <c r="B4252" s="1">
        <v>44409</v>
      </c>
      <c r="C4252" s="2">
        <v>22561</v>
      </c>
      <c r="D4252" s="2" t="s">
        <v>3</v>
      </c>
      <c r="E4252" s="2">
        <v>17339</v>
      </c>
      <c r="F4252" s="2" t="s">
        <v>3</v>
      </c>
      <c r="G4252" s="2" t="s">
        <v>3</v>
      </c>
      <c r="H4252" s="2">
        <v>5222</v>
      </c>
      <c r="I4252" s="2">
        <v>87</v>
      </c>
    </row>
    <row r="4253" spans="1:9" hidden="1" x14ac:dyDescent="0.3">
      <c r="A4253" t="s">
        <v>63</v>
      </c>
      <c r="B4253" s="1">
        <v>44378</v>
      </c>
      <c r="C4253" s="2">
        <v>22639</v>
      </c>
      <c r="D4253" s="2" t="s">
        <v>3</v>
      </c>
      <c r="E4253" s="2">
        <v>17504</v>
      </c>
      <c r="F4253" s="2" t="s">
        <v>3</v>
      </c>
      <c r="G4253" s="2" t="s">
        <v>3</v>
      </c>
      <c r="H4253" s="2">
        <v>5135</v>
      </c>
      <c r="I4253" s="2">
        <v>869</v>
      </c>
    </row>
    <row r="4254" spans="1:9" hidden="1" x14ac:dyDescent="0.3">
      <c r="A4254" t="s">
        <v>63</v>
      </c>
      <c r="B4254" s="1">
        <v>44348</v>
      </c>
      <c r="C4254" s="2">
        <v>23773</v>
      </c>
      <c r="D4254" s="2" t="s">
        <v>3</v>
      </c>
      <c r="E4254" s="2">
        <v>19507</v>
      </c>
      <c r="F4254" s="2" t="s">
        <v>3</v>
      </c>
      <c r="G4254" s="2" t="s">
        <v>3</v>
      </c>
      <c r="H4254" s="2">
        <v>4266</v>
      </c>
      <c r="I4254" s="2">
        <v>254</v>
      </c>
    </row>
    <row r="4255" spans="1:9" hidden="1" x14ac:dyDescent="0.3">
      <c r="A4255" t="s">
        <v>63</v>
      </c>
      <c r="B4255" s="1">
        <v>44317</v>
      </c>
      <c r="C4255" s="2">
        <v>22945</v>
      </c>
      <c r="D4255" s="2" t="s">
        <v>3</v>
      </c>
      <c r="E4255" s="2">
        <v>18933</v>
      </c>
      <c r="F4255" s="2" t="s">
        <v>3</v>
      </c>
      <c r="G4255" s="2" t="s">
        <v>3</v>
      </c>
      <c r="H4255" s="2">
        <v>4012</v>
      </c>
      <c r="I4255" s="2">
        <v>160</v>
      </c>
    </row>
    <row r="4256" spans="1:9" hidden="1" x14ac:dyDescent="0.3">
      <c r="A4256" t="s">
        <v>63</v>
      </c>
      <c r="B4256" s="1">
        <v>44287</v>
      </c>
      <c r="C4256" s="2">
        <v>23161</v>
      </c>
      <c r="D4256" s="2" t="s">
        <v>3</v>
      </c>
      <c r="E4256" s="2">
        <v>19309</v>
      </c>
      <c r="F4256" s="2" t="s">
        <v>3</v>
      </c>
      <c r="G4256" s="2" t="s">
        <v>3</v>
      </c>
      <c r="H4256" s="2">
        <v>3852</v>
      </c>
      <c r="I4256" s="2">
        <v>56</v>
      </c>
    </row>
    <row r="4257" spans="1:9" hidden="1" x14ac:dyDescent="0.3">
      <c r="A4257" t="s">
        <v>63</v>
      </c>
      <c r="B4257" s="1">
        <v>44256</v>
      </c>
      <c r="C4257" s="2">
        <v>23294</v>
      </c>
      <c r="D4257" s="2" t="s">
        <v>3</v>
      </c>
      <c r="E4257" s="2">
        <v>19498</v>
      </c>
      <c r="F4257" s="2" t="s">
        <v>3</v>
      </c>
      <c r="G4257" s="2" t="s">
        <v>3</v>
      </c>
      <c r="H4257" s="2">
        <v>3796</v>
      </c>
      <c r="I4257" s="2">
        <v>1080</v>
      </c>
    </row>
    <row r="4258" spans="1:9" hidden="1" x14ac:dyDescent="0.3">
      <c r="A4258" t="s">
        <v>63</v>
      </c>
      <c r="B4258" s="1">
        <v>44228</v>
      </c>
      <c r="C4258" s="2">
        <v>22606</v>
      </c>
      <c r="D4258" s="2" t="s">
        <v>3</v>
      </c>
      <c r="E4258" s="2">
        <v>19890</v>
      </c>
      <c r="F4258" s="2" t="s">
        <v>3</v>
      </c>
      <c r="G4258" s="2" t="s">
        <v>3</v>
      </c>
      <c r="H4258" s="2">
        <v>2716</v>
      </c>
      <c r="I4258" s="2">
        <v>-94</v>
      </c>
    </row>
    <row r="4259" spans="1:9" hidden="1" x14ac:dyDescent="0.3">
      <c r="A4259" t="s">
        <v>63</v>
      </c>
      <c r="B4259" s="1">
        <v>44197</v>
      </c>
      <c r="C4259" s="2">
        <v>21719</v>
      </c>
      <c r="D4259" s="2" t="s">
        <v>3</v>
      </c>
      <c r="E4259" s="2">
        <v>18909</v>
      </c>
      <c r="F4259" s="2" t="s">
        <v>3</v>
      </c>
      <c r="G4259" s="2" t="s">
        <v>3</v>
      </c>
      <c r="H4259" s="2">
        <v>2810</v>
      </c>
      <c r="I4259" s="2">
        <v>454</v>
      </c>
    </row>
    <row r="4260" spans="1:9" hidden="1" x14ac:dyDescent="0.3">
      <c r="A4260" t="s">
        <v>63</v>
      </c>
      <c r="B4260" s="1">
        <v>44166</v>
      </c>
      <c r="C4260" s="2">
        <v>21286</v>
      </c>
      <c r="D4260" s="2" t="s">
        <v>3</v>
      </c>
      <c r="E4260" s="2">
        <v>18930</v>
      </c>
      <c r="F4260" s="2" t="s">
        <v>3</v>
      </c>
      <c r="G4260" s="2" t="s">
        <v>3</v>
      </c>
      <c r="H4260" s="2">
        <v>2356</v>
      </c>
      <c r="I4260" s="2">
        <v>174</v>
      </c>
    </row>
    <row r="4261" spans="1:9" hidden="1" x14ac:dyDescent="0.3">
      <c r="A4261" t="s">
        <v>63</v>
      </c>
      <c r="B4261" s="1">
        <v>44136</v>
      </c>
      <c r="C4261" s="2">
        <v>21769</v>
      </c>
      <c r="D4261" s="2" t="s">
        <v>3</v>
      </c>
      <c r="E4261" s="2">
        <v>19587</v>
      </c>
      <c r="F4261" s="2" t="s">
        <v>3</v>
      </c>
      <c r="G4261" s="2" t="s">
        <v>3</v>
      </c>
      <c r="H4261" s="2">
        <v>2182</v>
      </c>
      <c r="I4261" s="2">
        <v>-649</v>
      </c>
    </row>
    <row r="4262" spans="1:9" hidden="1" x14ac:dyDescent="0.3">
      <c r="A4262" t="s">
        <v>63</v>
      </c>
      <c r="B4262" s="1">
        <v>44105</v>
      </c>
      <c r="C4262" s="2">
        <v>25693</v>
      </c>
      <c r="D4262" s="2" t="s">
        <v>3</v>
      </c>
      <c r="E4262" s="2">
        <v>22862</v>
      </c>
      <c r="F4262" s="2" t="s">
        <v>3</v>
      </c>
      <c r="G4262" s="2" t="s">
        <v>3</v>
      </c>
      <c r="H4262" s="2">
        <v>2831</v>
      </c>
      <c r="I4262" s="2">
        <v>760</v>
      </c>
    </row>
    <row r="4263" spans="1:9" hidden="1" x14ac:dyDescent="0.3">
      <c r="A4263" t="s">
        <v>63</v>
      </c>
      <c r="B4263" s="1">
        <v>44075</v>
      </c>
      <c r="C4263" s="2">
        <v>25995</v>
      </c>
      <c r="D4263" s="2" t="s">
        <v>3</v>
      </c>
      <c r="E4263" s="2">
        <v>23924</v>
      </c>
      <c r="F4263" s="2" t="s">
        <v>3</v>
      </c>
      <c r="G4263" s="2" t="s">
        <v>3</v>
      </c>
      <c r="H4263" s="2">
        <v>2071</v>
      </c>
      <c r="I4263" s="2">
        <v>201</v>
      </c>
    </row>
    <row r="4264" spans="1:9" hidden="1" x14ac:dyDescent="0.3">
      <c r="A4264" t="s">
        <v>63</v>
      </c>
      <c r="B4264" s="1">
        <v>44044</v>
      </c>
      <c r="C4264" s="2">
        <v>23720</v>
      </c>
      <c r="D4264" s="2" t="s">
        <v>3</v>
      </c>
      <c r="E4264" s="2">
        <v>21850</v>
      </c>
      <c r="F4264" s="2" t="s">
        <v>3</v>
      </c>
      <c r="G4264" s="2" t="s">
        <v>3</v>
      </c>
      <c r="H4264" s="2">
        <v>1870</v>
      </c>
      <c r="I4264" s="2">
        <v>91</v>
      </c>
    </row>
    <row r="4265" spans="1:9" hidden="1" x14ac:dyDescent="0.3">
      <c r="A4265" t="s">
        <v>63</v>
      </c>
      <c r="B4265" s="1">
        <v>44013</v>
      </c>
      <c r="C4265" s="2">
        <v>22441</v>
      </c>
      <c r="D4265" s="2" t="s">
        <v>3</v>
      </c>
      <c r="E4265" s="2">
        <v>20662</v>
      </c>
      <c r="F4265" s="2" t="s">
        <v>3</v>
      </c>
      <c r="G4265" s="2" t="s">
        <v>3</v>
      </c>
      <c r="H4265" s="2">
        <v>1779</v>
      </c>
      <c r="I4265" s="2">
        <v>-37</v>
      </c>
    </row>
    <row r="4266" spans="1:9" hidden="1" x14ac:dyDescent="0.3">
      <c r="A4266" t="s">
        <v>63</v>
      </c>
      <c r="B4266" s="1">
        <v>43983</v>
      </c>
      <c r="C4266" s="2">
        <v>21892</v>
      </c>
      <c r="D4266" s="2" t="s">
        <v>3</v>
      </c>
      <c r="E4266" s="2">
        <v>20076</v>
      </c>
      <c r="F4266" s="2" t="s">
        <v>3</v>
      </c>
      <c r="G4266" s="2" t="s">
        <v>3</v>
      </c>
      <c r="H4266" s="2">
        <v>1816</v>
      </c>
      <c r="I4266" s="2">
        <v>-507</v>
      </c>
    </row>
    <row r="4267" spans="1:9" hidden="1" x14ac:dyDescent="0.3">
      <c r="A4267" t="s">
        <v>63</v>
      </c>
      <c r="B4267" s="1">
        <v>43952</v>
      </c>
      <c r="C4267" s="2">
        <v>24080</v>
      </c>
      <c r="D4267" s="2" t="s">
        <v>3</v>
      </c>
      <c r="E4267" s="2">
        <v>21757</v>
      </c>
      <c r="F4267" s="2" t="s">
        <v>3</v>
      </c>
      <c r="G4267" s="2" t="s">
        <v>3</v>
      </c>
      <c r="H4267" s="2">
        <v>2323</v>
      </c>
      <c r="I4267" s="2">
        <v>423</v>
      </c>
    </row>
    <row r="4268" spans="1:9" hidden="1" x14ac:dyDescent="0.3">
      <c r="A4268" t="s">
        <v>63</v>
      </c>
      <c r="B4268" s="1">
        <v>43922</v>
      </c>
      <c r="C4268" s="2">
        <v>23791</v>
      </c>
      <c r="D4268" s="2" t="s">
        <v>3</v>
      </c>
      <c r="E4268" s="2">
        <v>21891</v>
      </c>
      <c r="F4268" s="2" t="s">
        <v>3</v>
      </c>
      <c r="G4268" s="2" t="s">
        <v>3</v>
      </c>
      <c r="H4268" s="2">
        <v>1900</v>
      </c>
      <c r="I4268" s="2">
        <v>470</v>
      </c>
    </row>
    <row r="4269" spans="1:9" hidden="1" x14ac:dyDescent="0.3">
      <c r="A4269" t="s">
        <v>63</v>
      </c>
      <c r="B4269" s="1">
        <v>43891</v>
      </c>
      <c r="C4269" s="2">
        <v>23267</v>
      </c>
      <c r="D4269" s="2" t="s">
        <v>3</v>
      </c>
      <c r="E4269" s="2">
        <v>21837</v>
      </c>
      <c r="F4269" s="2" t="s">
        <v>3</v>
      </c>
      <c r="G4269" s="2" t="s">
        <v>3</v>
      </c>
      <c r="H4269" s="2">
        <v>1430</v>
      </c>
      <c r="I4269" s="2">
        <v>-1851</v>
      </c>
    </row>
    <row r="4270" spans="1:9" hidden="1" x14ac:dyDescent="0.3">
      <c r="A4270" t="s">
        <v>63</v>
      </c>
      <c r="B4270" s="1">
        <v>43862</v>
      </c>
      <c r="C4270" s="2">
        <v>28448</v>
      </c>
      <c r="D4270" s="2" t="s">
        <v>3</v>
      </c>
      <c r="E4270" s="2">
        <v>25167</v>
      </c>
      <c r="F4270" s="2" t="s">
        <v>3</v>
      </c>
      <c r="G4270" s="2" t="s">
        <v>3</v>
      </c>
      <c r="H4270" s="2">
        <v>3281</v>
      </c>
      <c r="I4270" s="2">
        <v>2152</v>
      </c>
    </row>
    <row r="4271" spans="1:9" hidden="1" x14ac:dyDescent="0.3">
      <c r="A4271" t="s">
        <v>63</v>
      </c>
      <c r="B4271" s="1">
        <v>43831</v>
      </c>
      <c r="C4271" s="2">
        <v>27346</v>
      </c>
      <c r="D4271" s="2" t="s">
        <v>3</v>
      </c>
      <c r="E4271" s="2">
        <v>26217</v>
      </c>
      <c r="F4271" s="2" t="s">
        <v>3</v>
      </c>
      <c r="G4271" s="2" t="s">
        <v>3</v>
      </c>
      <c r="H4271" s="2">
        <v>1129</v>
      </c>
      <c r="I4271" s="2">
        <v>-733</v>
      </c>
    </row>
    <row r="4272" spans="1:9" x14ac:dyDescent="0.3">
      <c r="A4272" t="s">
        <v>64</v>
      </c>
      <c r="B4272" s="1">
        <v>45931</v>
      </c>
      <c r="C4272" s="2">
        <v>109996</v>
      </c>
      <c r="D4272" s="2">
        <v>4673</v>
      </c>
      <c r="E4272" s="2">
        <v>79671</v>
      </c>
      <c r="F4272" s="2">
        <v>804</v>
      </c>
      <c r="G4272" s="2">
        <v>157</v>
      </c>
      <c r="H4272" s="2">
        <v>30325</v>
      </c>
      <c r="I4272" s="2">
        <v>3869</v>
      </c>
    </row>
    <row r="4273" spans="1:9" x14ac:dyDescent="0.3">
      <c r="A4273" t="s">
        <v>64</v>
      </c>
      <c r="B4273" s="1">
        <v>45901</v>
      </c>
      <c r="C4273" s="2">
        <v>105268</v>
      </c>
      <c r="D4273" s="2">
        <v>5227</v>
      </c>
      <c r="E4273" s="2">
        <v>78812</v>
      </c>
      <c r="F4273" s="2">
        <v>4340</v>
      </c>
      <c r="G4273" s="2">
        <v>249</v>
      </c>
      <c r="H4273" s="2">
        <v>26456</v>
      </c>
      <c r="I4273" s="2">
        <v>887</v>
      </c>
    </row>
    <row r="4274" spans="1:9" x14ac:dyDescent="0.3">
      <c r="A4274" t="s">
        <v>64</v>
      </c>
      <c r="B4274" s="1">
        <v>45870</v>
      </c>
      <c r="C4274" s="2">
        <v>99996</v>
      </c>
      <c r="D4274" s="2">
        <v>-2122</v>
      </c>
      <c r="E4274" s="2">
        <v>74427</v>
      </c>
      <c r="F4274" s="2">
        <v>-2446</v>
      </c>
      <c r="G4274" s="2">
        <v>590</v>
      </c>
      <c r="H4274" s="2">
        <v>25569</v>
      </c>
      <c r="I4274" s="2">
        <v>324</v>
      </c>
    </row>
    <row r="4275" spans="1:9" x14ac:dyDescent="0.3">
      <c r="A4275" t="s">
        <v>64</v>
      </c>
      <c r="B4275" s="1">
        <v>45839</v>
      </c>
      <c r="C4275" s="2">
        <v>102413</v>
      </c>
      <c r="D4275" s="2">
        <v>942</v>
      </c>
      <c r="E4275" s="2">
        <v>77168</v>
      </c>
      <c r="F4275" s="2">
        <v>2041</v>
      </c>
      <c r="G4275" s="2">
        <v>-410</v>
      </c>
      <c r="H4275" s="2">
        <v>25245</v>
      </c>
      <c r="I4275" s="2">
        <v>-1099</v>
      </c>
    </row>
    <row r="4276" spans="1:9" x14ac:dyDescent="0.3">
      <c r="A4276" t="s">
        <v>64</v>
      </c>
      <c r="B4276" s="1">
        <v>45809</v>
      </c>
      <c r="C4276" s="2">
        <v>101790</v>
      </c>
      <c r="D4276" s="2">
        <v>431</v>
      </c>
      <c r="E4276" s="2">
        <v>75446</v>
      </c>
      <c r="F4276" s="2">
        <v>-2802</v>
      </c>
      <c r="G4276" s="2">
        <v>563</v>
      </c>
      <c r="H4276" s="2">
        <v>26344</v>
      </c>
      <c r="I4276" s="2">
        <v>3233</v>
      </c>
    </row>
    <row r="4277" spans="1:9" x14ac:dyDescent="0.3">
      <c r="A4277" t="s">
        <v>64</v>
      </c>
      <c r="B4277" s="1">
        <v>45778</v>
      </c>
      <c r="C4277" s="2">
        <v>100783</v>
      </c>
      <c r="D4277" s="2">
        <v>3891</v>
      </c>
      <c r="E4277" s="2">
        <v>77672</v>
      </c>
      <c r="F4277" s="2">
        <v>4214</v>
      </c>
      <c r="G4277" s="2">
        <v>-817</v>
      </c>
      <c r="H4277" s="2">
        <v>23111</v>
      </c>
      <c r="I4277" s="2">
        <v>-323</v>
      </c>
    </row>
    <row r="4278" spans="1:9" x14ac:dyDescent="0.3">
      <c r="A4278" t="s">
        <v>64</v>
      </c>
      <c r="B4278" s="1">
        <v>45748</v>
      </c>
      <c r="C4278" s="2">
        <v>97372</v>
      </c>
      <c r="D4278" s="2">
        <v>4746</v>
      </c>
      <c r="E4278" s="2">
        <v>73938</v>
      </c>
      <c r="F4278" s="2">
        <v>3603</v>
      </c>
      <c r="G4278" s="2">
        <v>184</v>
      </c>
      <c r="H4278" s="2">
        <v>23434</v>
      </c>
      <c r="I4278" s="2">
        <v>1143</v>
      </c>
    </row>
    <row r="4279" spans="1:9" x14ac:dyDescent="0.3">
      <c r="A4279" t="s">
        <v>64</v>
      </c>
      <c r="B4279" s="1">
        <v>45717</v>
      </c>
      <c r="C4279" s="2">
        <v>92476</v>
      </c>
      <c r="D4279" s="2">
        <v>2137</v>
      </c>
      <c r="E4279" s="2">
        <v>70185</v>
      </c>
      <c r="F4279" s="2">
        <v>422</v>
      </c>
      <c r="G4279" s="2">
        <v>-13</v>
      </c>
      <c r="H4279" s="2">
        <v>22291</v>
      </c>
      <c r="I4279" s="2">
        <v>1715</v>
      </c>
    </row>
    <row r="4280" spans="1:9" x14ac:dyDescent="0.3">
      <c r="A4280" t="s">
        <v>64</v>
      </c>
      <c r="B4280" s="1">
        <v>45689</v>
      </c>
      <c r="C4280" s="2">
        <v>90741</v>
      </c>
      <c r="D4280" s="2">
        <v>1280</v>
      </c>
      <c r="E4280" s="2">
        <v>70165</v>
      </c>
      <c r="F4280" s="2">
        <v>-2389</v>
      </c>
      <c r="G4280" s="2">
        <v>990</v>
      </c>
      <c r="H4280" s="2">
        <v>20576</v>
      </c>
      <c r="I4280" s="2">
        <v>3669</v>
      </c>
    </row>
    <row r="4281" spans="1:9" x14ac:dyDescent="0.3">
      <c r="A4281" t="s">
        <v>64</v>
      </c>
      <c r="B4281" s="1">
        <v>45658</v>
      </c>
      <c r="C4281" s="2">
        <v>88408</v>
      </c>
      <c r="D4281" s="2">
        <v>5778</v>
      </c>
      <c r="E4281" s="2">
        <v>71501</v>
      </c>
      <c r="F4281" s="2">
        <v>4793</v>
      </c>
      <c r="G4281" s="2">
        <v>154</v>
      </c>
      <c r="H4281" s="2">
        <v>16907</v>
      </c>
      <c r="I4281" s="2">
        <v>985</v>
      </c>
    </row>
    <row r="4282" spans="1:9" x14ac:dyDescent="0.3">
      <c r="A4282" t="s">
        <v>64</v>
      </c>
      <c r="B4282" s="1">
        <v>45627</v>
      </c>
      <c r="C4282" s="2">
        <v>82125</v>
      </c>
      <c r="D4282" s="2">
        <v>-4045</v>
      </c>
      <c r="E4282" s="2">
        <v>66203</v>
      </c>
      <c r="F4282" s="2">
        <v>531</v>
      </c>
      <c r="G4282" s="2">
        <v>-1244</v>
      </c>
      <c r="H4282" s="2">
        <v>15922</v>
      </c>
      <c r="I4282" s="2">
        <v>-4576</v>
      </c>
    </row>
    <row r="4283" spans="1:9" x14ac:dyDescent="0.3">
      <c r="A4283" t="s">
        <v>64</v>
      </c>
      <c r="B4283" s="1">
        <v>45597</v>
      </c>
      <c r="C4283" s="2">
        <v>87461</v>
      </c>
      <c r="D4283" s="2">
        <v>-2347</v>
      </c>
      <c r="E4283" s="2">
        <v>66963</v>
      </c>
      <c r="F4283" s="2">
        <v>1033</v>
      </c>
      <c r="G4283" s="2">
        <v>658</v>
      </c>
      <c r="H4283" s="2">
        <v>20498</v>
      </c>
      <c r="I4283" s="2">
        <v>-3380</v>
      </c>
    </row>
    <row r="4284" spans="1:9" x14ac:dyDescent="0.3">
      <c r="A4284" t="s">
        <v>64</v>
      </c>
      <c r="B4284" s="1">
        <v>45566</v>
      </c>
      <c r="C4284" s="2">
        <v>89372</v>
      </c>
      <c r="D4284" s="2">
        <v>11401</v>
      </c>
      <c r="E4284" s="2">
        <v>65494</v>
      </c>
      <c r="F4284" s="2">
        <v>2069</v>
      </c>
      <c r="G4284" s="2">
        <v>-1019</v>
      </c>
      <c r="H4284" s="2">
        <v>23878</v>
      </c>
      <c r="I4284" s="2">
        <v>9332</v>
      </c>
    </row>
    <row r="4285" spans="1:9" x14ac:dyDescent="0.3">
      <c r="A4285" t="s">
        <v>64</v>
      </c>
      <c r="B4285" s="1">
        <v>45536</v>
      </c>
      <c r="C4285" s="2">
        <v>79009</v>
      </c>
      <c r="D4285" s="2">
        <v>4913</v>
      </c>
      <c r="E4285" s="2">
        <v>64463</v>
      </c>
      <c r="F4285" s="2">
        <v>1916</v>
      </c>
      <c r="G4285" s="2">
        <v>558</v>
      </c>
      <c r="H4285" s="2">
        <v>14546</v>
      </c>
      <c r="I4285" s="2">
        <v>2997</v>
      </c>
    </row>
    <row r="4286" spans="1:9" x14ac:dyDescent="0.3">
      <c r="A4286" t="s">
        <v>64</v>
      </c>
      <c r="B4286" s="1">
        <v>45505</v>
      </c>
      <c r="C4286" s="2">
        <v>73501</v>
      </c>
      <c r="D4286" s="2">
        <v>-49</v>
      </c>
      <c r="E4286" s="2">
        <v>61952</v>
      </c>
      <c r="F4286" s="2">
        <v>-2957</v>
      </c>
      <c r="G4286" s="2">
        <v>1511</v>
      </c>
      <c r="H4286" s="2">
        <v>11549</v>
      </c>
      <c r="I4286" s="2">
        <v>2908</v>
      </c>
    </row>
    <row r="4287" spans="1:9" x14ac:dyDescent="0.3">
      <c r="A4287" t="s">
        <v>64</v>
      </c>
      <c r="B4287" s="1">
        <v>45474</v>
      </c>
      <c r="C4287" s="2">
        <v>71189</v>
      </c>
      <c r="D4287" s="2">
        <v>862</v>
      </c>
      <c r="E4287" s="2">
        <v>62548</v>
      </c>
      <c r="F4287" s="2">
        <v>1242</v>
      </c>
      <c r="G4287" s="2">
        <v>737</v>
      </c>
      <c r="H4287" s="2">
        <v>8641</v>
      </c>
      <c r="I4287" s="2">
        <v>-380</v>
      </c>
    </row>
    <row r="4288" spans="1:9" x14ac:dyDescent="0.3">
      <c r="A4288" t="s">
        <v>64</v>
      </c>
      <c r="B4288" s="1">
        <v>45444</v>
      </c>
      <c r="C4288" s="2">
        <v>69743</v>
      </c>
      <c r="D4288" s="2">
        <v>5177</v>
      </c>
      <c r="E4288" s="2">
        <v>60722</v>
      </c>
      <c r="F4288" s="2">
        <v>1346</v>
      </c>
      <c r="G4288" s="2">
        <v>-28</v>
      </c>
      <c r="H4288" s="2">
        <v>9021</v>
      </c>
      <c r="I4288" s="2">
        <v>3831</v>
      </c>
    </row>
    <row r="4289" spans="1:9" x14ac:dyDescent="0.3">
      <c r="A4289" t="s">
        <v>64</v>
      </c>
      <c r="B4289" s="1">
        <v>45413</v>
      </c>
      <c r="C4289" s="2">
        <v>64184</v>
      </c>
      <c r="D4289" s="2">
        <v>4500</v>
      </c>
      <c r="E4289" s="2">
        <v>58994</v>
      </c>
      <c r="F4289" s="2">
        <v>1858</v>
      </c>
      <c r="G4289" s="2">
        <v>462</v>
      </c>
      <c r="H4289" s="2">
        <v>5190</v>
      </c>
      <c r="I4289" s="2">
        <v>2642</v>
      </c>
    </row>
    <row r="4290" spans="1:9" x14ac:dyDescent="0.3">
      <c r="A4290" t="s">
        <v>64</v>
      </c>
      <c r="B4290" s="1">
        <v>45383</v>
      </c>
      <c r="C4290" s="2">
        <v>59797</v>
      </c>
      <c r="D4290" s="2">
        <v>3088</v>
      </c>
      <c r="E4290" s="2">
        <v>57249</v>
      </c>
      <c r="F4290" s="2">
        <v>2965</v>
      </c>
      <c r="G4290" s="2">
        <v>-1463</v>
      </c>
      <c r="H4290" s="2">
        <v>2548</v>
      </c>
      <c r="I4290" s="2">
        <v>123</v>
      </c>
    </row>
    <row r="4291" spans="1:9" x14ac:dyDescent="0.3">
      <c r="A4291" t="s">
        <v>64</v>
      </c>
      <c r="B4291" s="1">
        <v>45352</v>
      </c>
      <c r="C4291" s="2">
        <v>58505</v>
      </c>
      <c r="D4291" s="2">
        <v>1196</v>
      </c>
      <c r="E4291" s="2">
        <v>56080</v>
      </c>
      <c r="F4291" s="2">
        <v>1425</v>
      </c>
      <c r="G4291" s="2">
        <v>302</v>
      </c>
      <c r="H4291" s="2">
        <v>2425</v>
      </c>
      <c r="I4291" s="2">
        <v>-229</v>
      </c>
    </row>
    <row r="4292" spans="1:9" x14ac:dyDescent="0.3">
      <c r="A4292" t="s">
        <v>64</v>
      </c>
      <c r="B4292" s="1">
        <v>45323</v>
      </c>
      <c r="C4292" s="2">
        <v>57329</v>
      </c>
      <c r="D4292" s="2">
        <v>1343</v>
      </c>
      <c r="E4292" s="2">
        <v>54675</v>
      </c>
      <c r="F4292" s="2">
        <v>1305</v>
      </c>
      <c r="G4292" s="2">
        <v>-932</v>
      </c>
      <c r="H4292" s="2">
        <v>2654</v>
      </c>
      <c r="I4292" s="2">
        <v>38</v>
      </c>
    </row>
    <row r="4293" spans="1:9" x14ac:dyDescent="0.3">
      <c r="A4293" t="s">
        <v>64</v>
      </c>
      <c r="B4293" s="1">
        <v>45292</v>
      </c>
      <c r="C4293" s="2">
        <v>56937</v>
      </c>
      <c r="D4293" s="2">
        <v>324</v>
      </c>
      <c r="E4293" s="2">
        <v>54321</v>
      </c>
      <c r="F4293" s="2">
        <v>717</v>
      </c>
      <c r="G4293" s="2">
        <v>245</v>
      </c>
      <c r="H4293" s="2">
        <v>2616</v>
      </c>
      <c r="I4293" s="2">
        <v>-393</v>
      </c>
    </row>
    <row r="4294" spans="1:9" x14ac:dyDescent="0.3">
      <c r="A4294" t="s">
        <v>64</v>
      </c>
      <c r="B4294" s="1">
        <v>45261</v>
      </c>
      <c r="C4294" s="2">
        <v>56642</v>
      </c>
      <c r="D4294" s="2">
        <v>-1709</v>
      </c>
      <c r="E4294" s="2">
        <v>53633</v>
      </c>
      <c r="F4294" s="2">
        <v>-1676</v>
      </c>
      <c r="G4294" s="2">
        <v>948</v>
      </c>
      <c r="H4294" s="2">
        <v>3009</v>
      </c>
      <c r="I4294" s="2">
        <v>-33</v>
      </c>
    </row>
    <row r="4295" spans="1:9" x14ac:dyDescent="0.3">
      <c r="A4295" t="s">
        <v>64</v>
      </c>
      <c r="B4295" s="1">
        <v>45231</v>
      </c>
      <c r="C4295" s="2">
        <v>61124</v>
      </c>
      <c r="D4295" s="2">
        <v>8745</v>
      </c>
      <c r="E4295" s="2">
        <v>58082</v>
      </c>
      <c r="F4295" s="2">
        <v>8680</v>
      </c>
      <c r="G4295" s="2">
        <v>940</v>
      </c>
      <c r="H4295" s="2">
        <v>3042</v>
      </c>
      <c r="I4295" s="2">
        <v>65</v>
      </c>
    </row>
    <row r="4296" spans="1:9" x14ac:dyDescent="0.3">
      <c r="A4296" t="s">
        <v>64</v>
      </c>
      <c r="B4296" s="1">
        <v>45200</v>
      </c>
      <c r="C4296" s="2">
        <v>51792</v>
      </c>
      <c r="D4296" s="2">
        <v>-6316</v>
      </c>
      <c r="E4296" s="2">
        <v>48815</v>
      </c>
      <c r="F4296" s="2">
        <v>-5435</v>
      </c>
      <c r="G4296" s="2">
        <v>100</v>
      </c>
      <c r="H4296" s="2">
        <v>2977</v>
      </c>
      <c r="I4296" s="2">
        <v>-881</v>
      </c>
    </row>
    <row r="4297" spans="1:9" x14ac:dyDescent="0.3">
      <c r="A4297" t="s">
        <v>64</v>
      </c>
      <c r="B4297" s="1">
        <v>45170</v>
      </c>
      <c r="C4297" s="2">
        <v>58174</v>
      </c>
      <c r="D4297" s="2">
        <v>2066</v>
      </c>
      <c r="E4297" s="2">
        <v>54316</v>
      </c>
      <c r="F4297" s="2">
        <v>1924</v>
      </c>
      <c r="G4297" s="2">
        <v>-534</v>
      </c>
      <c r="H4297" s="2">
        <v>3858</v>
      </c>
      <c r="I4297" s="2">
        <v>142</v>
      </c>
    </row>
    <row r="4298" spans="1:9" x14ac:dyDescent="0.3">
      <c r="A4298" t="s">
        <v>64</v>
      </c>
      <c r="B4298" s="1">
        <v>45139</v>
      </c>
      <c r="C4298" s="2">
        <v>56727</v>
      </c>
      <c r="D4298" s="2">
        <v>-1315</v>
      </c>
      <c r="E4298" s="2">
        <v>53011</v>
      </c>
      <c r="F4298" s="2">
        <v>-1503</v>
      </c>
      <c r="G4298" s="2">
        <v>-118</v>
      </c>
      <c r="H4298" s="2">
        <v>3716</v>
      </c>
      <c r="I4298" s="2">
        <v>188</v>
      </c>
    </row>
    <row r="4299" spans="1:9" x14ac:dyDescent="0.3">
      <c r="A4299" t="s">
        <v>64</v>
      </c>
      <c r="B4299" s="1">
        <v>45108</v>
      </c>
      <c r="C4299" s="2">
        <v>57982</v>
      </c>
      <c r="D4299" s="2">
        <v>1627</v>
      </c>
      <c r="E4299" s="2">
        <v>54454</v>
      </c>
      <c r="F4299" s="2">
        <v>1570</v>
      </c>
      <c r="G4299" s="2">
        <v>-62</v>
      </c>
      <c r="H4299" s="2">
        <v>3528</v>
      </c>
      <c r="I4299" s="2">
        <v>57</v>
      </c>
    </row>
    <row r="4300" spans="1:9" x14ac:dyDescent="0.3">
      <c r="A4300" t="s">
        <v>64</v>
      </c>
      <c r="B4300" s="1">
        <v>45078</v>
      </c>
      <c r="C4300" s="2">
        <v>56496</v>
      </c>
      <c r="D4300" s="2">
        <v>7785</v>
      </c>
      <c r="E4300" s="2">
        <v>53025</v>
      </c>
      <c r="F4300" s="2">
        <v>8064</v>
      </c>
      <c r="G4300" s="2">
        <v>-510</v>
      </c>
      <c r="H4300" s="2">
        <v>3471</v>
      </c>
      <c r="I4300" s="2">
        <v>-279</v>
      </c>
    </row>
    <row r="4301" spans="1:9" x14ac:dyDescent="0.3">
      <c r="A4301" t="s">
        <v>64</v>
      </c>
      <c r="B4301" s="1">
        <v>45047</v>
      </c>
      <c r="C4301" s="2">
        <v>49021</v>
      </c>
      <c r="D4301" s="2">
        <v>1228</v>
      </c>
      <c r="E4301" s="2">
        <v>45271</v>
      </c>
      <c r="F4301" s="2">
        <v>979</v>
      </c>
      <c r="G4301" s="2">
        <v>-376</v>
      </c>
      <c r="H4301" s="2">
        <v>3750</v>
      </c>
      <c r="I4301" s="2">
        <v>249</v>
      </c>
    </row>
    <row r="4302" spans="1:9" x14ac:dyDescent="0.3">
      <c r="A4302" t="s">
        <v>64</v>
      </c>
      <c r="B4302" s="1">
        <v>45017</v>
      </c>
      <c r="C4302" s="2">
        <v>48342</v>
      </c>
      <c r="D4302" s="2">
        <v>-3867</v>
      </c>
      <c r="E4302" s="2">
        <v>44841</v>
      </c>
      <c r="F4302" s="2">
        <v>-2518</v>
      </c>
      <c r="G4302" s="2">
        <v>138</v>
      </c>
      <c r="H4302" s="2">
        <v>3501</v>
      </c>
      <c r="I4302" s="2">
        <v>-1349</v>
      </c>
    </row>
    <row r="4303" spans="1:9" x14ac:dyDescent="0.3">
      <c r="A4303" t="s">
        <v>64</v>
      </c>
      <c r="B4303" s="1">
        <v>44986</v>
      </c>
      <c r="C4303" s="2">
        <v>52005</v>
      </c>
      <c r="D4303" s="2">
        <v>5077</v>
      </c>
      <c r="E4303" s="2">
        <v>47155</v>
      </c>
      <c r="F4303" s="2">
        <v>4259</v>
      </c>
      <c r="G4303" s="2">
        <v>980</v>
      </c>
      <c r="H4303" s="2">
        <v>4850</v>
      </c>
      <c r="I4303" s="2">
        <v>818</v>
      </c>
    </row>
    <row r="4304" spans="1:9" x14ac:dyDescent="0.3">
      <c r="A4304" t="s">
        <v>64</v>
      </c>
      <c r="B4304" s="1">
        <v>44958</v>
      </c>
      <c r="C4304" s="2">
        <v>45760</v>
      </c>
      <c r="D4304" s="2">
        <v>-2989</v>
      </c>
      <c r="E4304" s="2">
        <v>41728</v>
      </c>
      <c r="F4304" s="2">
        <v>-3112</v>
      </c>
      <c r="G4304" s="2">
        <v>-691</v>
      </c>
      <c r="H4304" s="2">
        <v>4032</v>
      </c>
      <c r="I4304" s="2">
        <v>123</v>
      </c>
    </row>
    <row r="4305" spans="1:9" hidden="1" x14ac:dyDescent="0.3">
      <c r="A4305" t="s">
        <v>64</v>
      </c>
      <c r="B4305" s="1">
        <v>44927</v>
      </c>
      <c r="C4305" s="2">
        <v>49321</v>
      </c>
      <c r="D4305" s="2" t="s">
        <v>3</v>
      </c>
      <c r="E4305" s="2">
        <v>45412</v>
      </c>
      <c r="F4305" s="2" t="s">
        <v>3</v>
      </c>
      <c r="G4305" s="2" t="s">
        <v>3</v>
      </c>
      <c r="H4305" s="2">
        <v>3909</v>
      </c>
      <c r="I4305" s="2">
        <v>103</v>
      </c>
    </row>
    <row r="4306" spans="1:9" hidden="1" x14ac:dyDescent="0.3">
      <c r="A4306" t="s">
        <v>64</v>
      </c>
      <c r="B4306" s="1">
        <v>44896</v>
      </c>
      <c r="C4306" s="2">
        <v>50644</v>
      </c>
      <c r="D4306" s="2" t="s">
        <v>3</v>
      </c>
      <c r="E4306" s="2">
        <v>46838</v>
      </c>
      <c r="F4306" s="2" t="s">
        <v>3</v>
      </c>
      <c r="G4306" s="2" t="s">
        <v>3</v>
      </c>
      <c r="H4306" s="2">
        <v>3806</v>
      </c>
      <c r="I4306" s="2">
        <v>-593</v>
      </c>
    </row>
    <row r="4307" spans="1:9" hidden="1" x14ac:dyDescent="0.3">
      <c r="A4307" t="s">
        <v>64</v>
      </c>
      <c r="B4307" s="1">
        <v>44866</v>
      </c>
      <c r="C4307" s="2">
        <v>54977</v>
      </c>
      <c r="D4307" s="2" t="s">
        <v>3</v>
      </c>
      <c r="E4307" s="2">
        <v>50578</v>
      </c>
      <c r="F4307" s="2" t="s">
        <v>3</v>
      </c>
      <c r="G4307" s="2" t="s">
        <v>3</v>
      </c>
      <c r="H4307" s="2">
        <v>4399</v>
      </c>
      <c r="I4307" s="2">
        <v>-111</v>
      </c>
    </row>
    <row r="4308" spans="1:9" hidden="1" x14ac:dyDescent="0.3">
      <c r="A4308" t="s">
        <v>64</v>
      </c>
      <c r="B4308" s="1">
        <v>44835</v>
      </c>
      <c r="C4308" s="2">
        <v>51079</v>
      </c>
      <c r="D4308" s="2" t="s">
        <v>3</v>
      </c>
      <c r="E4308" s="2">
        <v>46569</v>
      </c>
      <c r="F4308" s="2" t="s">
        <v>3</v>
      </c>
      <c r="G4308" s="2" t="s">
        <v>3</v>
      </c>
      <c r="H4308" s="2">
        <v>4510</v>
      </c>
      <c r="I4308" s="2">
        <v>163</v>
      </c>
    </row>
    <row r="4309" spans="1:9" hidden="1" x14ac:dyDescent="0.3">
      <c r="A4309" t="s">
        <v>64</v>
      </c>
      <c r="B4309" s="1">
        <v>44805</v>
      </c>
      <c r="C4309" s="2">
        <v>51164</v>
      </c>
      <c r="D4309" s="2" t="s">
        <v>3</v>
      </c>
      <c r="E4309" s="2">
        <v>46817</v>
      </c>
      <c r="F4309" s="2" t="s">
        <v>3</v>
      </c>
      <c r="G4309" s="2" t="s">
        <v>3</v>
      </c>
      <c r="H4309" s="2">
        <v>4347</v>
      </c>
      <c r="I4309" s="2">
        <v>-176</v>
      </c>
    </row>
    <row r="4310" spans="1:9" hidden="1" x14ac:dyDescent="0.3">
      <c r="A4310" t="s">
        <v>64</v>
      </c>
      <c r="B4310" s="1">
        <v>44774</v>
      </c>
      <c r="C4310" s="2">
        <v>51112</v>
      </c>
      <c r="D4310" s="2" t="s">
        <v>3</v>
      </c>
      <c r="E4310" s="2">
        <v>46589</v>
      </c>
      <c r="F4310" s="2" t="s">
        <v>3</v>
      </c>
      <c r="G4310" s="2" t="s">
        <v>3</v>
      </c>
      <c r="H4310" s="2">
        <v>4523</v>
      </c>
      <c r="I4310" s="2">
        <v>-77</v>
      </c>
    </row>
    <row r="4311" spans="1:9" hidden="1" x14ac:dyDescent="0.3">
      <c r="A4311" t="s">
        <v>64</v>
      </c>
      <c r="B4311" s="1">
        <v>44743</v>
      </c>
      <c r="C4311" s="2">
        <v>53042</v>
      </c>
      <c r="D4311" s="2" t="s">
        <v>3</v>
      </c>
      <c r="E4311" s="2">
        <v>48442</v>
      </c>
      <c r="F4311" s="2" t="s">
        <v>3</v>
      </c>
      <c r="G4311" s="2" t="s">
        <v>3</v>
      </c>
      <c r="H4311" s="2">
        <v>4600</v>
      </c>
      <c r="I4311" s="2">
        <v>181</v>
      </c>
    </row>
    <row r="4312" spans="1:9" hidden="1" x14ac:dyDescent="0.3">
      <c r="A4312" t="s">
        <v>64</v>
      </c>
      <c r="B4312" s="1">
        <v>44713</v>
      </c>
      <c r="C4312" s="2">
        <v>51532</v>
      </c>
      <c r="D4312" s="2" t="s">
        <v>3</v>
      </c>
      <c r="E4312" s="2">
        <v>47113</v>
      </c>
      <c r="F4312" s="2" t="s">
        <v>3</v>
      </c>
      <c r="G4312" s="2" t="s">
        <v>3</v>
      </c>
      <c r="H4312" s="2">
        <v>4419</v>
      </c>
      <c r="I4312" s="2">
        <v>188</v>
      </c>
    </row>
    <row r="4313" spans="1:9" hidden="1" x14ac:dyDescent="0.3">
      <c r="A4313" t="s">
        <v>64</v>
      </c>
      <c r="B4313" s="1">
        <v>44682</v>
      </c>
      <c r="C4313" s="2">
        <v>50879</v>
      </c>
      <c r="D4313" s="2" t="s">
        <v>3</v>
      </c>
      <c r="E4313" s="2">
        <v>46648</v>
      </c>
      <c r="F4313" s="2" t="s">
        <v>3</v>
      </c>
      <c r="G4313" s="2" t="s">
        <v>3</v>
      </c>
      <c r="H4313" s="2">
        <v>4231</v>
      </c>
      <c r="I4313" s="2">
        <v>-1323</v>
      </c>
    </row>
    <row r="4314" spans="1:9" hidden="1" x14ac:dyDescent="0.3">
      <c r="A4314" t="s">
        <v>64</v>
      </c>
      <c r="B4314" s="1">
        <v>44652</v>
      </c>
      <c r="C4314" s="2">
        <v>51958</v>
      </c>
      <c r="D4314" s="2" t="s">
        <v>3</v>
      </c>
      <c r="E4314" s="2">
        <v>46404</v>
      </c>
      <c r="F4314" s="2" t="s">
        <v>3</v>
      </c>
      <c r="G4314" s="2" t="s">
        <v>3</v>
      </c>
      <c r="H4314" s="2">
        <v>5554</v>
      </c>
      <c r="I4314" s="2">
        <v>-745</v>
      </c>
    </row>
    <row r="4315" spans="1:9" hidden="1" x14ac:dyDescent="0.3">
      <c r="A4315" t="s">
        <v>64</v>
      </c>
      <c r="B4315" s="1">
        <v>44621</v>
      </c>
      <c r="C4315" s="2">
        <v>59484</v>
      </c>
      <c r="D4315" s="2" t="s">
        <v>3</v>
      </c>
      <c r="E4315" s="2">
        <v>53185</v>
      </c>
      <c r="F4315" s="2" t="s">
        <v>3</v>
      </c>
      <c r="G4315" s="2" t="s">
        <v>3</v>
      </c>
      <c r="H4315" s="2">
        <v>6299</v>
      </c>
      <c r="I4315" s="2">
        <v>-1775</v>
      </c>
    </row>
    <row r="4316" spans="1:9" hidden="1" x14ac:dyDescent="0.3">
      <c r="A4316" t="s">
        <v>64</v>
      </c>
      <c r="B4316" s="1">
        <v>44593</v>
      </c>
      <c r="C4316" s="2">
        <v>66043</v>
      </c>
      <c r="D4316" s="2" t="s">
        <v>3</v>
      </c>
      <c r="E4316" s="2">
        <v>57969</v>
      </c>
      <c r="F4316" s="2" t="s">
        <v>3</v>
      </c>
      <c r="G4316" s="2" t="s">
        <v>3</v>
      </c>
      <c r="H4316" s="2">
        <v>8074</v>
      </c>
      <c r="I4316" s="2">
        <v>1624</v>
      </c>
    </row>
    <row r="4317" spans="1:9" hidden="1" x14ac:dyDescent="0.3">
      <c r="A4317" t="s">
        <v>64</v>
      </c>
      <c r="B4317" s="1">
        <v>44562</v>
      </c>
      <c r="C4317" s="2">
        <v>63776</v>
      </c>
      <c r="D4317" s="2" t="s">
        <v>3</v>
      </c>
      <c r="E4317" s="2">
        <v>57326</v>
      </c>
      <c r="F4317" s="2" t="s">
        <v>3</v>
      </c>
      <c r="G4317" s="2" t="s">
        <v>3</v>
      </c>
      <c r="H4317" s="2">
        <v>6450</v>
      </c>
      <c r="I4317" s="2">
        <v>-4772</v>
      </c>
    </row>
    <row r="4318" spans="1:9" hidden="1" x14ac:dyDescent="0.3">
      <c r="A4318" t="s">
        <v>64</v>
      </c>
      <c r="B4318" s="1">
        <v>44531</v>
      </c>
      <c r="C4318" s="2">
        <v>69104</v>
      </c>
      <c r="D4318" s="2" t="s">
        <v>3</v>
      </c>
      <c r="E4318" s="2">
        <v>57882</v>
      </c>
      <c r="F4318" s="2" t="s">
        <v>3</v>
      </c>
      <c r="G4318" s="2" t="s">
        <v>3</v>
      </c>
      <c r="H4318" s="2">
        <v>11222</v>
      </c>
      <c r="I4318" s="2">
        <v>3591</v>
      </c>
    </row>
    <row r="4319" spans="1:9" hidden="1" x14ac:dyDescent="0.3">
      <c r="A4319" t="s">
        <v>64</v>
      </c>
      <c r="B4319" s="1">
        <v>44501</v>
      </c>
      <c r="C4319" s="2">
        <v>64343</v>
      </c>
      <c r="D4319" s="2" t="s">
        <v>3</v>
      </c>
      <c r="E4319" s="2">
        <v>56712</v>
      </c>
      <c r="F4319" s="2" t="s">
        <v>3</v>
      </c>
      <c r="G4319" s="2" t="s">
        <v>3</v>
      </c>
      <c r="H4319" s="2">
        <v>7631</v>
      </c>
      <c r="I4319" s="2">
        <v>63</v>
      </c>
    </row>
    <row r="4320" spans="1:9" hidden="1" x14ac:dyDescent="0.3">
      <c r="A4320" t="s">
        <v>64</v>
      </c>
      <c r="B4320" s="1">
        <v>44470</v>
      </c>
      <c r="C4320" s="2">
        <v>65778</v>
      </c>
      <c r="D4320" s="2" t="s">
        <v>3</v>
      </c>
      <c r="E4320" s="2">
        <v>58210</v>
      </c>
      <c r="F4320" s="2" t="s">
        <v>3</v>
      </c>
      <c r="G4320" s="2" t="s">
        <v>3</v>
      </c>
      <c r="H4320" s="2">
        <v>7568</v>
      </c>
      <c r="I4320" s="2">
        <v>256</v>
      </c>
    </row>
    <row r="4321" spans="1:9" hidden="1" x14ac:dyDescent="0.3">
      <c r="A4321" t="s">
        <v>64</v>
      </c>
      <c r="B4321" s="1">
        <v>44440</v>
      </c>
      <c r="C4321" s="2">
        <v>64042</v>
      </c>
      <c r="D4321" s="2" t="s">
        <v>3</v>
      </c>
      <c r="E4321" s="2">
        <v>56730</v>
      </c>
      <c r="F4321" s="2" t="s">
        <v>3</v>
      </c>
      <c r="G4321" s="2" t="s">
        <v>3</v>
      </c>
      <c r="H4321" s="2">
        <v>7312</v>
      </c>
      <c r="I4321" s="2">
        <v>-751</v>
      </c>
    </row>
    <row r="4322" spans="1:9" hidden="1" x14ac:dyDescent="0.3">
      <c r="A4322" t="s">
        <v>64</v>
      </c>
      <c r="B4322" s="1">
        <v>44409</v>
      </c>
      <c r="C4322" s="2">
        <v>63926</v>
      </c>
      <c r="D4322" s="2" t="s">
        <v>3</v>
      </c>
      <c r="E4322" s="2">
        <v>55863</v>
      </c>
      <c r="F4322" s="2" t="s">
        <v>3</v>
      </c>
      <c r="G4322" s="2" t="s">
        <v>3</v>
      </c>
      <c r="H4322" s="2">
        <v>8063</v>
      </c>
      <c r="I4322" s="2">
        <v>-1548</v>
      </c>
    </row>
    <row r="4323" spans="1:9" hidden="1" x14ac:dyDescent="0.3">
      <c r="A4323" t="s">
        <v>64</v>
      </c>
      <c r="B4323" s="1">
        <v>44378</v>
      </c>
      <c r="C4323" s="2">
        <v>65519</v>
      </c>
      <c r="D4323" s="2" t="s">
        <v>3</v>
      </c>
      <c r="E4323" s="2">
        <v>55908</v>
      </c>
      <c r="F4323" s="2" t="s">
        <v>3</v>
      </c>
      <c r="G4323" s="2" t="s">
        <v>3</v>
      </c>
      <c r="H4323" s="2">
        <v>9611</v>
      </c>
      <c r="I4323" s="2">
        <v>390</v>
      </c>
    </row>
    <row r="4324" spans="1:9" hidden="1" x14ac:dyDescent="0.3">
      <c r="A4324" t="s">
        <v>64</v>
      </c>
      <c r="B4324" s="1">
        <v>44348</v>
      </c>
      <c r="C4324" s="2">
        <v>62592</v>
      </c>
      <c r="D4324" s="2" t="s">
        <v>3</v>
      </c>
      <c r="E4324" s="2">
        <v>53371</v>
      </c>
      <c r="F4324" s="2" t="s">
        <v>3</v>
      </c>
      <c r="G4324" s="2" t="s">
        <v>3</v>
      </c>
      <c r="H4324" s="2">
        <v>9221</v>
      </c>
      <c r="I4324" s="2">
        <v>2152</v>
      </c>
    </row>
    <row r="4325" spans="1:9" hidden="1" x14ac:dyDescent="0.3">
      <c r="A4325" t="s">
        <v>64</v>
      </c>
      <c r="B4325" s="1">
        <v>44317</v>
      </c>
      <c r="C4325" s="2">
        <v>58330</v>
      </c>
      <c r="D4325" s="2" t="s">
        <v>3</v>
      </c>
      <c r="E4325" s="2">
        <v>51261</v>
      </c>
      <c r="F4325" s="2" t="s">
        <v>3</v>
      </c>
      <c r="G4325" s="2" t="s">
        <v>3</v>
      </c>
      <c r="H4325" s="2">
        <v>7069</v>
      </c>
      <c r="I4325" s="2">
        <v>-642</v>
      </c>
    </row>
    <row r="4326" spans="1:9" hidden="1" x14ac:dyDescent="0.3">
      <c r="A4326" t="s">
        <v>64</v>
      </c>
      <c r="B4326" s="1">
        <v>44287</v>
      </c>
      <c r="C4326" s="2">
        <v>61389</v>
      </c>
      <c r="D4326" s="2" t="s">
        <v>3</v>
      </c>
      <c r="E4326" s="2">
        <v>53678</v>
      </c>
      <c r="F4326" s="2" t="s">
        <v>3</v>
      </c>
      <c r="G4326" s="2" t="s">
        <v>3</v>
      </c>
      <c r="H4326" s="2">
        <v>7711</v>
      </c>
      <c r="I4326" s="2">
        <v>-166</v>
      </c>
    </row>
    <row r="4327" spans="1:9" hidden="1" x14ac:dyDescent="0.3">
      <c r="A4327" t="s">
        <v>64</v>
      </c>
      <c r="B4327" s="1">
        <v>44256</v>
      </c>
      <c r="C4327" s="2">
        <v>61033</v>
      </c>
      <c r="D4327" s="2" t="s">
        <v>3</v>
      </c>
      <c r="E4327" s="2">
        <v>53156</v>
      </c>
      <c r="F4327" s="2" t="s">
        <v>3</v>
      </c>
      <c r="G4327" s="2" t="s">
        <v>3</v>
      </c>
      <c r="H4327" s="2">
        <v>7877</v>
      </c>
      <c r="I4327" s="2">
        <v>712</v>
      </c>
    </row>
    <row r="4328" spans="1:9" hidden="1" x14ac:dyDescent="0.3">
      <c r="A4328" t="s">
        <v>64</v>
      </c>
      <c r="B4328" s="1">
        <v>44228</v>
      </c>
      <c r="C4328" s="2">
        <v>58232</v>
      </c>
      <c r="D4328" s="2" t="s">
        <v>3</v>
      </c>
      <c r="E4328" s="2">
        <v>51067</v>
      </c>
      <c r="F4328" s="2" t="s">
        <v>3</v>
      </c>
      <c r="G4328" s="2" t="s">
        <v>3</v>
      </c>
      <c r="H4328" s="2">
        <v>7165</v>
      </c>
      <c r="I4328" s="2">
        <v>-332</v>
      </c>
    </row>
    <row r="4329" spans="1:9" hidden="1" x14ac:dyDescent="0.3">
      <c r="A4329" t="s">
        <v>64</v>
      </c>
      <c r="B4329" s="1">
        <v>44197</v>
      </c>
      <c r="C4329" s="2">
        <v>53708</v>
      </c>
      <c r="D4329" s="2" t="s">
        <v>3</v>
      </c>
      <c r="E4329" s="2">
        <v>46211</v>
      </c>
      <c r="F4329" s="2" t="s">
        <v>3</v>
      </c>
      <c r="G4329" s="2" t="s">
        <v>3</v>
      </c>
      <c r="H4329" s="2">
        <v>7497</v>
      </c>
      <c r="I4329" s="2">
        <v>330</v>
      </c>
    </row>
    <row r="4330" spans="1:9" hidden="1" x14ac:dyDescent="0.3">
      <c r="A4330" t="s">
        <v>64</v>
      </c>
      <c r="B4330" s="1">
        <v>44166</v>
      </c>
      <c r="C4330" s="2">
        <v>48725</v>
      </c>
      <c r="D4330" s="2" t="s">
        <v>3</v>
      </c>
      <c r="E4330" s="2">
        <v>41558</v>
      </c>
      <c r="F4330" s="2" t="s">
        <v>3</v>
      </c>
      <c r="G4330" s="2" t="s">
        <v>3</v>
      </c>
      <c r="H4330" s="2">
        <v>7167</v>
      </c>
      <c r="I4330" s="2">
        <v>-1203</v>
      </c>
    </row>
    <row r="4331" spans="1:9" hidden="1" x14ac:dyDescent="0.3">
      <c r="A4331" t="s">
        <v>64</v>
      </c>
      <c r="B4331" s="1">
        <v>44136</v>
      </c>
      <c r="C4331" s="2">
        <v>56995</v>
      </c>
      <c r="D4331" s="2" t="s">
        <v>3</v>
      </c>
      <c r="E4331" s="2">
        <v>48625</v>
      </c>
      <c r="F4331" s="2" t="s">
        <v>3</v>
      </c>
      <c r="G4331" s="2" t="s">
        <v>3</v>
      </c>
      <c r="H4331" s="2">
        <v>8370</v>
      </c>
      <c r="I4331" s="2">
        <v>675</v>
      </c>
    </row>
    <row r="4332" spans="1:9" hidden="1" x14ac:dyDescent="0.3">
      <c r="A4332" t="s">
        <v>64</v>
      </c>
      <c r="B4332" s="1">
        <v>44105</v>
      </c>
      <c r="C4332" s="2">
        <v>53267</v>
      </c>
      <c r="D4332" s="2" t="s">
        <v>3</v>
      </c>
      <c r="E4332" s="2">
        <v>45572</v>
      </c>
      <c r="F4332" s="2" t="s">
        <v>3</v>
      </c>
      <c r="G4332" s="2" t="s">
        <v>3</v>
      </c>
      <c r="H4332" s="2">
        <v>7695</v>
      </c>
      <c r="I4332" s="2">
        <v>191</v>
      </c>
    </row>
    <row r="4333" spans="1:9" hidden="1" x14ac:dyDescent="0.3">
      <c r="A4333" t="s">
        <v>64</v>
      </c>
      <c r="B4333" s="1">
        <v>44075</v>
      </c>
      <c r="C4333" s="2">
        <v>51537</v>
      </c>
      <c r="D4333" s="2" t="s">
        <v>3</v>
      </c>
      <c r="E4333" s="2">
        <v>44033</v>
      </c>
      <c r="F4333" s="2" t="s">
        <v>3</v>
      </c>
      <c r="G4333" s="2" t="s">
        <v>3</v>
      </c>
      <c r="H4333" s="2">
        <v>7504</v>
      </c>
      <c r="I4333" s="2">
        <v>-140</v>
      </c>
    </row>
    <row r="4334" spans="1:9" hidden="1" x14ac:dyDescent="0.3">
      <c r="A4334" t="s">
        <v>64</v>
      </c>
      <c r="B4334" s="1">
        <v>44044</v>
      </c>
      <c r="C4334" s="2">
        <v>47727</v>
      </c>
      <c r="D4334" s="2" t="s">
        <v>3</v>
      </c>
      <c r="E4334" s="2">
        <v>40083</v>
      </c>
      <c r="F4334" s="2" t="s">
        <v>3</v>
      </c>
      <c r="G4334" s="2" t="s">
        <v>3</v>
      </c>
      <c r="H4334" s="2">
        <v>7644</v>
      </c>
      <c r="I4334" s="2">
        <v>218</v>
      </c>
    </row>
    <row r="4335" spans="1:9" hidden="1" x14ac:dyDescent="0.3">
      <c r="A4335" t="s">
        <v>64</v>
      </c>
      <c r="B4335" s="1">
        <v>44013</v>
      </c>
      <c r="C4335" s="2">
        <v>48427</v>
      </c>
      <c r="D4335" s="2" t="s">
        <v>3</v>
      </c>
      <c r="E4335" s="2">
        <v>41001</v>
      </c>
      <c r="F4335" s="2" t="s">
        <v>3</v>
      </c>
      <c r="G4335" s="2" t="s">
        <v>3</v>
      </c>
      <c r="H4335" s="2">
        <v>7426</v>
      </c>
      <c r="I4335" s="2">
        <v>1121</v>
      </c>
    </row>
    <row r="4336" spans="1:9" hidden="1" x14ac:dyDescent="0.3">
      <c r="A4336" t="s">
        <v>64</v>
      </c>
      <c r="B4336" s="1">
        <v>43983</v>
      </c>
      <c r="C4336" s="2">
        <v>47561</v>
      </c>
      <c r="D4336" s="2" t="s">
        <v>3</v>
      </c>
      <c r="E4336" s="2">
        <v>41256</v>
      </c>
      <c r="F4336" s="2" t="s">
        <v>3</v>
      </c>
      <c r="G4336" s="2" t="s">
        <v>3</v>
      </c>
      <c r="H4336" s="2">
        <v>6305</v>
      </c>
      <c r="I4336" s="2">
        <v>-971</v>
      </c>
    </row>
    <row r="4337" spans="1:9" hidden="1" x14ac:dyDescent="0.3">
      <c r="A4337" t="s">
        <v>64</v>
      </c>
      <c r="B4337" s="1">
        <v>43952</v>
      </c>
      <c r="C4337" s="2">
        <v>46765</v>
      </c>
      <c r="D4337" s="2" t="s">
        <v>3</v>
      </c>
      <c r="E4337" s="2">
        <v>39489</v>
      </c>
      <c r="F4337" s="2" t="s">
        <v>3</v>
      </c>
      <c r="G4337" s="2" t="s">
        <v>3</v>
      </c>
      <c r="H4337" s="2">
        <v>7276</v>
      </c>
      <c r="I4337" s="2">
        <v>550</v>
      </c>
    </row>
    <row r="4338" spans="1:9" hidden="1" x14ac:dyDescent="0.3">
      <c r="A4338" t="s">
        <v>64</v>
      </c>
      <c r="B4338" s="1">
        <v>43922</v>
      </c>
      <c r="C4338" s="2">
        <v>43244</v>
      </c>
      <c r="D4338" s="2" t="s">
        <v>3</v>
      </c>
      <c r="E4338" s="2">
        <v>36518</v>
      </c>
      <c r="F4338" s="2" t="s">
        <v>3</v>
      </c>
      <c r="G4338" s="2" t="s">
        <v>3</v>
      </c>
      <c r="H4338" s="2">
        <v>6726</v>
      </c>
      <c r="I4338" s="2">
        <v>2121</v>
      </c>
    </row>
    <row r="4339" spans="1:9" hidden="1" x14ac:dyDescent="0.3">
      <c r="A4339" t="s">
        <v>64</v>
      </c>
      <c r="B4339" s="1">
        <v>43891</v>
      </c>
      <c r="C4339" s="2">
        <v>41069</v>
      </c>
      <c r="D4339" s="2" t="s">
        <v>3</v>
      </c>
      <c r="E4339" s="2">
        <v>36464</v>
      </c>
      <c r="F4339" s="2" t="s">
        <v>3</v>
      </c>
      <c r="G4339" s="2" t="s">
        <v>3</v>
      </c>
      <c r="H4339" s="2">
        <v>4605</v>
      </c>
      <c r="I4339" s="2">
        <v>-1077</v>
      </c>
    </row>
    <row r="4340" spans="1:9" hidden="1" x14ac:dyDescent="0.3">
      <c r="A4340" t="s">
        <v>64</v>
      </c>
      <c r="B4340" s="1">
        <v>43862</v>
      </c>
      <c r="C4340" s="2">
        <v>45077</v>
      </c>
      <c r="D4340" s="2" t="s">
        <v>3</v>
      </c>
      <c r="E4340" s="2">
        <v>39395</v>
      </c>
      <c r="F4340" s="2" t="s">
        <v>3</v>
      </c>
      <c r="G4340" s="2" t="s">
        <v>3</v>
      </c>
      <c r="H4340" s="2">
        <v>5682</v>
      </c>
      <c r="I4340" s="2">
        <v>1587</v>
      </c>
    </row>
    <row r="4341" spans="1:9" hidden="1" x14ac:dyDescent="0.3">
      <c r="A4341" t="s">
        <v>64</v>
      </c>
      <c r="B4341" s="1">
        <v>43831</v>
      </c>
      <c r="C4341" s="2">
        <v>45564</v>
      </c>
      <c r="D4341" s="2" t="s">
        <v>3</v>
      </c>
      <c r="E4341" s="2">
        <v>41469</v>
      </c>
      <c r="F4341" s="2" t="s">
        <v>3</v>
      </c>
      <c r="G4341" s="2" t="s">
        <v>3</v>
      </c>
      <c r="H4341" s="2">
        <v>4095</v>
      </c>
      <c r="I4341" s="2">
        <v>46</v>
      </c>
    </row>
    <row r="4342" spans="1:9" x14ac:dyDescent="0.3">
      <c r="A4342" t="s">
        <v>65</v>
      </c>
      <c r="B4342" s="1">
        <v>45931</v>
      </c>
      <c r="C4342" s="2">
        <v>1199992</v>
      </c>
      <c r="D4342" s="2">
        <v>8656</v>
      </c>
      <c r="E4342" s="2">
        <v>1064907</v>
      </c>
      <c r="F4342" s="2">
        <v>6746</v>
      </c>
      <c r="G4342" s="2">
        <v>560</v>
      </c>
      <c r="H4342" s="2">
        <v>135085</v>
      </c>
      <c r="I4342" s="2">
        <v>1910</v>
      </c>
    </row>
    <row r="4343" spans="1:9" x14ac:dyDescent="0.3">
      <c r="A4343" t="s">
        <v>65</v>
      </c>
      <c r="B4343" s="1">
        <v>45901</v>
      </c>
      <c r="C4343" s="2">
        <v>1189281</v>
      </c>
      <c r="D4343" s="2">
        <v>6989</v>
      </c>
      <c r="E4343" s="2">
        <v>1056106</v>
      </c>
      <c r="F4343" s="2">
        <v>5618</v>
      </c>
      <c r="G4343" s="2">
        <v>5065</v>
      </c>
      <c r="H4343" s="2">
        <v>133175</v>
      </c>
      <c r="I4343" s="2">
        <v>1371</v>
      </c>
    </row>
    <row r="4344" spans="1:9" x14ac:dyDescent="0.3">
      <c r="A4344" t="s">
        <v>65</v>
      </c>
      <c r="B4344" s="1">
        <v>45870</v>
      </c>
      <c r="C4344" s="2">
        <v>1180418</v>
      </c>
      <c r="D4344" s="2">
        <v>18061</v>
      </c>
      <c r="E4344" s="2">
        <v>1048614</v>
      </c>
      <c r="F4344" s="2">
        <v>15365</v>
      </c>
      <c r="G4344" s="2">
        <v>6805</v>
      </c>
      <c r="H4344" s="2">
        <v>131804</v>
      </c>
      <c r="I4344" s="2">
        <v>2696</v>
      </c>
    </row>
    <row r="4345" spans="1:9" x14ac:dyDescent="0.3">
      <c r="A4345" t="s">
        <v>65</v>
      </c>
      <c r="B4345" s="1">
        <v>45839</v>
      </c>
      <c r="C4345" s="2">
        <v>1151796</v>
      </c>
      <c r="D4345" s="2">
        <v>9494</v>
      </c>
      <c r="E4345" s="2">
        <v>1022688</v>
      </c>
      <c r="F4345" s="2">
        <v>4053</v>
      </c>
      <c r="G4345" s="2">
        <v>-5908</v>
      </c>
      <c r="H4345" s="2">
        <v>129108</v>
      </c>
      <c r="I4345" s="2">
        <v>5441</v>
      </c>
    </row>
    <row r="4346" spans="1:9" x14ac:dyDescent="0.3">
      <c r="A4346" t="s">
        <v>65</v>
      </c>
      <c r="B4346" s="1">
        <v>45809</v>
      </c>
      <c r="C4346" s="2">
        <v>1147976</v>
      </c>
      <c r="D4346" s="2">
        <v>4210</v>
      </c>
      <c r="E4346" s="2">
        <v>1024309</v>
      </c>
      <c r="F4346" s="2">
        <v>-3605</v>
      </c>
      <c r="G4346" s="2">
        <v>13338</v>
      </c>
      <c r="H4346" s="2">
        <v>123667</v>
      </c>
      <c r="I4346" s="2">
        <v>7815</v>
      </c>
    </row>
    <row r="4347" spans="1:9" x14ac:dyDescent="0.3">
      <c r="A4347" t="s">
        <v>65</v>
      </c>
      <c r="B4347" s="1">
        <v>45778</v>
      </c>
      <c r="C4347" s="2">
        <v>1135027</v>
      </c>
      <c r="D4347" s="2">
        <v>11065</v>
      </c>
      <c r="E4347" s="2">
        <v>1019175</v>
      </c>
      <c r="F4347" s="2">
        <v>13116</v>
      </c>
      <c r="G4347" s="2">
        <v>-7994</v>
      </c>
      <c r="H4347" s="2">
        <v>115852</v>
      </c>
      <c r="I4347" s="2">
        <v>-2051</v>
      </c>
    </row>
    <row r="4348" spans="1:9" x14ac:dyDescent="0.3">
      <c r="A4348" t="s">
        <v>65</v>
      </c>
      <c r="B4348" s="1">
        <v>45748</v>
      </c>
      <c r="C4348" s="2">
        <v>1134454</v>
      </c>
      <c r="D4348" s="2">
        <v>-4176</v>
      </c>
      <c r="E4348" s="2">
        <v>1016551</v>
      </c>
      <c r="F4348" s="2">
        <v>-2927</v>
      </c>
      <c r="G4348" s="2">
        <v>4603</v>
      </c>
      <c r="H4348" s="2">
        <v>117903</v>
      </c>
      <c r="I4348" s="2">
        <v>-1249</v>
      </c>
    </row>
    <row r="4349" spans="1:9" x14ac:dyDescent="0.3">
      <c r="A4349" t="s">
        <v>65</v>
      </c>
      <c r="B4349" s="1">
        <v>45717</v>
      </c>
      <c r="C4349" s="2">
        <v>1130802</v>
      </c>
      <c r="D4349" s="2">
        <v>4549</v>
      </c>
      <c r="E4349" s="2">
        <v>1011650</v>
      </c>
      <c r="F4349" s="2">
        <v>3246</v>
      </c>
      <c r="G4349" s="2">
        <v>-1493</v>
      </c>
      <c r="H4349" s="2">
        <v>119152</v>
      </c>
      <c r="I4349" s="2">
        <v>1303</v>
      </c>
    </row>
    <row r="4350" spans="1:9" x14ac:dyDescent="0.3">
      <c r="A4350" t="s">
        <v>65</v>
      </c>
      <c r="B4350" s="1">
        <v>45689</v>
      </c>
      <c r="C4350" s="2">
        <v>1125873</v>
      </c>
      <c r="D4350" s="2">
        <v>31688</v>
      </c>
      <c r="E4350" s="2">
        <v>1008024</v>
      </c>
      <c r="F4350" s="2">
        <v>31719</v>
      </c>
      <c r="G4350" s="2">
        <v>19391</v>
      </c>
      <c r="H4350" s="2">
        <v>117849</v>
      </c>
      <c r="I4350" s="2">
        <v>-31</v>
      </c>
    </row>
    <row r="4351" spans="1:9" x14ac:dyDescent="0.3">
      <c r="A4351" t="s">
        <v>65</v>
      </c>
      <c r="B4351" s="1">
        <v>45658</v>
      </c>
      <c r="C4351" s="2">
        <v>1079292</v>
      </c>
      <c r="D4351" s="2">
        <v>13074</v>
      </c>
      <c r="E4351" s="2">
        <v>961412</v>
      </c>
      <c r="F4351" s="2">
        <v>4034</v>
      </c>
      <c r="G4351" s="2">
        <v>-1335</v>
      </c>
      <c r="H4351" s="2">
        <v>117880</v>
      </c>
      <c r="I4351" s="2">
        <v>9040</v>
      </c>
    </row>
    <row r="4352" spans="1:9" x14ac:dyDescent="0.3">
      <c r="A4352" t="s">
        <v>65</v>
      </c>
      <c r="B4352" s="1">
        <v>45627</v>
      </c>
      <c r="C4352" s="2">
        <v>1061507</v>
      </c>
      <c r="D4352" s="2">
        <v>-8462</v>
      </c>
      <c r="E4352" s="2">
        <v>952667</v>
      </c>
      <c r="F4352" s="2">
        <v>-10233</v>
      </c>
      <c r="G4352" s="2">
        <v>-15150</v>
      </c>
      <c r="H4352" s="2">
        <v>108840</v>
      </c>
      <c r="I4352" s="2">
        <v>1771</v>
      </c>
    </row>
    <row r="4353" spans="1:9" x14ac:dyDescent="0.3">
      <c r="A4353" t="s">
        <v>65</v>
      </c>
      <c r="B4353" s="1">
        <v>45597</v>
      </c>
      <c r="C4353" s="2">
        <v>1087119</v>
      </c>
      <c r="D4353" s="2">
        <v>-15968</v>
      </c>
      <c r="E4353" s="2">
        <v>980050</v>
      </c>
      <c r="F4353" s="2">
        <v>-19727</v>
      </c>
      <c r="G4353" s="2">
        <v>9317</v>
      </c>
      <c r="H4353" s="2">
        <v>107069</v>
      </c>
      <c r="I4353" s="2">
        <v>3759</v>
      </c>
    </row>
    <row r="4354" spans="1:9" x14ac:dyDescent="0.3">
      <c r="A4354" t="s">
        <v>65</v>
      </c>
      <c r="B4354" s="1">
        <v>45566</v>
      </c>
      <c r="C4354" s="2">
        <v>1101549</v>
      </c>
      <c r="D4354" s="2">
        <v>31963</v>
      </c>
      <c r="E4354" s="2">
        <v>998239</v>
      </c>
      <c r="F4354" s="2">
        <v>31277</v>
      </c>
      <c r="G4354" s="2">
        <v>-17507</v>
      </c>
      <c r="H4354" s="2">
        <v>103310</v>
      </c>
      <c r="I4354" s="2">
        <v>686</v>
      </c>
    </row>
    <row r="4355" spans="1:9" x14ac:dyDescent="0.3">
      <c r="A4355" t="s">
        <v>65</v>
      </c>
      <c r="B4355" s="1">
        <v>45536</v>
      </c>
      <c r="C4355" s="2">
        <v>1095498</v>
      </c>
      <c r="D4355" s="2">
        <v>-16832</v>
      </c>
      <c r="E4355" s="2">
        <v>992874</v>
      </c>
      <c r="F4355" s="2">
        <v>-29136</v>
      </c>
      <c r="G4355" s="2">
        <v>3617</v>
      </c>
      <c r="H4355" s="2">
        <v>102624</v>
      </c>
      <c r="I4355" s="2">
        <v>12304</v>
      </c>
    </row>
    <row r="4356" spans="1:9" x14ac:dyDescent="0.3">
      <c r="A4356" t="s">
        <v>65</v>
      </c>
      <c r="B4356" s="1">
        <v>45505</v>
      </c>
      <c r="C4356" s="2">
        <v>1105986</v>
      </c>
      <c r="D4356" s="2">
        <v>-3170</v>
      </c>
      <c r="E4356" s="2">
        <v>1015666</v>
      </c>
      <c r="F4356" s="2">
        <v>-22321</v>
      </c>
      <c r="G4356" s="2">
        <v>14537</v>
      </c>
      <c r="H4356" s="2">
        <v>90320</v>
      </c>
      <c r="I4356" s="2">
        <v>19151</v>
      </c>
    </row>
    <row r="4357" spans="1:9" x14ac:dyDescent="0.3">
      <c r="A4357" t="s">
        <v>65</v>
      </c>
      <c r="B4357" s="1">
        <v>45474</v>
      </c>
      <c r="C4357" s="2">
        <v>1093501</v>
      </c>
      <c r="D4357" s="2">
        <v>-13944</v>
      </c>
      <c r="E4357" s="2">
        <v>1022332</v>
      </c>
      <c r="F4357" s="2">
        <v>-10903</v>
      </c>
      <c r="G4357" s="2">
        <v>17215</v>
      </c>
      <c r="H4357" s="2">
        <v>71169</v>
      </c>
      <c r="I4357" s="2">
        <v>-3041</v>
      </c>
    </row>
    <row r="4358" spans="1:9" x14ac:dyDescent="0.3">
      <c r="A4358" t="s">
        <v>65</v>
      </c>
      <c r="B4358" s="1">
        <v>45444</v>
      </c>
      <c r="C4358" s="2">
        <v>1091418</v>
      </c>
      <c r="D4358" s="2">
        <v>-24639</v>
      </c>
      <c r="E4358" s="2">
        <v>1017208</v>
      </c>
      <c r="F4358" s="2">
        <v>-36608</v>
      </c>
      <c r="G4358" s="2">
        <v>13367</v>
      </c>
      <c r="H4358" s="2">
        <v>74210</v>
      </c>
      <c r="I4358" s="2">
        <v>11969</v>
      </c>
    </row>
    <row r="4359" spans="1:9" x14ac:dyDescent="0.3">
      <c r="A4359" t="s">
        <v>65</v>
      </c>
      <c r="B4359" s="1">
        <v>45413</v>
      </c>
      <c r="C4359" s="2">
        <v>1105953</v>
      </c>
      <c r="D4359" s="2">
        <v>-23870</v>
      </c>
      <c r="E4359" s="2">
        <v>1043712</v>
      </c>
      <c r="F4359" s="2">
        <v>171</v>
      </c>
      <c r="G4359" s="2">
        <v>7252</v>
      </c>
      <c r="H4359" s="2">
        <v>62241</v>
      </c>
      <c r="I4359" s="2">
        <v>-24041</v>
      </c>
    </row>
    <row r="4360" spans="1:9" x14ac:dyDescent="0.3">
      <c r="A4360" t="s">
        <v>65</v>
      </c>
      <c r="B4360" s="1">
        <v>45383</v>
      </c>
      <c r="C4360" s="2">
        <v>1126094</v>
      </c>
      <c r="D4360" s="2">
        <v>-11830</v>
      </c>
      <c r="E4360" s="2">
        <v>1039812</v>
      </c>
      <c r="F4360" s="2">
        <v>246</v>
      </c>
      <c r="G4360" s="2">
        <v>-29824</v>
      </c>
      <c r="H4360" s="2">
        <v>86282</v>
      </c>
      <c r="I4360" s="2">
        <v>-12076</v>
      </c>
    </row>
    <row r="4361" spans="1:9" x14ac:dyDescent="0.3">
      <c r="A4361" t="s">
        <v>65</v>
      </c>
      <c r="B4361" s="1">
        <v>45352</v>
      </c>
      <c r="C4361" s="2">
        <v>1167015</v>
      </c>
      <c r="D4361" s="2">
        <v>14284</v>
      </c>
      <c r="E4361" s="2">
        <v>1068657</v>
      </c>
      <c r="F4361" s="2">
        <v>13051</v>
      </c>
      <c r="G4361" s="2">
        <v>2334</v>
      </c>
      <c r="H4361" s="2">
        <v>98358</v>
      </c>
      <c r="I4361" s="2">
        <v>1233</v>
      </c>
    </row>
    <row r="4362" spans="1:9" x14ac:dyDescent="0.3">
      <c r="A4362" t="s">
        <v>65</v>
      </c>
      <c r="B4362" s="1">
        <v>45323</v>
      </c>
      <c r="C4362" s="2">
        <v>1147573</v>
      </c>
      <c r="D4362" s="2">
        <v>26895</v>
      </c>
      <c r="E4362" s="2">
        <v>1050448</v>
      </c>
      <c r="F4362" s="2">
        <v>18907</v>
      </c>
      <c r="G4362" s="2">
        <v>-17577</v>
      </c>
      <c r="H4362" s="2">
        <v>97125</v>
      </c>
      <c r="I4362" s="2">
        <v>7988</v>
      </c>
    </row>
    <row r="4363" spans="1:9" x14ac:dyDescent="0.3">
      <c r="A4363" t="s">
        <v>65</v>
      </c>
      <c r="B4363" s="1">
        <v>45292</v>
      </c>
      <c r="C4363" s="2">
        <v>1140569</v>
      </c>
      <c r="D4363" s="2">
        <v>23484</v>
      </c>
      <c r="E4363" s="2">
        <v>1051432</v>
      </c>
      <c r="F4363" s="2">
        <v>20322</v>
      </c>
      <c r="G4363" s="2">
        <v>8114</v>
      </c>
      <c r="H4363" s="2">
        <v>89137</v>
      </c>
      <c r="I4363" s="2">
        <v>3162</v>
      </c>
    </row>
    <row r="4364" spans="1:9" x14ac:dyDescent="0.3">
      <c r="A4364" t="s">
        <v>65</v>
      </c>
      <c r="B4364" s="1">
        <v>45261</v>
      </c>
      <c r="C4364" s="2">
        <v>1115270</v>
      </c>
      <c r="D4364" s="2">
        <v>-19549</v>
      </c>
      <c r="E4364" s="2">
        <v>1029295</v>
      </c>
      <c r="F4364" s="2">
        <v>-20070</v>
      </c>
      <c r="G4364" s="2">
        <v>26322</v>
      </c>
      <c r="H4364" s="2">
        <v>85975</v>
      </c>
      <c r="I4364" s="2">
        <v>521</v>
      </c>
    </row>
    <row r="4365" spans="1:9" x14ac:dyDescent="0.3">
      <c r="A4365" t="s">
        <v>65</v>
      </c>
      <c r="B4365" s="1">
        <v>45231</v>
      </c>
      <c r="C4365" s="2">
        <v>1127491</v>
      </c>
      <c r="D4365" s="2">
        <v>2569</v>
      </c>
      <c r="E4365" s="2">
        <v>1042037</v>
      </c>
      <c r="F4365" s="2">
        <v>-72</v>
      </c>
      <c r="G4365" s="2">
        <v>31522</v>
      </c>
      <c r="H4365" s="2">
        <v>85454</v>
      </c>
      <c r="I4365" s="2">
        <v>2641</v>
      </c>
    </row>
    <row r="4366" spans="1:9" x14ac:dyDescent="0.3">
      <c r="A4366" t="s">
        <v>65</v>
      </c>
      <c r="B4366" s="1">
        <v>45200</v>
      </c>
      <c r="C4366" s="2">
        <v>1098222</v>
      </c>
      <c r="D4366" s="2">
        <v>22289</v>
      </c>
      <c r="E4366" s="2">
        <v>1015409</v>
      </c>
      <c r="F4366" s="2">
        <v>26423</v>
      </c>
      <c r="G4366" s="2">
        <v>-10223</v>
      </c>
      <c r="H4366" s="2">
        <v>82813</v>
      </c>
      <c r="I4366" s="2">
        <v>-4134</v>
      </c>
    </row>
    <row r="4367" spans="1:9" x14ac:dyDescent="0.3">
      <c r="A4367" t="s">
        <v>65</v>
      </c>
      <c r="B4367" s="1">
        <v>45170</v>
      </c>
      <c r="C4367" s="2">
        <v>1086443</v>
      </c>
      <c r="D4367" s="2">
        <v>-10973</v>
      </c>
      <c r="E4367" s="2">
        <v>999496</v>
      </c>
      <c r="F4367" s="2">
        <v>-13479</v>
      </c>
      <c r="G4367" s="2">
        <v>-18699</v>
      </c>
      <c r="H4367" s="2">
        <v>86947</v>
      </c>
      <c r="I4367" s="2">
        <v>2506</v>
      </c>
    </row>
    <row r="4368" spans="1:9" x14ac:dyDescent="0.3">
      <c r="A4368" t="s">
        <v>65</v>
      </c>
      <c r="B4368" s="1">
        <v>45139</v>
      </c>
      <c r="C4368" s="2">
        <v>1115507</v>
      </c>
      <c r="D4368" s="2">
        <v>9576</v>
      </c>
      <c r="E4368" s="2">
        <v>1031066</v>
      </c>
      <c r="F4368" s="2">
        <v>796</v>
      </c>
      <c r="G4368" s="2">
        <v>-4803</v>
      </c>
      <c r="H4368" s="2">
        <v>84441</v>
      </c>
      <c r="I4368" s="2">
        <v>8780</v>
      </c>
    </row>
    <row r="4369" spans="1:9" x14ac:dyDescent="0.3">
      <c r="A4369" t="s">
        <v>65</v>
      </c>
      <c r="B4369" s="1">
        <v>45108</v>
      </c>
      <c r="C4369" s="2">
        <v>1111755</v>
      </c>
      <c r="D4369" s="2">
        <v>11007</v>
      </c>
      <c r="E4369" s="2">
        <v>1036094</v>
      </c>
      <c r="F4369" s="2">
        <v>3633</v>
      </c>
      <c r="G4369" s="2">
        <v>-5099</v>
      </c>
      <c r="H4369" s="2">
        <v>75661</v>
      </c>
      <c r="I4369" s="2">
        <v>7374</v>
      </c>
    </row>
    <row r="4370" spans="1:9" x14ac:dyDescent="0.3">
      <c r="A4370" t="s">
        <v>65</v>
      </c>
      <c r="B4370" s="1">
        <v>45078</v>
      </c>
      <c r="C4370" s="2">
        <v>1104085</v>
      </c>
      <c r="D4370" s="2">
        <v>13676</v>
      </c>
      <c r="E4370" s="2">
        <v>1035798</v>
      </c>
      <c r="F4370" s="2">
        <v>1633</v>
      </c>
      <c r="G4370" s="2">
        <v>-9360</v>
      </c>
      <c r="H4370" s="2">
        <v>68287</v>
      </c>
      <c r="I4370" s="2">
        <v>12043</v>
      </c>
    </row>
    <row r="4371" spans="1:9" x14ac:dyDescent="0.3">
      <c r="A4371" t="s">
        <v>65</v>
      </c>
      <c r="B4371" s="1">
        <v>45047</v>
      </c>
      <c r="C4371" s="2">
        <v>1096119</v>
      </c>
      <c r="D4371" s="2">
        <v>-15244</v>
      </c>
      <c r="E4371" s="2">
        <v>1039875</v>
      </c>
      <c r="F4371" s="2">
        <v>-7992</v>
      </c>
      <c r="G4371" s="2">
        <v>-13860</v>
      </c>
      <c r="H4371" s="2">
        <v>56244</v>
      </c>
      <c r="I4371" s="2">
        <v>-7252</v>
      </c>
    </row>
    <row r="4372" spans="1:9" x14ac:dyDescent="0.3">
      <c r="A4372" t="s">
        <v>65</v>
      </c>
      <c r="B4372" s="1">
        <v>45017</v>
      </c>
      <c r="C4372" s="2">
        <v>1125808</v>
      </c>
      <c r="D4372" s="2">
        <v>34421</v>
      </c>
      <c r="E4372" s="2">
        <v>1062312</v>
      </c>
      <c r="F4372" s="2">
        <v>35588</v>
      </c>
      <c r="G4372" s="2">
        <v>4354</v>
      </c>
      <c r="H4372" s="2">
        <v>63496</v>
      </c>
      <c r="I4372" s="2">
        <v>-1167</v>
      </c>
    </row>
    <row r="4373" spans="1:9" x14ac:dyDescent="0.3">
      <c r="A4373" t="s">
        <v>65</v>
      </c>
      <c r="B4373" s="1">
        <v>44986</v>
      </c>
      <c r="C4373" s="2">
        <v>1086642</v>
      </c>
      <c r="D4373" s="2">
        <v>-18660</v>
      </c>
      <c r="E4373" s="2">
        <v>1021979</v>
      </c>
      <c r="F4373" s="2">
        <v>-16470</v>
      </c>
      <c r="G4373" s="2">
        <v>21569</v>
      </c>
      <c r="H4373" s="2">
        <v>64663</v>
      </c>
      <c r="I4373" s="2">
        <v>-2190</v>
      </c>
    </row>
    <row r="4374" spans="1:9" x14ac:dyDescent="0.3">
      <c r="A4374" t="s">
        <v>65</v>
      </c>
      <c r="B4374" s="1">
        <v>44958</v>
      </c>
      <c r="C4374" s="2">
        <v>1080683</v>
      </c>
      <c r="D4374" s="2">
        <v>-1646</v>
      </c>
      <c r="E4374" s="2">
        <v>1013830</v>
      </c>
      <c r="F4374" s="2">
        <v>4458</v>
      </c>
      <c r="G4374" s="2">
        <v>-15677</v>
      </c>
      <c r="H4374" s="2">
        <v>66853</v>
      </c>
      <c r="I4374" s="2">
        <v>-6104</v>
      </c>
    </row>
    <row r="4375" spans="1:9" hidden="1" x14ac:dyDescent="0.3">
      <c r="A4375" t="s">
        <v>65</v>
      </c>
      <c r="B4375" s="1">
        <v>44927</v>
      </c>
      <c r="C4375" s="2">
        <v>1102923</v>
      </c>
      <c r="D4375" s="2" t="s">
        <v>3</v>
      </c>
      <c r="E4375" s="2">
        <v>1029966</v>
      </c>
      <c r="F4375" s="2" t="s">
        <v>3</v>
      </c>
      <c r="G4375" s="2" t="s">
        <v>3</v>
      </c>
      <c r="H4375" s="2">
        <v>72957</v>
      </c>
      <c r="I4375" s="2">
        <v>-7226</v>
      </c>
    </row>
    <row r="4376" spans="1:9" hidden="1" x14ac:dyDescent="0.3">
      <c r="A4376" t="s">
        <v>65</v>
      </c>
      <c r="B4376" s="1">
        <v>44896</v>
      </c>
      <c r="C4376" s="2">
        <v>1075054</v>
      </c>
      <c r="D4376" s="2" t="s">
        <v>3</v>
      </c>
      <c r="E4376" s="2">
        <v>994871</v>
      </c>
      <c r="F4376" s="2" t="s">
        <v>3</v>
      </c>
      <c r="G4376" s="2" t="s">
        <v>3</v>
      </c>
      <c r="H4376" s="2">
        <v>80183</v>
      </c>
      <c r="I4376" s="2">
        <v>17015</v>
      </c>
    </row>
    <row r="4377" spans="1:9" hidden="1" x14ac:dyDescent="0.3">
      <c r="A4377" t="s">
        <v>65</v>
      </c>
      <c r="B4377" s="1">
        <v>44866</v>
      </c>
      <c r="C4377" s="2">
        <v>1081808</v>
      </c>
      <c r="D4377" s="2" t="s">
        <v>3</v>
      </c>
      <c r="E4377" s="2">
        <v>1018640</v>
      </c>
      <c r="F4377" s="2" t="s">
        <v>3</v>
      </c>
      <c r="G4377" s="2" t="s">
        <v>3</v>
      </c>
      <c r="H4377" s="2">
        <v>63168</v>
      </c>
      <c r="I4377" s="2">
        <v>6808</v>
      </c>
    </row>
    <row r="4378" spans="1:9" hidden="1" x14ac:dyDescent="0.3">
      <c r="A4378" t="s">
        <v>65</v>
      </c>
      <c r="B4378" s="1">
        <v>44835</v>
      </c>
      <c r="C4378" s="2">
        <v>1064414</v>
      </c>
      <c r="D4378" s="2" t="s">
        <v>3</v>
      </c>
      <c r="E4378" s="2">
        <v>1008054</v>
      </c>
      <c r="F4378" s="2" t="s">
        <v>3</v>
      </c>
      <c r="G4378" s="2" t="s">
        <v>3</v>
      </c>
      <c r="H4378" s="2">
        <v>56360</v>
      </c>
      <c r="I4378" s="2">
        <v>-22802</v>
      </c>
    </row>
    <row r="4379" spans="1:9" hidden="1" x14ac:dyDescent="0.3">
      <c r="A4379" t="s">
        <v>65</v>
      </c>
      <c r="B4379" s="1">
        <v>44805</v>
      </c>
      <c r="C4379" s="2">
        <v>1116371</v>
      </c>
      <c r="D4379" s="2" t="s">
        <v>3</v>
      </c>
      <c r="E4379" s="2">
        <v>1037209</v>
      </c>
      <c r="F4379" s="2" t="s">
        <v>3</v>
      </c>
      <c r="G4379" s="2" t="s">
        <v>3</v>
      </c>
      <c r="H4379" s="2">
        <v>79162</v>
      </c>
      <c r="I4379" s="2">
        <v>1526</v>
      </c>
    </row>
    <row r="4380" spans="1:9" hidden="1" x14ac:dyDescent="0.3">
      <c r="A4380" t="s">
        <v>65</v>
      </c>
      <c r="B4380" s="1">
        <v>44774</v>
      </c>
      <c r="C4380" s="2">
        <v>1195969</v>
      </c>
      <c r="D4380" s="2" t="s">
        <v>3</v>
      </c>
      <c r="E4380" s="2">
        <v>1118333</v>
      </c>
      <c r="F4380" s="2" t="s">
        <v>3</v>
      </c>
      <c r="G4380" s="2" t="s">
        <v>3</v>
      </c>
      <c r="H4380" s="2">
        <v>77636</v>
      </c>
      <c r="I4380" s="2">
        <v>-696</v>
      </c>
    </row>
    <row r="4381" spans="1:9" hidden="1" x14ac:dyDescent="0.3">
      <c r="A4381" t="s">
        <v>65</v>
      </c>
      <c r="B4381" s="1">
        <v>44743</v>
      </c>
      <c r="C4381" s="2">
        <v>1230657</v>
      </c>
      <c r="D4381" s="2" t="s">
        <v>3</v>
      </c>
      <c r="E4381" s="2">
        <v>1152325</v>
      </c>
      <c r="F4381" s="2" t="s">
        <v>3</v>
      </c>
      <c r="G4381" s="2" t="s">
        <v>3</v>
      </c>
      <c r="H4381" s="2">
        <v>78332</v>
      </c>
      <c r="I4381" s="2">
        <v>6681</v>
      </c>
    </row>
    <row r="4382" spans="1:9" hidden="1" x14ac:dyDescent="0.3">
      <c r="A4382" t="s">
        <v>65</v>
      </c>
      <c r="B4382" s="1">
        <v>44713</v>
      </c>
      <c r="C4382" s="2">
        <v>1232671</v>
      </c>
      <c r="D4382" s="2" t="s">
        <v>3</v>
      </c>
      <c r="E4382" s="2">
        <v>1161020</v>
      </c>
      <c r="F4382" s="2" t="s">
        <v>3</v>
      </c>
      <c r="G4382" s="2" t="s">
        <v>3</v>
      </c>
      <c r="H4382" s="2">
        <v>71651</v>
      </c>
      <c r="I4382" s="2">
        <v>-1552</v>
      </c>
    </row>
    <row r="4383" spans="1:9" hidden="1" x14ac:dyDescent="0.3">
      <c r="A4383" t="s">
        <v>65</v>
      </c>
      <c r="B4383" s="1">
        <v>44682</v>
      </c>
      <c r="C4383" s="2">
        <v>1219866</v>
      </c>
      <c r="D4383" s="2" t="s">
        <v>3</v>
      </c>
      <c r="E4383" s="2">
        <v>1146663</v>
      </c>
      <c r="F4383" s="2" t="s">
        <v>3</v>
      </c>
      <c r="G4383" s="2" t="s">
        <v>3</v>
      </c>
      <c r="H4383" s="2">
        <v>73203</v>
      </c>
      <c r="I4383" s="2">
        <v>-10592</v>
      </c>
    </row>
    <row r="4384" spans="1:9" hidden="1" x14ac:dyDescent="0.3">
      <c r="A4384" t="s">
        <v>65</v>
      </c>
      <c r="B4384" s="1">
        <v>44652</v>
      </c>
      <c r="C4384" s="2">
        <v>1214959</v>
      </c>
      <c r="D4384" s="2" t="s">
        <v>3</v>
      </c>
      <c r="E4384" s="2">
        <v>1131164</v>
      </c>
      <c r="F4384" s="2" t="s">
        <v>3</v>
      </c>
      <c r="G4384" s="2" t="s">
        <v>3</v>
      </c>
      <c r="H4384" s="2">
        <v>83795</v>
      </c>
      <c r="I4384" s="2">
        <v>725</v>
      </c>
    </row>
    <row r="4385" spans="1:9" hidden="1" x14ac:dyDescent="0.3">
      <c r="A4385" t="s">
        <v>65</v>
      </c>
      <c r="B4385" s="1">
        <v>44621</v>
      </c>
      <c r="C4385" s="2">
        <v>1228990</v>
      </c>
      <c r="D4385" s="2" t="s">
        <v>3</v>
      </c>
      <c r="E4385" s="2">
        <v>1145920</v>
      </c>
      <c r="F4385" s="2" t="s">
        <v>3</v>
      </c>
      <c r="G4385" s="2" t="s">
        <v>3</v>
      </c>
      <c r="H4385" s="2">
        <v>83070</v>
      </c>
      <c r="I4385" s="2">
        <v>4828</v>
      </c>
    </row>
    <row r="4386" spans="1:9" hidden="1" x14ac:dyDescent="0.3">
      <c r="A4386" t="s">
        <v>65</v>
      </c>
      <c r="B4386" s="1">
        <v>44593</v>
      </c>
      <c r="C4386" s="2">
        <v>1303030</v>
      </c>
      <c r="D4386" s="2" t="s">
        <v>3</v>
      </c>
      <c r="E4386" s="2">
        <v>1224788</v>
      </c>
      <c r="F4386" s="2" t="s">
        <v>3</v>
      </c>
      <c r="G4386" s="2" t="s">
        <v>3</v>
      </c>
      <c r="H4386" s="2">
        <v>78242</v>
      </c>
      <c r="I4386" s="2">
        <v>-6762</v>
      </c>
    </row>
    <row r="4387" spans="1:9" hidden="1" x14ac:dyDescent="0.3">
      <c r="A4387" t="s">
        <v>65</v>
      </c>
      <c r="B4387" s="1">
        <v>44562</v>
      </c>
      <c r="C4387" s="2">
        <v>1299891</v>
      </c>
      <c r="D4387" s="2" t="s">
        <v>3</v>
      </c>
      <c r="E4387" s="2">
        <v>1214887</v>
      </c>
      <c r="F4387" s="2" t="s">
        <v>3</v>
      </c>
      <c r="G4387" s="2" t="s">
        <v>3</v>
      </c>
      <c r="H4387" s="2">
        <v>85004</v>
      </c>
      <c r="I4387" s="2">
        <v>-1707</v>
      </c>
    </row>
    <row r="4388" spans="1:9" hidden="1" x14ac:dyDescent="0.3">
      <c r="A4388" t="s">
        <v>65</v>
      </c>
      <c r="B4388" s="1">
        <v>44531</v>
      </c>
      <c r="C4388" s="2">
        <v>1300789</v>
      </c>
      <c r="D4388" s="2" t="s">
        <v>3</v>
      </c>
      <c r="E4388" s="2">
        <v>1214078</v>
      </c>
      <c r="F4388" s="2" t="s">
        <v>3</v>
      </c>
      <c r="G4388" s="2" t="s">
        <v>3</v>
      </c>
      <c r="H4388" s="2">
        <v>86711</v>
      </c>
      <c r="I4388" s="2">
        <v>5546</v>
      </c>
    </row>
    <row r="4389" spans="1:9" hidden="1" x14ac:dyDescent="0.3">
      <c r="A4389" t="s">
        <v>65</v>
      </c>
      <c r="B4389" s="1">
        <v>44501</v>
      </c>
      <c r="C4389" s="2">
        <v>1325508</v>
      </c>
      <c r="D4389" s="2" t="s">
        <v>3</v>
      </c>
      <c r="E4389" s="2">
        <v>1244343</v>
      </c>
      <c r="F4389" s="2" t="s">
        <v>3</v>
      </c>
      <c r="G4389" s="2" t="s">
        <v>3</v>
      </c>
      <c r="H4389" s="2">
        <v>81165</v>
      </c>
      <c r="I4389" s="2">
        <v>4764</v>
      </c>
    </row>
    <row r="4390" spans="1:9" hidden="1" x14ac:dyDescent="0.3">
      <c r="A4390" t="s">
        <v>65</v>
      </c>
      <c r="B4390" s="1">
        <v>44470</v>
      </c>
      <c r="C4390" s="2">
        <v>1320382</v>
      </c>
      <c r="D4390" s="2" t="s">
        <v>3</v>
      </c>
      <c r="E4390" s="2">
        <v>1243981</v>
      </c>
      <c r="F4390" s="2" t="s">
        <v>3</v>
      </c>
      <c r="G4390" s="2" t="s">
        <v>3</v>
      </c>
      <c r="H4390" s="2">
        <v>76401</v>
      </c>
      <c r="I4390" s="2">
        <v>10452</v>
      </c>
    </row>
    <row r="4391" spans="1:9" hidden="1" x14ac:dyDescent="0.3">
      <c r="A4391" t="s">
        <v>65</v>
      </c>
      <c r="B4391" s="1">
        <v>44440</v>
      </c>
      <c r="C4391" s="2">
        <v>1299571</v>
      </c>
      <c r="D4391" s="2" t="s">
        <v>3</v>
      </c>
      <c r="E4391" s="2">
        <v>1233622</v>
      </c>
      <c r="F4391" s="2" t="s">
        <v>3</v>
      </c>
      <c r="G4391" s="2" t="s">
        <v>3</v>
      </c>
      <c r="H4391" s="2">
        <v>65949</v>
      </c>
      <c r="I4391" s="2">
        <v>-2407</v>
      </c>
    </row>
    <row r="4392" spans="1:9" hidden="1" x14ac:dyDescent="0.3">
      <c r="A4392" t="s">
        <v>65</v>
      </c>
      <c r="B4392" s="1">
        <v>44409</v>
      </c>
      <c r="C4392" s="2">
        <v>1319731</v>
      </c>
      <c r="D4392" s="2" t="s">
        <v>3</v>
      </c>
      <c r="E4392" s="2">
        <v>1251375</v>
      </c>
      <c r="F4392" s="2" t="s">
        <v>3</v>
      </c>
      <c r="G4392" s="2" t="s">
        <v>3</v>
      </c>
      <c r="H4392" s="2">
        <v>68356</v>
      </c>
      <c r="I4392" s="2">
        <v>3392</v>
      </c>
    </row>
    <row r="4393" spans="1:9" hidden="1" x14ac:dyDescent="0.3">
      <c r="A4393" t="s">
        <v>65</v>
      </c>
      <c r="B4393" s="1">
        <v>44378</v>
      </c>
      <c r="C4393" s="2">
        <v>1310201</v>
      </c>
      <c r="D4393" s="2" t="s">
        <v>3</v>
      </c>
      <c r="E4393" s="2">
        <v>1245237</v>
      </c>
      <c r="F4393" s="2" t="s">
        <v>3</v>
      </c>
      <c r="G4393" s="2" t="s">
        <v>3</v>
      </c>
      <c r="H4393" s="2">
        <v>64964</v>
      </c>
      <c r="I4393" s="2">
        <v>-347</v>
      </c>
    </row>
    <row r="4394" spans="1:9" hidden="1" x14ac:dyDescent="0.3">
      <c r="A4394" t="s">
        <v>65</v>
      </c>
      <c r="B4394" s="1">
        <v>44348</v>
      </c>
      <c r="C4394" s="2">
        <v>1279678</v>
      </c>
      <c r="D4394" s="2" t="s">
        <v>3</v>
      </c>
      <c r="E4394" s="2">
        <v>1214367</v>
      </c>
      <c r="F4394" s="2" t="s">
        <v>3</v>
      </c>
      <c r="G4394" s="2" t="s">
        <v>3</v>
      </c>
      <c r="H4394" s="2">
        <v>65311</v>
      </c>
      <c r="I4394" s="2">
        <v>-405</v>
      </c>
    </row>
    <row r="4395" spans="1:9" hidden="1" x14ac:dyDescent="0.3">
      <c r="A4395" t="s">
        <v>65</v>
      </c>
      <c r="B4395" s="1">
        <v>44317</v>
      </c>
      <c r="C4395" s="2">
        <v>1266177</v>
      </c>
      <c r="D4395" s="2" t="s">
        <v>3</v>
      </c>
      <c r="E4395" s="2">
        <v>1200461</v>
      </c>
      <c r="F4395" s="2" t="s">
        <v>3</v>
      </c>
      <c r="G4395" s="2" t="s">
        <v>3</v>
      </c>
      <c r="H4395" s="2">
        <v>65716</v>
      </c>
      <c r="I4395" s="2">
        <v>76</v>
      </c>
    </row>
    <row r="4396" spans="1:9" hidden="1" x14ac:dyDescent="0.3">
      <c r="A4396" t="s">
        <v>65</v>
      </c>
      <c r="B4396" s="1">
        <v>44287</v>
      </c>
      <c r="C4396" s="2">
        <v>1276756</v>
      </c>
      <c r="D4396" s="2" t="s">
        <v>3</v>
      </c>
      <c r="E4396" s="2">
        <v>1211116</v>
      </c>
      <c r="F4396" s="2" t="s">
        <v>3</v>
      </c>
      <c r="G4396" s="2" t="s">
        <v>3</v>
      </c>
      <c r="H4396" s="2">
        <v>65640</v>
      </c>
      <c r="I4396" s="2">
        <v>-774</v>
      </c>
    </row>
    <row r="4397" spans="1:9" hidden="1" x14ac:dyDescent="0.3">
      <c r="A4397" t="s">
        <v>65</v>
      </c>
      <c r="B4397" s="1">
        <v>44256</v>
      </c>
      <c r="C4397" s="2">
        <v>1240489</v>
      </c>
      <c r="D4397" s="2" t="s">
        <v>3</v>
      </c>
      <c r="E4397" s="2">
        <v>1174075</v>
      </c>
      <c r="F4397" s="2" t="s">
        <v>3</v>
      </c>
      <c r="G4397" s="2" t="s">
        <v>3</v>
      </c>
      <c r="H4397" s="2">
        <v>66414</v>
      </c>
      <c r="I4397" s="2">
        <v>-3903</v>
      </c>
    </row>
    <row r="4398" spans="1:9" hidden="1" x14ac:dyDescent="0.3">
      <c r="A4398" t="s">
        <v>65</v>
      </c>
      <c r="B4398" s="1">
        <v>44228</v>
      </c>
      <c r="C4398" s="2">
        <v>1258024</v>
      </c>
      <c r="D4398" s="2" t="s">
        <v>3</v>
      </c>
      <c r="E4398" s="2">
        <v>1187707</v>
      </c>
      <c r="F4398" s="2" t="s">
        <v>3</v>
      </c>
      <c r="G4398" s="2" t="s">
        <v>3</v>
      </c>
      <c r="H4398" s="2">
        <v>70317</v>
      </c>
      <c r="I4398" s="2">
        <v>3449</v>
      </c>
    </row>
    <row r="4399" spans="1:9" hidden="1" x14ac:dyDescent="0.3">
      <c r="A4399" t="s">
        <v>65</v>
      </c>
      <c r="B4399" s="1">
        <v>44197</v>
      </c>
      <c r="C4399" s="2">
        <v>1276896</v>
      </c>
      <c r="D4399" s="2" t="s">
        <v>3</v>
      </c>
      <c r="E4399" s="2">
        <v>1210028</v>
      </c>
      <c r="F4399" s="2" t="s">
        <v>3</v>
      </c>
      <c r="G4399" s="2" t="s">
        <v>3</v>
      </c>
      <c r="H4399" s="2">
        <v>66868</v>
      </c>
      <c r="I4399" s="2">
        <v>111</v>
      </c>
    </row>
    <row r="4400" spans="1:9" hidden="1" x14ac:dyDescent="0.3">
      <c r="A4400" t="s">
        <v>65</v>
      </c>
      <c r="B4400" s="1">
        <v>44166</v>
      </c>
      <c r="C4400" s="2">
        <v>1251313</v>
      </c>
      <c r="D4400" s="2" t="s">
        <v>3</v>
      </c>
      <c r="E4400" s="2">
        <v>1184556</v>
      </c>
      <c r="F4400" s="2" t="s">
        <v>3</v>
      </c>
      <c r="G4400" s="2" t="s">
        <v>3</v>
      </c>
      <c r="H4400" s="2">
        <v>66757</v>
      </c>
      <c r="I4400" s="2">
        <v>-892</v>
      </c>
    </row>
    <row r="4401" spans="1:9" hidden="1" x14ac:dyDescent="0.3">
      <c r="A4401" t="s">
        <v>65</v>
      </c>
      <c r="B4401" s="1">
        <v>44136</v>
      </c>
      <c r="C4401" s="2">
        <v>1260839</v>
      </c>
      <c r="D4401" s="2" t="s">
        <v>3</v>
      </c>
      <c r="E4401" s="2">
        <v>1193190</v>
      </c>
      <c r="F4401" s="2" t="s">
        <v>3</v>
      </c>
      <c r="G4401" s="2" t="s">
        <v>3</v>
      </c>
      <c r="H4401" s="2">
        <v>67649</v>
      </c>
      <c r="I4401" s="2">
        <v>-238</v>
      </c>
    </row>
    <row r="4402" spans="1:9" hidden="1" x14ac:dyDescent="0.3">
      <c r="A4402" t="s">
        <v>65</v>
      </c>
      <c r="B4402" s="1">
        <v>44105</v>
      </c>
      <c r="C4402" s="2">
        <v>1273127</v>
      </c>
      <c r="D4402" s="2" t="s">
        <v>3</v>
      </c>
      <c r="E4402" s="2">
        <v>1205240</v>
      </c>
      <c r="F4402" s="2" t="s">
        <v>3</v>
      </c>
      <c r="G4402" s="2" t="s">
        <v>3</v>
      </c>
      <c r="H4402" s="2">
        <v>67887</v>
      </c>
      <c r="I4402" s="2">
        <v>465</v>
      </c>
    </row>
    <row r="4403" spans="1:9" hidden="1" x14ac:dyDescent="0.3">
      <c r="A4403" t="s">
        <v>65</v>
      </c>
      <c r="B4403" s="1">
        <v>44075</v>
      </c>
      <c r="C4403" s="2">
        <v>1276184</v>
      </c>
      <c r="D4403" s="2" t="s">
        <v>3</v>
      </c>
      <c r="E4403" s="2">
        <v>1208762</v>
      </c>
      <c r="F4403" s="2" t="s">
        <v>3</v>
      </c>
      <c r="G4403" s="2" t="s">
        <v>3</v>
      </c>
      <c r="H4403" s="2">
        <v>67422</v>
      </c>
      <c r="I4403" s="2">
        <v>-664</v>
      </c>
    </row>
    <row r="4404" spans="1:9" hidden="1" x14ac:dyDescent="0.3">
      <c r="A4404" t="s">
        <v>65</v>
      </c>
      <c r="B4404" s="1">
        <v>44044</v>
      </c>
      <c r="C4404" s="2">
        <v>1278361</v>
      </c>
      <c r="D4404" s="2" t="s">
        <v>3</v>
      </c>
      <c r="E4404" s="2">
        <v>1210275</v>
      </c>
      <c r="F4404" s="2" t="s">
        <v>3</v>
      </c>
      <c r="G4404" s="2" t="s">
        <v>3</v>
      </c>
      <c r="H4404" s="2">
        <v>68086</v>
      </c>
      <c r="I4404" s="2">
        <v>960</v>
      </c>
    </row>
    <row r="4405" spans="1:9" hidden="1" x14ac:dyDescent="0.3">
      <c r="A4405" t="s">
        <v>65</v>
      </c>
      <c r="B4405" s="1">
        <v>44013</v>
      </c>
      <c r="C4405" s="2">
        <v>1293023</v>
      </c>
      <c r="D4405" s="2" t="s">
        <v>3</v>
      </c>
      <c r="E4405" s="2">
        <v>1225897</v>
      </c>
      <c r="F4405" s="2" t="s">
        <v>3</v>
      </c>
      <c r="G4405" s="2" t="s">
        <v>3</v>
      </c>
      <c r="H4405" s="2">
        <v>67126</v>
      </c>
      <c r="I4405" s="2">
        <v>460</v>
      </c>
    </row>
    <row r="4406" spans="1:9" hidden="1" x14ac:dyDescent="0.3">
      <c r="A4406" t="s">
        <v>65</v>
      </c>
      <c r="B4406" s="1">
        <v>43983</v>
      </c>
      <c r="C4406" s="2">
        <v>1261600</v>
      </c>
      <c r="D4406" s="2" t="s">
        <v>3</v>
      </c>
      <c r="E4406" s="2">
        <v>1194934</v>
      </c>
      <c r="F4406" s="2" t="s">
        <v>3</v>
      </c>
      <c r="G4406" s="2" t="s">
        <v>3</v>
      </c>
      <c r="H4406" s="2">
        <v>66666</v>
      </c>
      <c r="I4406" s="2">
        <v>-380</v>
      </c>
    </row>
    <row r="4407" spans="1:9" hidden="1" x14ac:dyDescent="0.3">
      <c r="A4407" t="s">
        <v>65</v>
      </c>
      <c r="B4407" s="1">
        <v>43952</v>
      </c>
      <c r="C4407" s="2">
        <v>1260363</v>
      </c>
      <c r="D4407" s="2" t="s">
        <v>3</v>
      </c>
      <c r="E4407" s="2">
        <v>1193317</v>
      </c>
      <c r="F4407" s="2" t="s">
        <v>3</v>
      </c>
      <c r="G4407" s="2" t="s">
        <v>3</v>
      </c>
      <c r="H4407" s="2">
        <v>67046</v>
      </c>
      <c r="I4407" s="2">
        <v>2922</v>
      </c>
    </row>
    <row r="4408" spans="1:9" hidden="1" x14ac:dyDescent="0.3">
      <c r="A4408" t="s">
        <v>65</v>
      </c>
      <c r="B4408" s="1">
        <v>43922</v>
      </c>
      <c r="C4408" s="2">
        <v>1266479</v>
      </c>
      <c r="D4408" s="2" t="s">
        <v>3</v>
      </c>
      <c r="E4408" s="2">
        <v>1202355</v>
      </c>
      <c r="F4408" s="2" t="s">
        <v>3</v>
      </c>
      <c r="G4408" s="2" t="s">
        <v>3</v>
      </c>
      <c r="H4408" s="2">
        <v>64124</v>
      </c>
      <c r="I4408" s="2">
        <v>3226</v>
      </c>
    </row>
    <row r="4409" spans="1:9" hidden="1" x14ac:dyDescent="0.3">
      <c r="A4409" t="s">
        <v>65</v>
      </c>
      <c r="B4409" s="1">
        <v>43891</v>
      </c>
      <c r="C4409" s="2">
        <v>1272645</v>
      </c>
      <c r="D4409" s="2" t="s">
        <v>3</v>
      </c>
      <c r="E4409" s="2">
        <v>1211747</v>
      </c>
      <c r="F4409" s="2" t="s">
        <v>3</v>
      </c>
      <c r="G4409" s="2" t="s">
        <v>3</v>
      </c>
      <c r="H4409" s="2">
        <v>60898</v>
      </c>
      <c r="I4409" s="2">
        <v>-5305</v>
      </c>
    </row>
    <row r="4410" spans="1:9" hidden="1" x14ac:dyDescent="0.3">
      <c r="A4410" t="s">
        <v>65</v>
      </c>
      <c r="B4410" s="1">
        <v>43862</v>
      </c>
      <c r="C4410" s="2">
        <v>1268570</v>
      </c>
      <c r="D4410" s="2" t="s">
        <v>3</v>
      </c>
      <c r="E4410" s="2">
        <v>1202367</v>
      </c>
      <c r="F4410" s="2" t="s">
        <v>3</v>
      </c>
      <c r="G4410" s="2" t="s">
        <v>3</v>
      </c>
      <c r="H4410" s="2">
        <v>66203</v>
      </c>
      <c r="I4410" s="2">
        <v>1944</v>
      </c>
    </row>
    <row r="4411" spans="1:9" hidden="1" x14ac:dyDescent="0.3">
      <c r="A4411" t="s">
        <v>65</v>
      </c>
      <c r="B4411" s="1">
        <v>43831</v>
      </c>
      <c r="C4411" s="2">
        <v>1211845</v>
      </c>
      <c r="D4411" s="2" t="s">
        <v>3</v>
      </c>
      <c r="E4411" s="2">
        <v>1147586</v>
      </c>
      <c r="F4411" s="2" t="s">
        <v>3</v>
      </c>
      <c r="G4411" s="2" t="s">
        <v>3</v>
      </c>
      <c r="H4411" s="2">
        <v>64259</v>
      </c>
      <c r="I4411" s="2">
        <v>2179</v>
      </c>
    </row>
    <row r="4412" spans="1:9" x14ac:dyDescent="0.3">
      <c r="A4412" t="s">
        <v>66</v>
      </c>
      <c r="B4412" s="1">
        <v>45931</v>
      </c>
      <c r="C4412" s="2">
        <v>145120</v>
      </c>
      <c r="D4412" s="2">
        <v>2054</v>
      </c>
      <c r="E4412" s="2">
        <v>136062</v>
      </c>
      <c r="F4412" s="2">
        <v>-3</v>
      </c>
      <c r="G4412" s="2">
        <v>834</v>
      </c>
      <c r="H4412" s="2">
        <v>9058</v>
      </c>
      <c r="I4412" s="2">
        <v>2057</v>
      </c>
    </row>
    <row r="4413" spans="1:9" x14ac:dyDescent="0.3">
      <c r="A4413" t="s">
        <v>66</v>
      </c>
      <c r="B4413" s="1">
        <v>45901</v>
      </c>
      <c r="C4413" s="2">
        <v>142890</v>
      </c>
      <c r="D4413" s="2">
        <v>6680</v>
      </c>
      <c r="E4413" s="2">
        <v>135889</v>
      </c>
      <c r="F4413" s="2">
        <v>8985</v>
      </c>
      <c r="G4413" s="2">
        <v>234</v>
      </c>
      <c r="H4413" s="2">
        <v>7001</v>
      </c>
      <c r="I4413" s="2">
        <v>-2305</v>
      </c>
    </row>
    <row r="4414" spans="1:9" x14ac:dyDescent="0.3">
      <c r="A4414" t="s">
        <v>66</v>
      </c>
      <c r="B4414" s="1">
        <v>45870</v>
      </c>
      <c r="C4414" s="2">
        <v>135983</v>
      </c>
      <c r="D4414" s="2">
        <v>2345</v>
      </c>
      <c r="E4414" s="2">
        <v>126677</v>
      </c>
      <c r="F4414" s="2">
        <v>1394</v>
      </c>
      <c r="G4414" s="2">
        <v>1816</v>
      </c>
      <c r="H4414" s="2">
        <v>9306</v>
      </c>
      <c r="I4414" s="2">
        <v>951</v>
      </c>
    </row>
    <row r="4415" spans="1:9" x14ac:dyDescent="0.3">
      <c r="A4415" t="s">
        <v>66</v>
      </c>
      <c r="B4415" s="1">
        <v>45839</v>
      </c>
      <c r="C4415" s="2">
        <v>132536</v>
      </c>
      <c r="D4415" s="2">
        <v>7219</v>
      </c>
      <c r="E4415" s="2">
        <v>124181</v>
      </c>
      <c r="F4415" s="2">
        <v>5842</v>
      </c>
      <c r="G4415" s="2">
        <v>-95</v>
      </c>
      <c r="H4415" s="2">
        <v>8355</v>
      </c>
      <c r="I4415" s="2">
        <v>1377</v>
      </c>
    </row>
    <row r="4416" spans="1:9" x14ac:dyDescent="0.3">
      <c r="A4416" t="s">
        <v>66</v>
      </c>
      <c r="B4416" s="1">
        <v>45809</v>
      </c>
      <c r="C4416" s="2">
        <v>126717</v>
      </c>
      <c r="D4416" s="2">
        <v>1224</v>
      </c>
      <c r="E4416" s="2">
        <v>119739</v>
      </c>
      <c r="F4416" s="2">
        <v>-1177</v>
      </c>
      <c r="G4416" s="2">
        <v>1781</v>
      </c>
      <c r="H4416" s="2">
        <v>6978</v>
      </c>
      <c r="I4416" s="2">
        <v>2401</v>
      </c>
    </row>
    <row r="4417" spans="1:9" x14ac:dyDescent="0.3">
      <c r="A4417" t="s">
        <v>66</v>
      </c>
      <c r="B4417" s="1">
        <v>45778</v>
      </c>
      <c r="C4417" s="2">
        <v>124186</v>
      </c>
      <c r="D4417" s="2">
        <v>4548</v>
      </c>
      <c r="E4417" s="2">
        <v>119609</v>
      </c>
      <c r="F4417" s="2">
        <v>4451</v>
      </c>
      <c r="G4417" s="2">
        <v>1111</v>
      </c>
      <c r="H4417" s="2">
        <v>4577</v>
      </c>
      <c r="I4417" s="2">
        <v>97</v>
      </c>
    </row>
    <row r="4418" spans="1:9" x14ac:dyDescent="0.3">
      <c r="A4418" t="s">
        <v>66</v>
      </c>
      <c r="B4418" s="1">
        <v>45748</v>
      </c>
      <c r="C4418" s="2">
        <v>121687</v>
      </c>
      <c r="D4418" s="2">
        <v>-4874</v>
      </c>
      <c r="E4418" s="2">
        <v>117207</v>
      </c>
      <c r="F4418" s="2">
        <v>-1266</v>
      </c>
      <c r="G4418" s="2">
        <v>561</v>
      </c>
      <c r="H4418" s="2">
        <v>4480</v>
      </c>
      <c r="I4418" s="2">
        <v>-3608</v>
      </c>
    </row>
    <row r="4419" spans="1:9" x14ac:dyDescent="0.3">
      <c r="A4419" t="s">
        <v>66</v>
      </c>
      <c r="B4419" s="1">
        <v>45717</v>
      </c>
      <c r="C4419" s="2">
        <v>125846</v>
      </c>
      <c r="D4419" s="2">
        <v>1020</v>
      </c>
      <c r="E4419" s="2">
        <v>117758</v>
      </c>
      <c r="F4419" s="2">
        <v>1798</v>
      </c>
      <c r="G4419" s="2">
        <v>424</v>
      </c>
      <c r="H4419" s="2">
        <v>8088</v>
      </c>
      <c r="I4419" s="2">
        <v>-778</v>
      </c>
    </row>
    <row r="4420" spans="1:9" x14ac:dyDescent="0.3">
      <c r="A4420" t="s">
        <v>66</v>
      </c>
      <c r="B4420" s="1">
        <v>45689</v>
      </c>
      <c r="C4420" s="2">
        <v>124582</v>
      </c>
      <c r="D4420" s="2">
        <v>574</v>
      </c>
      <c r="E4420" s="2">
        <v>115716</v>
      </c>
      <c r="F4420" s="2">
        <v>-1432</v>
      </c>
      <c r="G4420" s="2">
        <v>2307</v>
      </c>
      <c r="H4420" s="2">
        <v>8866</v>
      </c>
      <c r="I4420" s="2">
        <v>2006</v>
      </c>
    </row>
    <row r="4421" spans="1:9" x14ac:dyDescent="0.3">
      <c r="A4421" t="s">
        <v>66</v>
      </c>
      <c r="B4421" s="1">
        <v>45658</v>
      </c>
      <c r="C4421" s="2">
        <v>122162</v>
      </c>
      <c r="D4421" s="2">
        <v>-3016</v>
      </c>
      <c r="E4421" s="2">
        <v>115302</v>
      </c>
      <c r="F4421" s="2">
        <v>-3119</v>
      </c>
      <c r="G4421" s="2">
        <v>-115</v>
      </c>
      <c r="H4421" s="2">
        <v>6860</v>
      </c>
      <c r="I4421" s="2">
        <v>103</v>
      </c>
    </row>
    <row r="4422" spans="1:9" x14ac:dyDescent="0.3">
      <c r="A4422" t="s">
        <v>66</v>
      </c>
      <c r="B4422" s="1">
        <v>45627</v>
      </c>
      <c r="C4422" s="2">
        <v>124923</v>
      </c>
      <c r="D4422" s="2">
        <v>-356</v>
      </c>
      <c r="E4422" s="2">
        <v>118166</v>
      </c>
      <c r="F4422" s="2">
        <v>589</v>
      </c>
      <c r="G4422" s="2">
        <v>-1996</v>
      </c>
      <c r="H4422" s="2">
        <v>6757</v>
      </c>
      <c r="I4422" s="2">
        <v>-945</v>
      </c>
    </row>
    <row r="4423" spans="1:9" x14ac:dyDescent="0.3">
      <c r="A4423" t="s">
        <v>66</v>
      </c>
      <c r="B4423" s="1">
        <v>45597</v>
      </c>
      <c r="C4423" s="2">
        <v>127527</v>
      </c>
      <c r="D4423" s="2">
        <v>211</v>
      </c>
      <c r="E4423" s="2">
        <v>119825</v>
      </c>
      <c r="F4423" s="2">
        <v>687</v>
      </c>
      <c r="G4423" s="2">
        <v>112</v>
      </c>
      <c r="H4423" s="2">
        <v>7702</v>
      </c>
      <c r="I4423" s="2">
        <v>-476</v>
      </c>
    </row>
    <row r="4424" spans="1:9" x14ac:dyDescent="0.3">
      <c r="A4424" t="s">
        <v>66</v>
      </c>
      <c r="B4424" s="1">
        <v>45566</v>
      </c>
      <c r="C4424" s="2">
        <v>127303</v>
      </c>
      <c r="D4424" s="2">
        <v>2171</v>
      </c>
      <c r="E4424" s="2">
        <v>119125</v>
      </c>
      <c r="F4424" s="2">
        <v>-1329</v>
      </c>
      <c r="G4424" s="2">
        <v>2497</v>
      </c>
      <c r="H4424" s="2">
        <v>8178</v>
      </c>
      <c r="I4424" s="2">
        <v>3500</v>
      </c>
    </row>
    <row r="4425" spans="1:9" x14ac:dyDescent="0.3">
      <c r="A4425" t="s">
        <v>66</v>
      </c>
      <c r="B4425" s="1">
        <v>45536</v>
      </c>
      <c r="C4425" s="2">
        <v>127345</v>
      </c>
      <c r="D4425" s="2">
        <v>5073</v>
      </c>
      <c r="E4425" s="2">
        <v>122667</v>
      </c>
      <c r="F4425" s="2">
        <v>5026</v>
      </c>
      <c r="G4425" s="2">
        <v>1113</v>
      </c>
      <c r="H4425" s="2">
        <v>4678</v>
      </c>
      <c r="I4425" s="2">
        <v>47</v>
      </c>
    </row>
    <row r="4426" spans="1:9" x14ac:dyDescent="0.3">
      <c r="A4426" t="s">
        <v>66</v>
      </c>
      <c r="B4426" s="1">
        <v>45505</v>
      </c>
      <c r="C4426" s="2">
        <v>123293</v>
      </c>
      <c r="D4426" s="2">
        <v>-557</v>
      </c>
      <c r="E4426" s="2">
        <v>118662</v>
      </c>
      <c r="F4426" s="2">
        <v>685</v>
      </c>
      <c r="G4426" s="2">
        <v>368</v>
      </c>
      <c r="H4426" s="2">
        <v>4631</v>
      </c>
      <c r="I4426" s="2">
        <v>-1242</v>
      </c>
    </row>
    <row r="4427" spans="1:9" x14ac:dyDescent="0.3">
      <c r="A4427" t="s">
        <v>66</v>
      </c>
      <c r="B4427" s="1">
        <v>45474</v>
      </c>
      <c r="C4427" s="2">
        <v>123058</v>
      </c>
      <c r="D4427" s="2">
        <v>3645</v>
      </c>
      <c r="E4427" s="2">
        <v>117185</v>
      </c>
      <c r="F4427" s="2">
        <v>1818</v>
      </c>
      <c r="G4427" s="2">
        <v>1658</v>
      </c>
      <c r="H4427" s="2">
        <v>5873</v>
      </c>
      <c r="I4427" s="2">
        <v>1827</v>
      </c>
    </row>
    <row r="4428" spans="1:9" x14ac:dyDescent="0.3">
      <c r="A4428" t="s">
        <v>66</v>
      </c>
      <c r="B4428" s="1">
        <v>45444</v>
      </c>
      <c r="C4428" s="2">
        <v>117183</v>
      </c>
      <c r="D4428" s="2">
        <v>-3053</v>
      </c>
      <c r="E4428" s="2">
        <v>113137</v>
      </c>
      <c r="F4428" s="2">
        <v>-3160</v>
      </c>
      <c r="G4428" s="2">
        <v>2166</v>
      </c>
      <c r="H4428" s="2">
        <v>4046</v>
      </c>
      <c r="I4428" s="2">
        <v>107</v>
      </c>
    </row>
    <row r="4429" spans="1:9" x14ac:dyDescent="0.3">
      <c r="A4429" t="s">
        <v>66</v>
      </c>
      <c r="B4429" s="1">
        <v>45413</v>
      </c>
      <c r="C4429" s="2">
        <v>119776</v>
      </c>
      <c r="D4429" s="2">
        <v>-374</v>
      </c>
      <c r="E4429" s="2">
        <v>115837</v>
      </c>
      <c r="F4429" s="2">
        <v>869</v>
      </c>
      <c r="G4429" s="2">
        <v>5223</v>
      </c>
      <c r="H4429" s="2">
        <v>3939</v>
      </c>
      <c r="I4429" s="2">
        <v>-1243</v>
      </c>
    </row>
    <row r="4430" spans="1:9" x14ac:dyDescent="0.3">
      <c r="A4430" t="s">
        <v>66</v>
      </c>
      <c r="B4430" s="1">
        <v>45383</v>
      </c>
      <c r="C4430" s="2">
        <v>118954</v>
      </c>
      <c r="D4430" s="2">
        <v>6692</v>
      </c>
      <c r="E4430" s="2">
        <v>113772</v>
      </c>
      <c r="F4430" s="2">
        <v>6628</v>
      </c>
      <c r="G4430" s="2">
        <v>-2656</v>
      </c>
      <c r="H4430" s="2">
        <v>5182</v>
      </c>
      <c r="I4430" s="2">
        <v>64</v>
      </c>
    </row>
    <row r="4431" spans="1:9" x14ac:dyDescent="0.3">
      <c r="A4431" t="s">
        <v>66</v>
      </c>
      <c r="B4431" s="1">
        <v>45352</v>
      </c>
      <c r="C4431" s="2">
        <v>114966</v>
      </c>
      <c r="D4431" s="2">
        <v>-5331</v>
      </c>
      <c r="E4431" s="2">
        <v>109848</v>
      </c>
      <c r="F4431" s="2">
        <v>-5995</v>
      </c>
      <c r="G4431" s="2">
        <v>-611</v>
      </c>
      <c r="H4431" s="2">
        <v>5118</v>
      </c>
      <c r="I4431" s="2">
        <v>664</v>
      </c>
    </row>
    <row r="4432" spans="1:9" x14ac:dyDescent="0.3">
      <c r="A4432" t="s">
        <v>66</v>
      </c>
      <c r="B4432" s="1">
        <v>45323</v>
      </c>
      <c r="C4432" s="2">
        <v>118165</v>
      </c>
      <c r="D4432" s="2">
        <v>3034</v>
      </c>
      <c r="E4432" s="2">
        <v>113711</v>
      </c>
      <c r="F4432" s="2">
        <v>3457</v>
      </c>
      <c r="G4432" s="2">
        <v>-1203</v>
      </c>
      <c r="H4432" s="2">
        <v>4454</v>
      </c>
      <c r="I4432" s="2">
        <v>-423</v>
      </c>
    </row>
    <row r="4433" spans="1:9" x14ac:dyDescent="0.3">
      <c r="A4433" t="s">
        <v>66</v>
      </c>
      <c r="B4433" s="1">
        <v>45292</v>
      </c>
      <c r="C4433" s="2">
        <v>116930</v>
      </c>
      <c r="D4433" s="2">
        <v>-267</v>
      </c>
      <c r="E4433" s="2">
        <v>112053</v>
      </c>
      <c r="F4433" s="2">
        <v>4114</v>
      </c>
      <c r="G4433" s="2">
        <v>-1321</v>
      </c>
      <c r="H4433" s="2">
        <v>4877</v>
      </c>
      <c r="I4433" s="2">
        <v>-4381</v>
      </c>
    </row>
    <row r="4434" spans="1:9" x14ac:dyDescent="0.3">
      <c r="A4434" t="s">
        <v>66</v>
      </c>
      <c r="B4434" s="1">
        <v>45261</v>
      </c>
      <c r="C4434" s="2">
        <v>117175</v>
      </c>
      <c r="D4434" s="2">
        <v>353</v>
      </c>
      <c r="E4434" s="2">
        <v>107917</v>
      </c>
      <c r="F4434" s="2">
        <v>198</v>
      </c>
      <c r="G4434" s="2">
        <v>1854</v>
      </c>
      <c r="H4434" s="2">
        <v>9258</v>
      </c>
      <c r="I4434" s="2">
        <v>155</v>
      </c>
    </row>
    <row r="4435" spans="1:9" x14ac:dyDescent="0.3">
      <c r="A4435" t="s">
        <v>66</v>
      </c>
      <c r="B4435" s="1">
        <v>45231</v>
      </c>
      <c r="C4435" s="2">
        <v>116045</v>
      </c>
      <c r="D4435" s="2">
        <v>1945</v>
      </c>
      <c r="E4435" s="2">
        <v>106942</v>
      </c>
      <c r="F4435" s="2">
        <v>917</v>
      </c>
      <c r="G4435" s="2">
        <v>4632</v>
      </c>
      <c r="H4435" s="2">
        <v>9103</v>
      </c>
      <c r="I4435" s="2">
        <v>1028</v>
      </c>
    </row>
    <row r="4436" spans="1:9" x14ac:dyDescent="0.3">
      <c r="A4436" t="s">
        <v>66</v>
      </c>
      <c r="B4436" s="1">
        <v>45200</v>
      </c>
      <c r="C4436" s="2">
        <v>112856</v>
      </c>
      <c r="D4436" s="2">
        <v>1094</v>
      </c>
      <c r="E4436" s="2">
        <v>104781</v>
      </c>
      <c r="F4436" s="2">
        <v>-306</v>
      </c>
      <c r="G4436" s="2">
        <v>-784</v>
      </c>
      <c r="H4436" s="2">
        <v>8075</v>
      </c>
      <c r="I4436" s="2">
        <v>1400</v>
      </c>
    </row>
    <row r="4437" spans="1:9" x14ac:dyDescent="0.3">
      <c r="A4437" t="s">
        <v>66</v>
      </c>
      <c r="B4437" s="1">
        <v>45170</v>
      </c>
      <c r="C4437" s="2">
        <v>112908</v>
      </c>
      <c r="D4437" s="2">
        <v>-2925</v>
      </c>
      <c r="E4437" s="2">
        <v>106233</v>
      </c>
      <c r="F4437" s="2">
        <v>-185</v>
      </c>
      <c r="G4437" s="2">
        <v>-1465</v>
      </c>
      <c r="H4437" s="2">
        <v>6675</v>
      </c>
      <c r="I4437" s="2">
        <v>-2740</v>
      </c>
    </row>
    <row r="4438" spans="1:9" x14ac:dyDescent="0.3">
      <c r="A4438" t="s">
        <v>66</v>
      </c>
      <c r="B4438" s="1">
        <v>45139</v>
      </c>
      <c r="C4438" s="2">
        <v>117788</v>
      </c>
      <c r="D4438" s="2">
        <v>2779</v>
      </c>
      <c r="E4438" s="2">
        <v>108373</v>
      </c>
      <c r="F4438" s="2">
        <v>3888</v>
      </c>
      <c r="G4438" s="2">
        <v>-680</v>
      </c>
      <c r="H4438" s="2">
        <v>9415</v>
      </c>
      <c r="I4438" s="2">
        <v>-1109</v>
      </c>
    </row>
    <row r="4439" spans="1:9" x14ac:dyDescent="0.3">
      <c r="A4439" t="s">
        <v>66</v>
      </c>
      <c r="B4439" s="1">
        <v>45108</v>
      </c>
      <c r="C4439" s="2">
        <v>115790</v>
      </c>
      <c r="D4439" s="2">
        <v>1208</v>
      </c>
      <c r="E4439" s="2">
        <v>105266</v>
      </c>
      <c r="F4439" s="2">
        <v>2527</v>
      </c>
      <c r="G4439" s="2">
        <v>909</v>
      </c>
      <c r="H4439" s="2">
        <v>10524</v>
      </c>
      <c r="I4439" s="2">
        <v>-1319</v>
      </c>
    </row>
    <row r="4440" spans="1:9" x14ac:dyDescent="0.3">
      <c r="A4440" t="s">
        <v>66</v>
      </c>
      <c r="B4440" s="1">
        <v>45078</v>
      </c>
      <c r="C4440" s="2">
        <v>115068</v>
      </c>
      <c r="D4440" s="2">
        <v>380</v>
      </c>
      <c r="E4440" s="2">
        <v>103225</v>
      </c>
      <c r="F4440" s="2">
        <v>-2608</v>
      </c>
      <c r="G4440" s="2">
        <v>-167</v>
      </c>
      <c r="H4440" s="2">
        <v>11843</v>
      </c>
      <c r="I4440" s="2">
        <v>2988</v>
      </c>
    </row>
    <row r="4441" spans="1:9" x14ac:dyDescent="0.3">
      <c r="A4441" t="s">
        <v>66</v>
      </c>
      <c r="B4441" s="1">
        <v>45047</v>
      </c>
      <c r="C4441" s="2">
        <v>115427</v>
      </c>
      <c r="D4441" s="2">
        <v>5025</v>
      </c>
      <c r="E4441" s="2">
        <v>106572</v>
      </c>
      <c r="F4441" s="2">
        <v>5899</v>
      </c>
      <c r="G4441" s="2">
        <v>-62</v>
      </c>
      <c r="H4441" s="2">
        <v>8855</v>
      </c>
      <c r="I4441" s="2">
        <v>-874</v>
      </c>
    </row>
    <row r="4442" spans="1:9" x14ac:dyDescent="0.3">
      <c r="A4442" t="s">
        <v>66</v>
      </c>
      <c r="B4442" s="1">
        <v>45017</v>
      </c>
      <c r="C4442" s="2">
        <v>111549</v>
      </c>
      <c r="D4442" s="2">
        <v>-2726</v>
      </c>
      <c r="E4442" s="2">
        <v>101820</v>
      </c>
      <c r="F4442" s="2">
        <v>337</v>
      </c>
      <c r="G4442" s="2">
        <v>-142</v>
      </c>
      <c r="H4442" s="2">
        <v>9729</v>
      </c>
      <c r="I4442" s="2">
        <v>-3063</v>
      </c>
    </row>
    <row r="4443" spans="1:9" x14ac:dyDescent="0.3">
      <c r="A4443" t="s">
        <v>66</v>
      </c>
      <c r="B4443" s="1">
        <v>44986</v>
      </c>
      <c r="C4443" s="2">
        <v>113933</v>
      </c>
      <c r="D4443" s="2">
        <v>1103</v>
      </c>
      <c r="E4443" s="2">
        <v>101141</v>
      </c>
      <c r="F4443" s="2">
        <v>654</v>
      </c>
      <c r="G4443" s="2">
        <v>2038</v>
      </c>
      <c r="H4443" s="2">
        <v>12792</v>
      </c>
      <c r="I4443" s="2">
        <v>449</v>
      </c>
    </row>
    <row r="4444" spans="1:9" x14ac:dyDescent="0.3">
      <c r="A4444" t="s">
        <v>66</v>
      </c>
      <c r="B4444" s="1">
        <v>44958</v>
      </c>
      <c r="C4444" s="2">
        <v>110829</v>
      </c>
      <c r="D4444" s="2">
        <v>7601</v>
      </c>
      <c r="E4444" s="2">
        <v>98486</v>
      </c>
      <c r="F4444" s="2">
        <v>6280</v>
      </c>
      <c r="G4444" s="2">
        <v>-2318</v>
      </c>
      <c r="H4444" s="2">
        <v>12343</v>
      </c>
      <c r="I4444" s="2">
        <v>1321</v>
      </c>
    </row>
    <row r="4445" spans="1:9" hidden="1" x14ac:dyDescent="0.3">
      <c r="A4445" t="s">
        <v>66</v>
      </c>
      <c r="B4445" s="1">
        <v>44927</v>
      </c>
      <c r="C4445" s="2">
        <v>105770</v>
      </c>
      <c r="D4445" s="2" t="s">
        <v>3</v>
      </c>
      <c r="E4445" s="2">
        <v>94748</v>
      </c>
      <c r="F4445" s="2" t="s">
        <v>3</v>
      </c>
      <c r="G4445" s="2" t="s">
        <v>3</v>
      </c>
      <c r="H4445" s="2">
        <v>11022</v>
      </c>
      <c r="I4445" s="2">
        <v>841</v>
      </c>
    </row>
    <row r="4446" spans="1:9" hidden="1" x14ac:dyDescent="0.3">
      <c r="A4446" t="s">
        <v>66</v>
      </c>
      <c r="B4446" s="1">
        <v>44896</v>
      </c>
      <c r="C4446" s="2">
        <v>102572</v>
      </c>
      <c r="D4446" s="2" t="s">
        <v>3</v>
      </c>
      <c r="E4446" s="2">
        <v>92391</v>
      </c>
      <c r="F4446" s="2" t="s">
        <v>3</v>
      </c>
      <c r="G4446" s="2" t="s">
        <v>3</v>
      </c>
      <c r="H4446" s="2">
        <v>10181</v>
      </c>
      <c r="I4446" s="2">
        <v>-2258</v>
      </c>
    </row>
    <row r="4447" spans="1:9" hidden="1" x14ac:dyDescent="0.3">
      <c r="A4447" t="s">
        <v>66</v>
      </c>
      <c r="B4447" s="1">
        <v>44866</v>
      </c>
      <c r="C4447" s="2">
        <v>100370</v>
      </c>
      <c r="D4447" s="2" t="s">
        <v>3</v>
      </c>
      <c r="E4447" s="2">
        <v>87931</v>
      </c>
      <c r="F4447" s="2" t="s">
        <v>3</v>
      </c>
      <c r="G4447" s="2" t="s">
        <v>3</v>
      </c>
      <c r="H4447" s="2">
        <v>12439</v>
      </c>
      <c r="I4447" s="2">
        <v>247</v>
      </c>
    </row>
    <row r="4448" spans="1:9" hidden="1" x14ac:dyDescent="0.3">
      <c r="A4448" t="s">
        <v>66</v>
      </c>
      <c r="B4448" s="1">
        <v>44835</v>
      </c>
      <c r="C4448" s="2">
        <v>98662</v>
      </c>
      <c r="D4448" s="2" t="s">
        <v>3</v>
      </c>
      <c r="E4448" s="2">
        <v>86470</v>
      </c>
      <c r="F4448" s="2" t="s">
        <v>3</v>
      </c>
      <c r="G4448" s="2" t="s">
        <v>3</v>
      </c>
      <c r="H4448" s="2">
        <v>12192</v>
      </c>
      <c r="I4448" s="2">
        <v>-2725</v>
      </c>
    </row>
    <row r="4449" spans="1:9" hidden="1" x14ac:dyDescent="0.3">
      <c r="A4449" t="s">
        <v>66</v>
      </c>
      <c r="B4449" s="1">
        <v>44805</v>
      </c>
      <c r="C4449" s="2">
        <v>104889</v>
      </c>
      <c r="D4449" s="2" t="s">
        <v>3</v>
      </c>
      <c r="E4449" s="2">
        <v>89972</v>
      </c>
      <c r="F4449" s="2" t="s">
        <v>3</v>
      </c>
      <c r="G4449" s="2" t="s">
        <v>3</v>
      </c>
      <c r="H4449" s="2">
        <v>14917</v>
      </c>
      <c r="I4449" s="2">
        <v>-3131</v>
      </c>
    </row>
    <row r="4450" spans="1:9" hidden="1" x14ac:dyDescent="0.3">
      <c r="A4450" t="s">
        <v>66</v>
      </c>
      <c r="B4450" s="1">
        <v>44774</v>
      </c>
      <c r="C4450" s="2">
        <v>117520</v>
      </c>
      <c r="D4450" s="2" t="s">
        <v>3</v>
      </c>
      <c r="E4450" s="2">
        <v>99472</v>
      </c>
      <c r="F4450" s="2" t="s">
        <v>3</v>
      </c>
      <c r="G4450" s="2" t="s">
        <v>3</v>
      </c>
      <c r="H4450" s="2">
        <v>18048</v>
      </c>
      <c r="I4450" s="2">
        <v>1447</v>
      </c>
    </row>
    <row r="4451" spans="1:9" hidden="1" x14ac:dyDescent="0.3">
      <c r="A4451" t="s">
        <v>66</v>
      </c>
      <c r="B4451" s="1">
        <v>44743</v>
      </c>
      <c r="C4451" s="2">
        <v>111905</v>
      </c>
      <c r="D4451" s="2" t="s">
        <v>3</v>
      </c>
      <c r="E4451" s="2">
        <v>95304</v>
      </c>
      <c r="F4451" s="2" t="s">
        <v>3</v>
      </c>
      <c r="G4451" s="2" t="s">
        <v>3</v>
      </c>
      <c r="H4451" s="2">
        <v>16601</v>
      </c>
      <c r="I4451" s="2">
        <v>-1624</v>
      </c>
    </row>
    <row r="4452" spans="1:9" hidden="1" x14ac:dyDescent="0.3">
      <c r="A4452" t="s">
        <v>66</v>
      </c>
      <c r="B4452" s="1">
        <v>44713</v>
      </c>
      <c r="C4452" s="2">
        <v>111887</v>
      </c>
      <c r="D4452" s="2" t="s">
        <v>3</v>
      </c>
      <c r="E4452" s="2">
        <v>93662</v>
      </c>
      <c r="F4452" s="2" t="s">
        <v>3</v>
      </c>
      <c r="G4452" s="2" t="s">
        <v>3</v>
      </c>
      <c r="H4452" s="2">
        <v>18225</v>
      </c>
      <c r="I4452" s="2">
        <v>-2140</v>
      </c>
    </row>
    <row r="4453" spans="1:9" hidden="1" x14ac:dyDescent="0.3">
      <c r="A4453" t="s">
        <v>66</v>
      </c>
      <c r="B4453" s="1">
        <v>44682</v>
      </c>
      <c r="C4453" s="2">
        <v>115250</v>
      </c>
      <c r="D4453" s="2" t="s">
        <v>3</v>
      </c>
      <c r="E4453" s="2">
        <v>94885</v>
      </c>
      <c r="F4453" s="2" t="s">
        <v>3</v>
      </c>
      <c r="G4453" s="2" t="s">
        <v>3</v>
      </c>
      <c r="H4453" s="2">
        <v>20365</v>
      </c>
      <c r="I4453" s="2">
        <v>-4215</v>
      </c>
    </row>
    <row r="4454" spans="1:9" hidden="1" x14ac:dyDescent="0.3">
      <c r="A4454" t="s">
        <v>66</v>
      </c>
      <c r="B4454" s="1">
        <v>44652</v>
      </c>
      <c r="C4454" s="2">
        <v>117328</v>
      </c>
      <c r="D4454" s="2" t="s">
        <v>3</v>
      </c>
      <c r="E4454" s="2">
        <v>92748</v>
      </c>
      <c r="F4454" s="2" t="s">
        <v>3</v>
      </c>
      <c r="G4454" s="2" t="s">
        <v>3</v>
      </c>
      <c r="H4454" s="2">
        <v>24580</v>
      </c>
      <c r="I4454" s="2">
        <v>1956</v>
      </c>
    </row>
    <row r="4455" spans="1:9" hidden="1" x14ac:dyDescent="0.3">
      <c r="A4455" t="s">
        <v>66</v>
      </c>
      <c r="B4455" s="1">
        <v>44621</v>
      </c>
      <c r="C4455" s="2">
        <v>118928</v>
      </c>
      <c r="D4455" s="2" t="s">
        <v>3</v>
      </c>
      <c r="E4455" s="2">
        <v>96304</v>
      </c>
      <c r="F4455" s="2" t="s">
        <v>3</v>
      </c>
      <c r="G4455" s="2" t="s">
        <v>3</v>
      </c>
      <c r="H4455" s="2">
        <v>22624</v>
      </c>
      <c r="I4455" s="2">
        <v>4798</v>
      </c>
    </row>
    <row r="4456" spans="1:9" hidden="1" x14ac:dyDescent="0.3">
      <c r="A4456" t="s">
        <v>66</v>
      </c>
      <c r="B4456" s="1">
        <v>44593</v>
      </c>
      <c r="C4456" s="2">
        <v>121863</v>
      </c>
      <c r="D4456" s="2" t="s">
        <v>3</v>
      </c>
      <c r="E4456" s="2">
        <v>104037</v>
      </c>
      <c r="F4456" s="2" t="s">
        <v>3</v>
      </c>
      <c r="G4456" s="2" t="s">
        <v>3</v>
      </c>
      <c r="H4456" s="2">
        <v>17826</v>
      </c>
      <c r="I4456" s="2">
        <v>8429</v>
      </c>
    </row>
    <row r="4457" spans="1:9" hidden="1" x14ac:dyDescent="0.3">
      <c r="A4457" t="s">
        <v>66</v>
      </c>
      <c r="B4457" s="1">
        <v>44562</v>
      </c>
      <c r="C4457" s="2">
        <v>123801</v>
      </c>
      <c r="D4457" s="2" t="s">
        <v>3</v>
      </c>
      <c r="E4457" s="2">
        <v>114404</v>
      </c>
      <c r="F4457" s="2" t="s">
        <v>3</v>
      </c>
      <c r="G4457" s="2" t="s">
        <v>3</v>
      </c>
      <c r="H4457" s="2">
        <v>9397</v>
      </c>
      <c r="I4457" s="2">
        <v>2578</v>
      </c>
    </row>
    <row r="4458" spans="1:9" hidden="1" x14ac:dyDescent="0.3">
      <c r="A4458" t="s">
        <v>66</v>
      </c>
      <c r="B4458" s="1">
        <v>44531</v>
      </c>
      <c r="C4458" s="2">
        <v>130662</v>
      </c>
      <c r="D4458" s="2" t="s">
        <v>3</v>
      </c>
      <c r="E4458" s="2">
        <v>123843</v>
      </c>
      <c r="F4458" s="2" t="s">
        <v>3</v>
      </c>
      <c r="G4458" s="2" t="s">
        <v>3</v>
      </c>
      <c r="H4458" s="2">
        <v>6819</v>
      </c>
      <c r="I4458" s="2">
        <v>655</v>
      </c>
    </row>
    <row r="4459" spans="1:9" hidden="1" x14ac:dyDescent="0.3">
      <c r="A4459" t="s">
        <v>66</v>
      </c>
      <c r="B4459" s="1">
        <v>44501</v>
      </c>
      <c r="C4459" s="2">
        <v>132163</v>
      </c>
      <c r="D4459" s="2" t="s">
        <v>3</v>
      </c>
      <c r="E4459" s="2">
        <v>125999</v>
      </c>
      <c r="F4459" s="2" t="s">
        <v>3</v>
      </c>
      <c r="G4459" s="2" t="s">
        <v>3</v>
      </c>
      <c r="H4459" s="2">
        <v>6164</v>
      </c>
      <c r="I4459" s="2">
        <v>-10629</v>
      </c>
    </row>
    <row r="4460" spans="1:9" hidden="1" x14ac:dyDescent="0.3">
      <c r="A4460" t="s">
        <v>66</v>
      </c>
      <c r="B4460" s="1">
        <v>44470</v>
      </c>
      <c r="C4460" s="2">
        <v>125402</v>
      </c>
      <c r="D4460" s="2" t="s">
        <v>3</v>
      </c>
      <c r="E4460" s="2">
        <v>108609</v>
      </c>
      <c r="F4460" s="2" t="s">
        <v>3</v>
      </c>
      <c r="G4460" s="2" t="s">
        <v>3</v>
      </c>
      <c r="H4460" s="2">
        <v>16793</v>
      </c>
      <c r="I4460" s="2">
        <v>-2600</v>
      </c>
    </row>
    <row r="4461" spans="1:9" hidden="1" x14ac:dyDescent="0.3">
      <c r="A4461" t="s">
        <v>66</v>
      </c>
      <c r="B4461" s="1">
        <v>44440</v>
      </c>
      <c r="C4461" s="2">
        <v>130106</v>
      </c>
      <c r="D4461" s="2" t="s">
        <v>3</v>
      </c>
      <c r="E4461" s="2">
        <v>110713</v>
      </c>
      <c r="F4461" s="2" t="s">
        <v>3</v>
      </c>
      <c r="G4461" s="2" t="s">
        <v>3</v>
      </c>
      <c r="H4461" s="2">
        <v>19393</v>
      </c>
      <c r="I4461" s="2">
        <v>3946</v>
      </c>
    </row>
    <row r="4462" spans="1:9" hidden="1" x14ac:dyDescent="0.3">
      <c r="A4462" t="s">
        <v>66</v>
      </c>
      <c r="B4462" s="1">
        <v>44409</v>
      </c>
      <c r="C4462" s="2">
        <v>129042</v>
      </c>
      <c r="D4462" s="2" t="s">
        <v>3</v>
      </c>
      <c r="E4462" s="2">
        <v>113595</v>
      </c>
      <c r="F4462" s="2" t="s">
        <v>3</v>
      </c>
      <c r="G4462" s="2" t="s">
        <v>3</v>
      </c>
      <c r="H4462" s="2">
        <v>15447</v>
      </c>
      <c r="I4462" s="2">
        <v>3105</v>
      </c>
    </row>
    <row r="4463" spans="1:9" hidden="1" x14ac:dyDescent="0.3">
      <c r="A4463" t="s">
        <v>66</v>
      </c>
      <c r="B4463" s="1">
        <v>44378</v>
      </c>
      <c r="C4463" s="2">
        <v>126137</v>
      </c>
      <c r="D4463" s="2" t="s">
        <v>3</v>
      </c>
      <c r="E4463" s="2">
        <v>113795</v>
      </c>
      <c r="F4463" s="2" t="s">
        <v>3</v>
      </c>
      <c r="G4463" s="2" t="s">
        <v>3</v>
      </c>
      <c r="H4463" s="2">
        <v>12342</v>
      </c>
      <c r="I4463" s="2">
        <v>-1086</v>
      </c>
    </row>
    <row r="4464" spans="1:9" hidden="1" x14ac:dyDescent="0.3">
      <c r="A4464" t="s">
        <v>66</v>
      </c>
      <c r="B4464" s="1">
        <v>44348</v>
      </c>
      <c r="C4464" s="2">
        <v>130921</v>
      </c>
      <c r="D4464" s="2" t="s">
        <v>3</v>
      </c>
      <c r="E4464" s="2">
        <v>117493</v>
      </c>
      <c r="F4464" s="2" t="s">
        <v>3</v>
      </c>
      <c r="G4464" s="2" t="s">
        <v>3</v>
      </c>
      <c r="H4464" s="2">
        <v>13428</v>
      </c>
      <c r="I4464" s="2">
        <v>420</v>
      </c>
    </row>
    <row r="4465" spans="1:9" hidden="1" x14ac:dyDescent="0.3">
      <c r="A4465" t="s">
        <v>66</v>
      </c>
      <c r="B4465" s="1">
        <v>44317</v>
      </c>
      <c r="C4465" s="2">
        <v>123155</v>
      </c>
      <c r="D4465" s="2" t="s">
        <v>3</v>
      </c>
      <c r="E4465" s="2">
        <v>110147</v>
      </c>
      <c r="F4465" s="2" t="s">
        <v>3</v>
      </c>
      <c r="G4465" s="2" t="s">
        <v>3</v>
      </c>
      <c r="H4465" s="2">
        <v>13008</v>
      </c>
      <c r="I4465" s="2">
        <v>167</v>
      </c>
    </row>
    <row r="4466" spans="1:9" hidden="1" x14ac:dyDescent="0.3">
      <c r="A4466" t="s">
        <v>66</v>
      </c>
      <c r="B4466" s="1">
        <v>44287</v>
      </c>
      <c r="C4466" s="2">
        <v>120258</v>
      </c>
      <c r="D4466" s="2" t="s">
        <v>3</v>
      </c>
      <c r="E4466" s="2">
        <v>107417</v>
      </c>
      <c r="F4466" s="2" t="s">
        <v>3</v>
      </c>
      <c r="G4466" s="2" t="s">
        <v>3</v>
      </c>
      <c r="H4466" s="2">
        <v>12841</v>
      </c>
      <c r="I4466" s="2">
        <v>3647</v>
      </c>
    </row>
    <row r="4467" spans="1:9" hidden="1" x14ac:dyDescent="0.3">
      <c r="A4467" t="s">
        <v>66</v>
      </c>
      <c r="B4467" s="1">
        <v>44256</v>
      </c>
      <c r="C4467" s="2">
        <v>122868</v>
      </c>
      <c r="D4467" s="2" t="s">
        <v>3</v>
      </c>
      <c r="E4467" s="2">
        <v>113674</v>
      </c>
      <c r="F4467" s="2" t="s">
        <v>3</v>
      </c>
      <c r="G4467" s="2" t="s">
        <v>3</v>
      </c>
      <c r="H4467" s="2">
        <v>9194</v>
      </c>
      <c r="I4467" s="2">
        <v>-69</v>
      </c>
    </row>
    <row r="4468" spans="1:9" hidden="1" x14ac:dyDescent="0.3">
      <c r="A4468" t="s">
        <v>66</v>
      </c>
      <c r="B4468" s="1">
        <v>44228</v>
      </c>
      <c r="C4468" s="2">
        <v>125742</v>
      </c>
      <c r="D4468" s="2" t="s">
        <v>3</v>
      </c>
      <c r="E4468" s="2">
        <v>116479</v>
      </c>
      <c r="F4468" s="2" t="s">
        <v>3</v>
      </c>
      <c r="G4468" s="2" t="s">
        <v>3</v>
      </c>
      <c r="H4468" s="2">
        <v>9263</v>
      </c>
      <c r="I4468" s="2">
        <v>416</v>
      </c>
    </row>
    <row r="4469" spans="1:9" hidden="1" x14ac:dyDescent="0.3">
      <c r="A4469" t="s">
        <v>66</v>
      </c>
      <c r="B4469" s="1">
        <v>44197</v>
      </c>
      <c r="C4469" s="2">
        <v>125249</v>
      </c>
      <c r="D4469" s="2" t="s">
        <v>3</v>
      </c>
      <c r="E4469" s="2">
        <v>116402</v>
      </c>
      <c r="F4469" s="2" t="s">
        <v>3</v>
      </c>
      <c r="G4469" s="2" t="s">
        <v>3</v>
      </c>
      <c r="H4469" s="2">
        <v>8847</v>
      </c>
      <c r="I4469" s="2">
        <v>6</v>
      </c>
    </row>
    <row r="4470" spans="1:9" hidden="1" x14ac:dyDescent="0.3">
      <c r="A4470" t="s">
        <v>66</v>
      </c>
      <c r="B4470" s="1">
        <v>44166</v>
      </c>
      <c r="C4470" s="2">
        <v>130910</v>
      </c>
      <c r="D4470" s="2" t="s">
        <v>3</v>
      </c>
      <c r="E4470" s="2">
        <v>122069</v>
      </c>
      <c r="F4470" s="2" t="s">
        <v>3</v>
      </c>
      <c r="G4470" s="2" t="s">
        <v>3</v>
      </c>
      <c r="H4470" s="2">
        <v>8841</v>
      </c>
      <c r="I4470" s="2">
        <v>5492</v>
      </c>
    </row>
    <row r="4471" spans="1:9" hidden="1" x14ac:dyDescent="0.3">
      <c r="A4471" t="s">
        <v>66</v>
      </c>
      <c r="B4471" s="1">
        <v>44136</v>
      </c>
      <c r="C4471" s="2">
        <v>122848</v>
      </c>
      <c r="D4471" s="2" t="s">
        <v>3</v>
      </c>
      <c r="E4471" s="2">
        <v>119499</v>
      </c>
      <c r="F4471" s="2" t="s">
        <v>3</v>
      </c>
      <c r="G4471" s="2" t="s">
        <v>3</v>
      </c>
      <c r="H4471" s="2">
        <v>3349</v>
      </c>
      <c r="I4471" s="2">
        <v>185</v>
      </c>
    </row>
    <row r="4472" spans="1:9" hidden="1" x14ac:dyDescent="0.3">
      <c r="A4472" t="s">
        <v>66</v>
      </c>
      <c r="B4472" s="1">
        <v>44105</v>
      </c>
      <c r="C4472" s="2">
        <v>119054</v>
      </c>
      <c r="D4472" s="2" t="s">
        <v>3</v>
      </c>
      <c r="E4472" s="2">
        <v>115890</v>
      </c>
      <c r="F4472" s="2" t="s">
        <v>3</v>
      </c>
      <c r="G4472" s="2" t="s">
        <v>3</v>
      </c>
      <c r="H4472" s="2">
        <v>3164</v>
      </c>
      <c r="I4472" s="2">
        <v>-55</v>
      </c>
    </row>
    <row r="4473" spans="1:9" hidden="1" x14ac:dyDescent="0.3">
      <c r="A4473" t="s">
        <v>66</v>
      </c>
      <c r="B4473" s="1">
        <v>44075</v>
      </c>
      <c r="C4473" s="2">
        <v>123173</v>
      </c>
      <c r="D4473" s="2" t="s">
        <v>3</v>
      </c>
      <c r="E4473" s="2">
        <v>119954</v>
      </c>
      <c r="F4473" s="2" t="s">
        <v>3</v>
      </c>
      <c r="G4473" s="2" t="s">
        <v>3</v>
      </c>
      <c r="H4473" s="2">
        <v>3219</v>
      </c>
      <c r="I4473" s="2">
        <v>-1598</v>
      </c>
    </row>
    <row r="4474" spans="1:9" hidden="1" x14ac:dyDescent="0.3">
      <c r="A4474" t="s">
        <v>66</v>
      </c>
      <c r="B4474" s="1">
        <v>44044</v>
      </c>
      <c r="C4474" s="2">
        <v>122744</v>
      </c>
      <c r="D4474" s="2" t="s">
        <v>3</v>
      </c>
      <c r="E4474" s="2">
        <v>117927</v>
      </c>
      <c r="F4474" s="2" t="s">
        <v>3</v>
      </c>
      <c r="G4474" s="2" t="s">
        <v>3</v>
      </c>
      <c r="H4474" s="2">
        <v>4817</v>
      </c>
      <c r="I4474" s="2">
        <v>650</v>
      </c>
    </row>
    <row r="4475" spans="1:9" hidden="1" x14ac:dyDescent="0.3">
      <c r="A4475" t="s">
        <v>66</v>
      </c>
      <c r="B4475" s="1">
        <v>44013</v>
      </c>
      <c r="C4475" s="2">
        <v>123139</v>
      </c>
      <c r="D4475" s="2" t="s">
        <v>3</v>
      </c>
      <c r="E4475" s="2">
        <v>118972</v>
      </c>
      <c r="F4475" s="2" t="s">
        <v>3</v>
      </c>
      <c r="G4475" s="2" t="s">
        <v>3</v>
      </c>
      <c r="H4475" s="2">
        <v>4167</v>
      </c>
      <c r="I4475" s="2">
        <v>-289</v>
      </c>
    </row>
    <row r="4476" spans="1:9" hidden="1" x14ac:dyDescent="0.3">
      <c r="A4476" t="s">
        <v>66</v>
      </c>
      <c r="B4476" s="1">
        <v>43983</v>
      </c>
      <c r="C4476" s="2">
        <v>122674</v>
      </c>
      <c r="D4476" s="2" t="s">
        <v>3</v>
      </c>
      <c r="E4476" s="2">
        <v>118218</v>
      </c>
      <c r="F4476" s="2" t="s">
        <v>3</v>
      </c>
      <c r="G4476" s="2" t="s">
        <v>3</v>
      </c>
      <c r="H4476" s="2">
        <v>4456</v>
      </c>
      <c r="I4476" s="2">
        <v>565</v>
      </c>
    </row>
    <row r="4477" spans="1:9" hidden="1" x14ac:dyDescent="0.3">
      <c r="A4477" t="s">
        <v>66</v>
      </c>
      <c r="B4477" s="1">
        <v>43952</v>
      </c>
      <c r="C4477" s="2">
        <v>117279</v>
      </c>
      <c r="D4477" s="2" t="s">
        <v>3</v>
      </c>
      <c r="E4477" s="2">
        <v>113388</v>
      </c>
      <c r="F4477" s="2" t="s">
        <v>3</v>
      </c>
      <c r="G4477" s="2" t="s">
        <v>3</v>
      </c>
      <c r="H4477" s="2">
        <v>3891</v>
      </c>
      <c r="I4477" s="2">
        <v>-109</v>
      </c>
    </row>
    <row r="4478" spans="1:9" hidden="1" x14ac:dyDescent="0.3">
      <c r="A4478" t="s">
        <v>66</v>
      </c>
      <c r="B4478" s="1">
        <v>43922</v>
      </c>
      <c r="C4478" s="2">
        <v>119961</v>
      </c>
      <c r="D4478" s="2" t="s">
        <v>3</v>
      </c>
      <c r="E4478" s="2">
        <v>115961</v>
      </c>
      <c r="F4478" s="2" t="s">
        <v>3</v>
      </c>
      <c r="G4478" s="2" t="s">
        <v>3</v>
      </c>
      <c r="H4478" s="2">
        <v>4000</v>
      </c>
      <c r="I4478" s="2">
        <v>855</v>
      </c>
    </row>
    <row r="4479" spans="1:9" hidden="1" x14ac:dyDescent="0.3">
      <c r="A4479" t="s">
        <v>66</v>
      </c>
      <c r="B4479" s="1">
        <v>43891</v>
      </c>
      <c r="C4479" s="2">
        <v>110833</v>
      </c>
      <c r="D4479" s="2" t="s">
        <v>3</v>
      </c>
      <c r="E4479" s="2">
        <v>107688</v>
      </c>
      <c r="F4479" s="2" t="s">
        <v>3</v>
      </c>
      <c r="G4479" s="2" t="s">
        <v>3</v>
      </c>
      <c r="H4479" s="2">
        <v>3145</v>
      </c>
      <c r="I4479" s="2">
        <v>-1557</v>
      </c>
    </row>
    <row r="4480" spans="1:9" hidden="1" x14ac:dyDescent="0.3">
      <c r="A4480" t="s">
        <v>66</v>
      </c>
      <c r="B4480" s="1">
        <v>43862</v>
      </c>
      <c r="C4480" s="2">
        <v>116141</v>
      </c>
      <c r="D4480" s="2" t="s">
        <v>3</v>
      </c>
      <c r="E4480" s="2">
        <v>111439</v>
      </c>
      <c r="F4480" s="2" t="s">
        <v>3</v>
      </c>
      <c r="G4480" s="2" t="s">
        <v>3</v>
      </c>
      <c r="H4480" s="2">
        <v>4702</v>
      </c>
      <c r="I4480" s="2">
        <v>148</v>
      </c>
    </row>
    <row r="4481" spans="1:9" hidden="1" x14ac:dyDescent="0.3">
      <c r="A4481" t="s">
        <v>66</v>
      </c>
      <c r="B4481" s="1">
        <v>43831</v>
      </c>
      <c r="C4481" s="2">
        <v>121126</v>
      </c>
      <c r="D4481" s="2" t="s">
        <v>3</v>
      </c>
      <c r="E4481" s="2">
        <v>116572</v>
      </c>
      <c r="F4481" s="2" t="s">
        <v>3</v>
      </c>
      <c r="G4481" s="2" t="s">
        <v>3</v>
      </c>
      <c r="H4481" s="2">
        <v>4554</v>
      </c>
      <c r="I4481" s="2">
        <v>546</v>
      </c>
    </row>
    <row r="4482" spans="1:9" x14ac:dyDescent="0.3">
      <c r="A4482" t="s">
        <v>67</v>
      </c>
      <c r="B4482" s="1">
        <v>45931</v>
      </c>
      <c r="C4482" s="2">
        <v>60669</v>
      </c>
      <c r="D4482" s="2">
        <v>833</v>
      </c>
      <c r="E4482" s="2">
        <v>59275</v>
      </c>
      <c r="F4482" s="2">
        <v>742</v>
      </c>
      <c r="G4482" s="2">
        <v>-267</v>
      </c>
      <c r="H4482" s="2">
        <v>1394</v>
      </c>
      <c r="I4482" s="2">
        <v>91</v>
      </c>
    </row>
    <row r="4483" spans="1:9" x14ac:dyDescent="0.3">
      <c r="A4483" t="s">
        <v>67</v>
      </c>
      <c r="B4483" s="1">
        <v>45901</v>
      </c>
      <c r="C4483" s="2">
        <v>59427</v>
      </c>
      <c r="D4483" s="2">
        <v>-112</v>
      </c>
      <c r="E4483" s="2">
        <v>58124</v>
      </c>
      <c r="F4483" s="2">
        <v>77</v>
      </c>
      <c r="G4483" s="2">
        <v>1724</v>
      </c>
      <c r="H4483" s="2">
        <v>1303</v>
      </c>
      <c r="I4483" s="2">
        <v>-189</v>
      </c>
    </row>
    <row r="4484" spans="1:9" x14ac:dyDescent="0.3">
      <c r="A4484" t="s">
        <v>67</v>
      </c>
      <c r="B4484" s="1">
        <v>45870</v>
      </c>
      <c r="C4484" s="2">
        <v>59243</v>
      </c>
      <c r="D4484" s="2">
        <v>709</v>
      </c>
      <c r="E4484" s="2">
        <v>57751</v>
      </c>
      <c r="F4484" s="2">
        <v>240</v>
      </c>
      <c r="G4484" s="2">
        <v>682</v>
      </c>
      <c r="H4484" s="2">
        <v>1492</v>
      </c>
      <c r="I4484" s="2">
        <v>469</v>
      </c>
    </row>
    <row r="4485" spans="1:9" x14ac:dyDescent="0.3">
      <c r="A4485" t="s">
        <v>67</v>
      </c>
      <c r="B4485" s="1">
        <v>45839</v>
      </c>
      <c r="C4485" s="2">
        <v>58124</v>
      </c>
      <c r="D4485" s="2">
        <v>769</v>
      </c>
      <c r="E4485" s="2">
        <v>57101</v>
      </c>
      <c r="F4485" s="2">
        <v>839</v>
      </c>
      <c r="G4485" s="2">
        <v>581</v>
      </c>
      <c r="H4485" s="2">
        <v>1023</v>
      </c>
      <c r="I4485" s="2">
        <v>-70</v>
      </c>
    </row>
    <row r="4486" spans="1:9" x14ac:dyDescent="0.3">
      <c r="A4486" t="s">
        <v>67</v>
      </c>
      <c r="B4486" s="1">
        <v>45809</v>
      </c>
      <c r="C4486" s="2">
        <v>58047</v>
      </c>
      <c r="D4486" s="2">
        <v>520</v>
      </c>
      <c r="E4486" s="2">
        <v>56954</v>
      </c>
      <c r="F4486" s="2">
        <v>957</v>
      </c>
      <c r="G4486" s="2">
        <v>1645</v>
      </c>
      <c r="H4486" s="2">
        <v>1093</v>
      </c>
      <c r="I4486" s="2">
        <v>-437</v>
      </c>
    </row>
    <row r="4487" spans="1:9" x14ac:dyDescent="0.3">
      <c r="A4487" t="s">
        <v>67</v>
      </c>
      <c r="B4487" s="1">
        <v>45778</v>
      </c>
      <c r="C4487" s="2">
        <v>57019</v>
      </c>
      <c r="D4487" s="2">
        <v>4086</v>
      </c>
      <c r="E4487" s="2">
        <v>55489</v>
      </c>
      <c r="F4487" s="2">
        <v>3793</v>
      </c>
      <c r="G4487" s="2">
        <v>646</v>
      </c>
      <c r="H4487" s="2">
        <v>1530</v>
      </c>
      <c r="I4487" s="2">
        <v>293</v>
      </c>
    </row>
    <row r="4488" spans="1:9" x14ac:dyDescent="0.3">
      <c r="A4488" t="s">
        <v>67</v>
      </c>
      <c r="B4488" s="1">
        <v>45748</v>
      </c>
      <c r="C4488" s="2">
        <v>54218</v>
      </c>
      <c r="D4488" s="2">
        <v>2144</v>
      </c>
      <c r="E4488" s="2">
        <v>52981</v>
      </c>
      <c r="F4488" s="2">
        <v>2527</v>
      </c>
      <c r="G4488" s="2">
        <v>-1097</v>
      </c>
      <c r="H4488" s="2">
        <v>1237</v>
      </c>
      <c r="I4488" s="2">
        <v>-383</v>
      </c>
    </row>
    <row r="4489" spans="1:9" x14ac:dyDescent="0.3">
      <c r="A4489" t="s">
        <v>67</v>
      </c>
      <c r="B4489" s="1">
        <v>45717</v>
      </c>
      <c r="C4489" s="2">
        <v>52700</v>
      </c>
      <c r="D4489" s="2">
        <v>1666</v>
      </c>
      <c r="E4489" s="2">
        <v>51080</v>
      </c>
      <c r="F4489" s="2">
        <v>1561</v>
      </c>
      <c r="G4489" s="2">
        <v>940</v>
      </c>
      <c r="H4489" s="2">
        <v>1620</v>
      </c>
      <c r="I4489" s="2">
        <v>105</v>
      </c>
    </row>
    <row r="4490" spans="1:9" x14ac:dyDescent="0.3">
      <c r="A4490" t="s">
        <v>67</v>
      </c>
      <c r="B4490" s="1">
        <v>45689</v>
      </c>
      <c r="C4490" s="2">
        <v>50045</v>
      </c>
      <c r="D4490" s="2">
        <v>-1424</v>
      </c>
      <c r="E4490" s="2">
        <v>48530</v>
      </c>
      <c r="F4490" s="2">
        <v>-1111</v>
      </c>
      <c r="G4490" s="2">
        <v>3508</v>
      </c>
      <c r="H4490" s="2">
        <v>1515</v>
      </c>
      <c r="I4490" s="2">
        <v>-313</v>
      </c>
    </row>
    <row r="4491" spans="1:9" x14ac:dyDescent="0.3">
      <c r="A4491" t="s">
        <v>67</v>
      </c>
      <c r="B4491" s="1">
        <v>45658</v>
      </c>
      <c r="C4491" s="2">
        <v>49232</v>
      </c>
      <c r="D4491" s="2">
        <v>-736</v>
      </c>
      <c r="E4491" s="2">
        <v>47404</v>
      </c>
      <c r="F4491" s="2">
        <v>-1182</v>
      </c>
      <c r="G4491" s="2">
        <v>-1248</v>
      </c>
      <c r="H4491" s="2">
        <v>1828</v>
      </c>
      <c r="I4491" s="2">
        <v>446</v>
      </c>
    </row>
    <row r="4492" spans="1:9" x14ac:dyDescent="0.3">
      <c r="A4492" t="s">
        <v>67</v>
      </c>
      <c r="B4492" s="1">
        <v>45627</v>
      </c>
      <c r="C4492" s="2">
        <v>50340</v>
      </c>
      <c r="D4492" s="2">
        <v>984</v>
      </c>
      <c r="E4492" s="2">
        <v>48958</v>
      </c>
      <c r="F4492" s="2">
        <v>1002</v>
      </c>
      <c r="G4492" s="2">
        <v>-3400</v>
      </c>
      <c r="H4492" s="2">
        <v>1382</v>
      </c>
      <c r="I4492" s="2">
        <v>-18</v>
      </c>
    </row>
    <row r="4493" spans="1:9" x14ac:dyDescent="0.3">
      <c r="A4493" t="s">
        <v>67</v>
      </c>
      <c r="B4493" s="1">
        <v>45597</v>
      </c>
      <c r="C4493" s="2">
        <v>51201</v>
      </c>
      <c r="D4493" s="2">
        <v>-279</v>
      </c>
      <c r="E4493" s="2">
        <v>49801</v>
      </c>
      <c r="F4493" s="2">
        <v>-345</v>
      </c>
      <c r="G4493" s="2">
        <v>-361</v>
      </c>
      <c r="H4493" s="2">
        <v>1400</v>
      </c>
      <c r="I4493" s="2">
        <v>66</v>
      </c>
    </row>
    <row r="4494" spans="1:9" x14ac:dyDescent="0.3">
      <c r="A4494" t="s">
        <v>67</v>
      </c>
      <c r="B4494" s="1">
        <v>45566</v>
      </c>
      <c r="C4494" s="2">
        <v>51424</v>
      </c>
      <c r="D4494" s="2">
        <v>4473</v>
      </c>
      <c r="E4494" s="2">
        <v>50090</v>
      </c>
      <c r="F4494" s="2">
        <v>4049</v>
      </c>
      <c r="G4494" s="2">
        <v>-846</v>
      </c>
      <c r="H4494" s="2">
        <v>1334</v>
      </c>
      <c r="I4494" s="2">
        <v>424</v>
      </c>
    </row>
    <row r="4495" spans="1:9" x14ac:dyDescent="0.3">
      <c r="A4495" t="s">
        <v>67</v>
      </c>
      <c r="B4495" s="1">
        <v>45536</v>
      </c>
      <c r="C4495" s="2">
        <v>48290</v>
      </c>
      <c r="D4495" s="2">
        <v>91</v>
      </c>
      <c r="E4495" s="2">
        <v>47380</v>
      </c>
      <c r="F4495" s="2">
        <v>149</v>
      </c>
      <c r="G4495" s="2">
        <v>1005</v>
      </c>
      <c r="H4495" s="2">
        <v>910</v>
      </c>
      <c r="I4495" s="2">
        <v>-58</v>
      </c>
    </row>
    <row r="4496" spans="1:9" x14ac:dyDescent="0.3">
      <c r="A4496" t="s">
        <v>67</v>
      </c>
      <c r="B4496" s="1">
        <v>45505</v>
      </c>
      <c r="C4496" s="2">
        <v>47402</v>
      </c>
      <c r="D4496" s="2">
        <v>-1237</v>
      </c>
      <c r="E4496" s="2">
        <v>46434</v>
      </c>
      <c r="F4496" s="2">
        <v>-864</v>
      </c>
      <c r="G4496" s="2">
        <v>1358</v>
      </c>
      <c r="H4496" s="2">
        <v>968</v>
      </c>
      <c r="I4496" s="2">
        <v>-373</v>
      </c>
    </row>
    <row r="4497" spans="1:9" x14ac:dyDescent="0.3">
      <c r="A4497" t="s">
        <v>67</v>
      </c>
      <c r="B4497" s="1">
        <v>45474</v>
      </c>
      <c r="C4497" s="2">
        <v>47558</v>
      </c>
      <c r="D4497" s="2">
        <v>619</v>
      </c>
      <c r="E4497" s="2">
        <v>46217</v>
      </c>
      <c r="F4497" s="2">
        <v>601</v>
      </c>
      <c r="G4497" s="2">
        <v>646</v>
      </c>
      <c r="H4497" s="2">
        <v>1341</v>
      </c>
      <c r="I4497" s="2">
        <v>18</v>
      </c>
    </row>
    <row r="4498" spans="1:9" x14ac:dyDescent="0.3">
      <c r="A4498" t="s">
        <v>67</v>
      </c>
      <c r="B4498" s="1">
        <v>45444</v>
      </c>
      <c r="C4498" s="2">
        <v>46448</v>
      </c>
      <c r="D4498" s="2">
        <v>-735</v>
      </c>
      <c r="E4498" s="2">
        <v>45125</v>
      </c>
      <c r="F4498" s="2">
        <v>-777</v>
      </c>
      <c r="G4498" s="2">
        <v>1938</v>
      </c>
      <c r="H4498" s="2">
        <v>1323</v>
      </c>
      <c r="I4498" s="2">
        <v>42</v>
      </c>
    </row>
    <row r="4499" spans="1:9" x14ac:dyDescent="0.3">
      <c r="A4499" t="s">
        <v>67</v>
      </c>
      <c r="B4499" s="1">
        <v>45413</v>
      </c>
      <c r="C4499" s="2">
        <v>46202</v>
      </c>
      <c r="D4499" s="2">
        <v>14</v>
      </c>
      <c r="E4499" s="2">
        <v>44921</v>
      </c>
      <c r="F4499" s="2">
        <v>-54</v>
      </c>
      <c r="G4499" s="2">
        <v>626</v>
      </c>
      <c r="H4499" s="2">
        <v>1281</v>
      </c>
      <c r="I4499" s="2">
        <v>68</v>
      </c>
    </row>
    <row r="4500" spans="1:9" x14ac:dyDescent="0.3">
      <c r="A4500" t="s">
        <v>67</v>
      </c>
      <c r="B4500" s="1">
        <v>45383</v>
      </c>
      <c r="C4500" s="2">
        <v>44918</v>
      </c>
      <c r="D4500" s="2">
        <v>-145</v>
      </c>
      <c r="E4500" s="2">
        <v>43705</v>
      </c>
      <c r="F4500" s="2">
        <v>111</v>
      </c>
      <c r="G4500" s="2">
        <v>-1092</v>
      </c>
      <c r="H4500" s="2">
        <v>1213</v>
      </c>
      <c r="I4500" s="2">
        <v>-256</v>
      </c>
    </row>
    <row r="4501" spans="1:9" x14ac:dyDescent="0.3">
      <c r="A4501" t="s">
        <v>67</v>
      </c>
      <c r="B4501" s="1">
        <v>45352</v>
      </c>
      <c r="C4501" s="2">
        <v>46306</v>
      </c>
      <c r="D4501" s="2">
        <v>-462</v>
      </c>
      <c r="E4501" s="2">
        <v>44837</v>
      </c>
      <c r="F4501" s="2">
        <v>432</v>
      </c>
      <c r="G4501" s="2">
        <v>-1614</v>
      </c>
      <c r="H4501" s="2">
        <v>1469</v>
      </c>
      <c r="I4501" s="2">
        <v>-894</v>
      </c>
    </row>
    <row r="4502" spans="1:9" x14ac:dyDescent="0.3">
      <c r="A4502" t="s">
        <v>67</v>
      </c>
      <c r="B4502" s="1">
        <v>45323</v>
      </c>
      <c r="C4502" s="2">
        <v>46717</v>
      </c>
      <c r="D4502" s="2">
        <v>339</v>
      </c>
      <c r="E4502" s="2">
        <v>44354</v>
      </c>
      <c r="F4502" s="2">
        <v>166</v>
      </c>
      <c r="G4502" s="2">
        <v>-443</v>
      </c>
      <c r="H4502" s="2">
        <v>2363</v>
      </c>
      <c r="I4502" s="2">
        <v>173</v>
      </c>
    </row>
    <row r="4503" spans="1:9" x14ac:dyDescent="0.3">
      <c r="A4503" t="s">
        <v>67</v>
      </c>
      <c r="B4503" s="1">
        <v>45292</v>
      </c>
      <c r="C4503" s="2">
        <v>45975</v>
      </c>
      <c r="D4503" s="2">
        <v>-1543</v>
      </c>
      <c r="E4503" s="2">
        <v>43785</v>
      </c>
      <c r="F4503" s="2">
        <v>-782</v>
      </c>
      <c r="G4503" s="2">
        <v>2031</v>
      </c>
      <c r="H4503" s="2">
        <v>2190</v>
      </c>
      <c r="I4503" s="2">
        <v>-761</v>
      </c>
    </row>
    <row r="4504" spans="1:9" x14ac:dyDescent="0.3">
      <c r="A4504" t="s">
        <v>67</v>
      </c>
      <c r="B4504" s="1">
        <v>45261</v>
      </c>
      <c r="C4504" s="2">
        <v>46353</v>
      </c>
      <c r="D4504" s="2">
        <v>2749</v>
      </c>
      <c r="E4504" s="2">
        <v>43402</v>
      </c>
      <c r="F4504" s="2">
        <v>3133</v>
      </c>
      <c r="G4504" s="2">
        <v>1300</v>
      </c>
      <c r="H4504" s="2">
        <v>2951</v>
      </c>
      <c r="I4504" s="2">
        <v>-384</v>
      </c>
    </row>
    <row r="4505" spans="1:9" x14ac:dyDescent="0.3">
      <c r="A4505" t="s">
        <v>67</v>
      </c>
      <c r="B4505" s="1">
        <v>45231</v>
      </c>
      <c r="C4505" s="2">
        <v>43064</v>
      </c>
      <c r="D4505" s="2">
        <v>2786</v>
      </c>
      <c r="E4505" s="2">
        <v>39729</v>
      </c>
      <c r="F4505" s="2">
        <v>1451</v>
      </c>
      <c r="G4505" s="2">
        <v>2079</v>
      </c>
      <c r="H4505" s="2">
        <v>3335</v>
      </c>
      <c r="I4505" s="2">
        <v>1335</v>
      </c>
    </row>
    <row r="4506" spans="1:9" x14ac:dyDescent="0.3">
      <c r="A4506" t="s">
        <v>67</v>
      </c>
      <c r="B4506" s="1">
        <v>45200</v>
      </c>
      <c r="C4506" s="2">
        <v>39619</v>
      </c>
      <c r="D4506" s="2">
        <v>-587</v>
      </c>
      <c r="E4506" s="2">
        <v>37619</v>
      </c>
      <c r="F4506" s="2">
        <v>-1136</v>
      </c>
      <c r="G4506" s="2">
        <v>-519</v>
      </c>
      <c r="H4506" s="2">
        <v>2000</v>
      </c>
      <c r="I4506" s="2">
        <v>549</v>
      </c>
    </row>
    <row r="4507" spans="1:9" x14ac:dyDescent="0.3">
      <c r="A4507" t="s">
        <v>67</v>
      </c>
      <c r="B4507" s="1">
        <v>45170</v>
      </c>
      <c r="C4507" s="2">
        <v>40785</v>
      </c>
      <c r="D4507" s="2">
        <v>-407</v>
      </c>
      <c r="E4507" s="2">
        <v>39334</v>
      </c>
      <c r="F4507" s="2">
        <v>-30</v>
      </c>
      <c r="G4507" s="2">
        <v>-2899</v>
      </c>
      <c r="H4507" s="2">
        <v>1451</v>
      </c>
      <c r="I4507" s="2">
        <v>-377</v>
      </c>
    </row>
    <row r="4508" spans="1:9" x14ac:dyDescent="0.3">
      <c r="A4508" t="s">
        <v>67</v>
      </c>
      <c r="B4508" s="1">
        <v>45139</v>
      </c>
      <c r="C4508" s="2">
        <v>41945</v>
      </c>
      <c r="D4508" s="2">
        <v>-305</v>
      </c>
      <c r="E4508" s="2">
        <v>40117</v>
      </c>
      <c r="F4508" s="2">
        <v>79</v>
      </c>
      <c r="G4508" s="2">
        <v>434</v>
      </c>
      <c r="H4508" s="2">
        <v>1828</v>
      </c>
      <c r="I4508" s="2">
        <v>-384</v>
      </c>
    </row>
    <row r="4509" spans="1:9" x14ac:dyDescent="0.3">
      <c r="A4509" t="s">
        <v>67</v>
      </c>
      <c r="B4509" s="1">
        <v>45108</v>
      </c>
      <c r="C4509" s="2">
        <v>42482</v>
      </c>
      <c r="D4509" s="2">
        <v>-879</v>
      </c>
      <c r="E4509" s="2">
        <v>40270</v>
      </c>
      <c r="F4509" s="2">
        <v>72</v>
      </c>
      <c r="G4509" s="2">
        <v>-137</v>
      </c>
      <c r="H4509" s="2">
        <v>2212</v>
      </c>
      <c r="I4509" s="2">
        <v>-951</v>
      </c>
    </row>
    <row r="4510" spans="1:9" x14ac:dyDescent="0.3">
      <c r="A4510" t="s">
        <v>67</v>
      </c>
      <c r="B4510" s="1">
        <v>45078</v>
      </c>
      <c r="C4510" s="2">
        <v>43656</v>
      </c>
      <c r="D4510" s="2">
        <v>-300</v>
      </c>
      <c r="E4510" s="2">
        <v>40493</v>
      </c>
      <c r="F4510" s="2">
        <v>-397</v>
      </c>
      <c r="G4510" s="2">
        <v>1054</v>
      </c>
      <c r="H4510" s="2">
        <v>3163</v>
      </c>
      <c r="I4510" s="2">
        <v>97</v>
      </c>
    </row>
    <row r="4511" spans="1:9" x14ac:dyDescent="0.3">
      <c r="A4511" t="s">
        <v>67</v>
      </c>
      <c r="B4511" s="1">
        <v>45047</v>
      </c>
      <c r="C4511" s="2">
        <v>41439</v>
      </c>
      <c r="D4511" s="2">
        <v>139</v>
      </c>
      <c r="E4511" s="2">
        <v>38373</v>
      </c>
      <c r="F4511" s="2">
        <v>249</v>
      </c>
      <c r="G4511" s="2">
        <v>1115</v>
      </c>
      <c r="H4511" s="2">
        <v>3066</v>
      </c>
      <c r="I4511" s="2">
        <v>-110</v>
      </c>
    </row>
    <row r="4512" spans="1:9" x14ac:dyDescent="0.3">
      <c r="A4512" t="s">
        <v>67</v>
      </c>
      <c r="B4512" s="1">
        <v>45017</v>
      </c>
      <c r="C4512" s="2">
        <v>41398</v>
      </c>
      <c r="D4512" s="2">
        <v>827</v>
      </c>
      <c r="E4512" s="2">
        <v>38222</v>
      </c>
      <c r="F4512" s="2">
        <v>1063</v>
      </c>
      <c r="G4512" s="2">
        <v>2245</v>
      </c>
      <c r="H4512" s="2">
        <v>3176</v>
      </c>
      <c r="I4512" s="2">
        <v>-236</v>
      </c>
    </row>
    <row r="4513" spans="1:9" x14ac:dyDescent="0.3">
      <c r="A4513" t="s">
        <v>67</v>
      </c>
      <c r="B4513" s="1">
        <v>44986</v>
      </c>
      <c r="C4513" s="2">
        <v>39296</v>
      </c>
      <c r="D4513" s="2">
        <v>-882</v>
      </c>
      <c r="E4513" s="2">
        <v>35884</v>
      </c>
      <c r="F4513" s="2">
        <v>251</v>
      </c>
      <c r="G4513" s="2">
        <v>721</v>
      </c>
      <c r="H4513" s="2">
        <v>3412</v>
      </c>
      <c r="I4513" s="2">
        <v>-1133</v>
      </c>
    </row>
    <row r="4514" spans="1:9" x14ac:dyDescent="0.3">
      <c r="A4514" t="s">
        <v>67</v>
      </c>
      <c r="B4514" s="1">
        <v>44958</v>
      </c>
      <c r="C4514" s="2">
        <v>39140</v>
      </c>
      <c r="D4514" s="2">
        <v>-3506</v>
      </c>
      <c r="E4514" s="2">
        <v>34595</v>
      </c>
      <c r="F4514" s="2">
        <v>-923</v>
      </c>
      <c r="G4514" s="2">
        <v>-1627</v>
      </c>
      <c r="H4514" s="2">
        <v>4545</v>
      </c>
      <c r="I4514" s="2">
        <v>-2583</v>
      </c>
    </row>
    <row r="4515" spans="1:9" hidden="1" x14ac:dyDescent="0.3">
      <c r="A4515" t="s">
        <v>67</v>
      </c>
      <c r="B4515" s="1">
        <v>44927</v>
      </c>
      <c r="C4515" s="2">
        <v>43282</v>
      </c>
      <c r="D4515" s="2" t="s">
        <v>3</v>
      </c>
      <c r="E4515" s="2">
        <v>36154</v>
      </c>
      <c r="F4515" s="2" t="s">
        <v>3</v>
      </c>
      <c r="G4515" s="2" t="s">
        <v>3</v>
      </c>
      <c r="H4515" s="2">
        <v>7128</v>
      </c>
      <c r="I4515" s="2">
        <v>-3260</v>
      </c>
    </row>
    <row r="4516" spans="1:9" hidden="1" x14ac:dyDescent="0.3">
      <c r="A4516" t="s">
        <v>67</v>
      </c>
      <c r="B4516" s="1">
        <v>44896</v>
      </c>
      <c r="C4516" s="2">
        <v>48523</v>
      </c>
      <c r="D4516" s="2" t="s">
        <v>3</v>
      </c>
      <c r="E4516" s="2">
        <v>38135</v>
      </c>
      <c r="F4516" s="2" t="s">
        <v>3</v>
      </c>
      <c r="G4516" s="2" t="s">
        <v>3</v>
      </c>
      <c r="H4516" s="2">
        <v>10388</v>
      </c>
      <c r="I4516" s="2">
        <v>-753</v>
      </c>
    </row>
    <row r="4517" spans="1:9" hidden="1" x14ac:dyDescent="0.3">
      <c r="A4517" t="s">
        <v>67</v>
      </c>
      <c r="B4517" s="1">
        <v>44866</v>
      </c>
      <c r="C4517" s="2">
        <v>50838</v>
      </c>
      <c r="D4517" s="2" t="s">
        <v>3</v>
      </c>
      <c r="E4517" s="2">
        <v>39697</v>
      </c>
      <c r="F4517" s="2" t="s">
        <v>3</v>
      </c>
      <c r="G4517" s="2" t="s">
        <v>3</v>
      </c>
      <c r="H4517" s="2">
        <v>11141</v>
      </c>
      <c r="I4517" s="2">
        <v>-500</v>
      </c>
    </row>
    <row r="4518" spans="1:9" hidden="1" x14ac:dyDescent="0.3">
      <c r="A4518" t="s">
        <v>67</v>
      </c>
      <c r="B4518" s="1">
        <v>44835</v>
      </c>
      <c r="C4518" s="2">
        <v>50282</v>
      </c>
      <c r="D4518" s="2" t="s">
        <v>3</v>
      </c>
      <c r="E4518" s="2">
        <v>38641</v>
      </c>
      <c r="F4518" s="2" t="s">
        <v>3</v>
      </c>
      <c r="G4518" s="2" t="s">
        <v>3</v>
      </c>
      <c r="H4518" s="2">
        <v>11641</v>
      </c>
      <c r="I4518" s="2">
        <v>-505</v>
      </c>
    </row>
    <row r="4519" spans="1:9" hidden="1" x14ac:dyDescent="0.3">
      <c r="A4519" t="s">
        <v>67</v>
      </c>
      <c r="B4519" s="1">
        <v>44805</v>
      </c>
      <c r="C4519" s="2">
        <v>50240</v>
      </c>
      <c r="D4519" s="2" t="s">
        <v>3</v>
      </c>
      <c r="E4519" s="2">
        <v>38094</v>
      </c>
      <c r="F4519" s="2" t="s">
        <v>3</v>
      </c>
      <c r="G4519" s="2" t="s">
        <v>3</v>
      </c>
      <c r="H4519" s="2">
        <v>12146</v>
      </c>
      <c r="I4519" s="2">
        <v>308</v>
      </c>
    </row>
    <row r="4520" spans="1:9" hidden="1" x14ac:dyDescent="0.3">
      <c r="A4520" t="s">
        <v>67</v>
      </c>
      <c r="B4520" s="1">
        <v>44774</v>
      </c>
      <c r="C4520" s="2">
        <v>51122</v>
      </c>
      <c r="D4520" s="2" t="s">
        <v>3</v>
      </c>
      <c r="E4520" s="2">
        <v>39284</v>
      </c>
      <c r="F4520" s="2" t="s">
        <v>3</v>
      </c>
      <c r="G4520" s="2" t="s">
        <v>3</v>
      </c>
      <c r="H4520" s="2">
        <v>11838</v>
      </c>
      <c r="I4520" s="2">
        <v>690</v>
      </c>
    </row>
    <row r="4521" spans="1:9" hidden="1" x14ac:dyDescent="0.3">
      <c r="A4521" t="s">
        <v>67</v>
      </c>
      <c r="B4521" s="1">
        <v>44743</v>
      </c>
      <c r="C4521" s="2">
        <v>49478</v>
      </c>
      <c r="D4521" s="2" t="s">
        <v>3</v>
      </c>
      <c r="E4521" s="2">
        <v>38330</v>
      </c>
      <c r="F4521" s="2" t="s">
        <v>3</v>
      </c>
      <c r="G4521" s="2" t="s">
        <v>3</v>
      </c>
      <c r="H4521" s="2">
        <v>11148</v>
      </c>
      <c r="I4521" s="2">
        <v>748</v>
      </c>
    </row>
    <row r="4522" spans="1:9" hidden="1" x14ac:dyDescent="0.3">
      <c r="A4522" t="s">
        <v>67</v>
      </c>
      <c r="B4522" s="1">
        <v>44713</v>
      </c>
      <c r="C4522" s="2">
        <v>45963</v>
      </c>
      <c r="D4522" s="2" t="s">
        <v>3</v>
      </c>
      <c r="E4522" s="2">
        <v>35563</v>
      </c>
      <c r="F4522" s="2" t="s">
        <v>3</v>
      </c>
      <c r="G4522" s="2" t="s">
        <v>3</v>
      </c>
      <c r="H4522" s="2">
        <v>10400</v>
      </c>
      <c r="I4522" s="2">
        <v>-155</v>
      </c>
    </row>
    <row r="4523" spans="1:9" hidden="1" x14ac:dyDescent="0.3">
      <c r="A4523" t="s">
        <v>67</v>
      </c>
      <c r="B4523" s="1">
        <v>44682</v>
      </c>
      <c r="C4523" s="2">
        <v>46326</v>
      </c>
      <c r="D4523" s="2" t="s">
        <v>3</v>
      </c>
      <c r="E4523" s="2">
        <v>35771</v>
      </c>
      <c r="F4523" s="2" t="s">
        <v>3</v>
      </c>
      <c r="G4523" s="2" t="s">
        <v>3</v>
      </c>
      <c r="H4523" s="2">
        <v>10555</v>
      </c>
      <c r="I4523" s="2">
        <v>338</v>
      </c>
    </row>
    <row r="4524" spans="1:9" hidden="1" x14ac:dyDescent="0.3">
      <c r="A4524" t="s">
        <v>67</v>
      </c>
      <c r="B4524" s="1">
        <v>44652</v>
      </c>
      <c r="C4524" s="2">
        <v>46134</v>
      </c>
      <c r="D4524" s="2" t="s">
        <v>3</v>
      </c>
      <c r="E4524" s="2">
        <v>35917</v>
      </c>
      <c r="F4524" s="2" t="s">
        <v>3</v>
      </c>
      <c r="G4524" s="2" t="s">
        <v>3</v>
      </c>
      <c r="H4524" s="2">
        <v>10217</v>
      </c>
      <c r="I4524" s="2">
        <v>-240</v>
      </c>
    </row>
    <row r="4525" spans="1:9" hidden="1" x14ac:dyDescent="0.3">
      <c r="A4525" t="s">
        <v>67</v>
      </c>
      <c r="B4525" s="1">
        <v>44621</v>
      </c>
      <c r="C4525" s="2">
        <v>46815</v>
      </c>
      <c r="D4525" s="2" t="s">
        <v>3</v>
      </c>
      <c r="E4525" s="2">
        <v>36358</v>
      </c>
      <c r="F4525" s="2" t="s">
        <v>3</v>
      </c>
      <c r="G4525" s="2" t="s">
        <v>3</v>
      </c>
      <c r="H4525" s="2">
        <v>10457</v>
      </c>
      <c r="I4525" s="2">
        <v>-2936</v>
      </c>
    </row>
    <row r="4526" spans="1:9" hidden="1" x14ac:dyDescent="0.3">
      <c r="A4526" t="s">
        <v>67</v>
      </c>
      <c r="B4526" s="1">
        <v>44593</v>
      </c>
      <c r="C4526" s="2">
        <v>50571</v>
      </c>
      <c r="D4526" s="2" t="s">
        <v>3</v>
      </c>
      <c r="E4526" s="2">
        <v>37178</v>
      </c>
      <c r="F4526" s="2" t="s">
        <v>3</v>
      </c>
      <c r="G4526" s="2" t="s">
        <v>3</v>
      </c>
      <c r="H4526" s="2">
        <v>13393</v>
      </c>
      <c r="I4526" s="2">
        <v>-40</v>
      </c>
    </row>
    <row r="4527" spans="1:9" hidden="1" x14ac:dyDescent="0.3">
      <c r="A4527" t="s">
        <v>67</v>
      </c>
      <c r="B4527" s="1">
        <v>44562</v>
      </c>
      <c r="C4527" s="2">
        <v>50578</v>
      </c>
      <c r="D4527" s="2" t="s">
        <v>3</v>
      </c>
      <c r="E4527" s="2">
        <v>37145</v>
      </c>
      <c r="F4527" s="2" t="s">
        <v>3</v>
      </c>
      <c r="G4527" s="2" t="s">
        <v>3</v>
      </c>
      <c r="H4527" s="2">
        <v>13433</v>
      </c>
      <c r="I4527" s="2">
        <v>-530</v>
      </c>
    </row>
    <row r="4528" spans="1:9" hidden="1" x14ac:dyDescent="0.3">
      <c r="A4528" t="s">
        <v>67</v>
      </c>
      <c r="B4528" s="1">
        <v>44531</v>
      </c>
      <c r="C4528" s="2">
        <v>46384</v>
      </c>
      <c r="D4528" s="2" t="s">
        <v>3</v>
      </c>
      <c r="E4528" s="2">
        <v>32421</v>
      </c>
      <c r="F4528" s="2" t="s">
        <v>3</v>
      </c>
      <c r="G4528" s="2" t="s">
        <v>3</v>
      </c>
      <c r="H4528" s="2">
        <v>13963</v>
      </c>
      <c r="I4528" s="2">
        <v>1594</v>
      </c>
    </row>
    <row r="4529" spans="1:9" hidden="1" x14ac:dyDescent="0.3">
      <c r="A4529" t="s">
        <v>67</v>
      </c>
      <c r="B4529" s="1">
        <v>44501</v>
      </c>
      <c r="C4529" s="2">
        <v>46277</v>
      </c>
      <c r="D4529" s="2" t="s">
        <v>3</v>
      </c>
      <c r="E4529" s="2">
        <v>33908</v>
      </c>
      <c r="F4529" s="2" t="s">
        <v>3</v>
      </c>
      <c r="G4529" s="2" t="s">
        <v>3</v>
      </c>
      <c r="H4529" s="2">
        <v>12369</v>
      </c>
      <c r="I4529" s="2">
        <v>285</v>
      </c>
    </row>
    <row r="4530" spans="1:9" hidden="1" x14ac:dyDescent="0.3">
      <c r="A4530" t="s">
        <v>67</v>
      </c>
      <c r="B4530" s="1">
        <v>44470</v>
      </c>
      <c r="C4530" s="2">
        <v>45970</v>
      </c>
      <c r="D4530" s="2" t="s">
        <v>3</v>
      </c>
      <c r="E4530" s="2">
        <v>33886</v>
      </c>
      <c r="F4530" s="2" t="s">
        <v>3</v>
      </c>
      <c r="G4530" s="2" t="s">
        <v>3</v>
      </c>
      <c r="H4530" s="2">
        <v>12084</v>
      </c>
      <c r="I4530" s="2">
        <v>53</v>
      </c>
    </row>
    <row r="4531" spans="1:9" hidden="1" x14ac:dyDescent="0.3">
      <c r="A4531" t="s">
        <v>67</v>
      </c>
      <c r="B4531" s="1">
        <v>44440</v>
      </c>
      <c r="C4531" s="2">
        <v>46302</v>
      </c>
      <c r="D4531" s="2" t="s">
        <v>3</v>
      </c>
      <c r="E4531" s="2">
        <v>34271</v>
      </c>
      <c r="F4531" s="2" t="s">
        <v>3</v>
      </c>
      <c r="G4531" s="2" t="s">
        <v>3</v>
      </c>
      <c r="H4531" s="2">
        <v>12031</v>
      </c>
      <c r="I4531" s="2">
        <v>198</v>
      </c>
    </row>
    <row r="4532" spans="1:9" hidden="1" x14ac:dyDescent="0.3">
      <c r="A4532" t="s">
        <v>67</v>
      </c>
      <c r="B4532" s="1">
        <v>44409</v>
      </c>
      <c r="C4532" s="2">
        <v>46826</v>
      </c>
      <c r="D4532" s="2" t="s">
        <v>3</v>
      </c>
      <c r="E4532" s="2">
        <v>34993</v>
      </c>
      <c r="F4532" s="2" t="s">
        <v>3</v>
      </c>
      <c r="G4532" s="2" t="s">
        <v>3</v>
      </c>
      <c r="H4532" s="2">
        <v>11833</v>
      </c>
      <c r="I4532" s="2">
        <v>-8</v>
      </c>
    </row>
    <row r="4533" spans="1:9" hidden="1" x14ac:dyDescent="0.3">
      <c r="A4533" t="s">
        <v>67</v>
      </c>
      <c r="B4533" s="1">
        <v>44378</v>
      </c>
      <c r="C4533" s="2">
        <v>46489</v>
      </c>
      <c r="D4533" s="2" t="s">
        <v>3</v>
      </c>
      <c r="E4533" s="2">
        <v>34648</v>
      </c>
      <c r="F4533" s="2" t="s">
        <v>3</v>
      </c>
      <c r="G4533" s="2" t="s">
        <v>3</v>
      </c>
      <c r="H4533" s="2">
        <v>11841</v>
      </c>
      <c r="I4533" s="2">
        <v>-362</v>
      </c>
    </row>
    <row r="4534" spans="1:9" hidden="1" x14ac:dyDescent="0.3">
      <c r="A4534" t="s">
        <v>67</v>
      </c>
      <c r="B4534" s="1">
        <v>44348</v>
      </c>
      <c r="C4534" s="2">
        <v>47186</v>
      </c>
      <c r="D4534" s="2" t="s">
        <v>3</v>
      </c>
      <c r="E4534" s="2">
        <v>34983</v>
      </c>
      <c r="F4534" s="2" t="s">
        <v>3</v>
      </c>
      <c r="G4534" s="2" t="s">
        <v>3</v>
      </c>
      <c r="H4534" s="2">
        <v>12203</v>
      </c>
      <c r="I4534" s="2">
        <v>406</v>
      </c>
    </row>
    <row r="4535" spans="1:9" hidden="1" x14ac:dyDescent="0.3">
      <c r="A4535" t="s">
        <v>67</v>
      </c>
      <c r="B4535" s="1">
        <v>44317</v>
      </c>
      <c r="C4535" s="2">
        <v>45949</v>
      </c>
      <c r="D4535" s="2" t="s">
        <v>3</v>
      </c>
      <c r="E4535" s="2">
        <v>34152</v>
      </c>
      <c r="F4535" s="2" t="s">
        <v>3</v>
      </c>
      <c r="G4535" s="2" t="s">
        <v>3</v>
      </c>
      <c r="H4535" s="2">
        <v>11797</v>
      </c>
      <c r="I4535" s="2">
        <v>-145</v>
      </c>
    </row>
    <row r="4536" spans="1:9" hidden="1" x14ac:dyDescent="0.3">
      <c r="A4536" t="s">
        <v>67</v>
      </c>
      <c r="B4536" s="1">
        <v>44287</v>
      </c>
      <c r="C4536" s="2">
        <v>45783</v>
      </c>
      <c r="D4536" s="2" t="s">
        <v>3</v>
      </c>
      <c r="E4536" s="2">
        <v>33841</v>
      </c>
      <c r="F4536" s="2" t="s">
        <v>3</v>
      </c>
      <c r="G4536" s="2" t="s">
        <v>3</v>
      </c>
      <c r="H4536" s="2">
        <v>11942</v>
      </c>
      <c r="I4536" s="2">
        <v>-323</v>
      </c>
    </row>
    <row r="4537" spans="1:9" hidden="1" x14ac:dyDescent="0.3">
      <c r="A4537" t="s">
        <v>67</v>
      </c>
      <c r="B4537" s="1">
        <v>44256</v>
      </c>
      <c r="C4537" s="2">
        <v>45700</v>
      </c>
      <c r="D4537" s="2" t="s">
        <v>3</v>
      </c>
      <c r="E4537" s="2">
        <v>33435</v>
      </c>
      <c r="F4537" s="2" t="s">
        <v>3</v>
      </c>
      <c r="G4537" s="2" t="s">
        <v>3</v>
      </c>
      <c r="H4537" s="2">
        <v>12265</v>
      </c>
      <c r="I4537" s="2">
        <v>179</v>
      </c>
    </row>
    <row r="4538" spans="1:9" hidden="1" x14ac:dyDescent="0.3">
      <c r="A4538" t="s">
        <v>67</v>
      </c>
      <c r="B4538" s="1">
        <v>44228</v>
      </c>
      <c r="C4538" s="2">
        <v>44795</v>
      </c>
      <c r="D4538" s="2" t="s">
        <v>3</v>
      </c>
      <c r="E4538" s="2">
        <v>32709</v>
      </c>
      <c r="F4538" s="2" t="s">
        <v>3</v>
      </c>
      <c r="G4538" s="2" t="s">
        <v>3</v>
      </c>
      <c r="H4538" s="2">
        <v>12086</v>
      </c>
      <c r="I4538" s="2">
        <v>-105</v>
      </c>
    </row>
    <row r="4539" spans="1:9" hidden="1" x14ac:dyDescent="0.3">
      <c r="A4539" t="s">
        <v>67</v>
      </c>
      <c r="B4539" s="1">
        <v>44197</v>
      </c>
      <c r="C4539" s="2">
        <v>45324</v>
      </c>
      <c r="D4539" s="2" t="s">
        <v>3</v>
      </c>
      <c r="E4539" s="2">
        <v>33133</v>
      </c>
      <c r="F4539" s="2" t="s">
        <v>3</v>
      </c>
      <c r="G4539" s="2" t="s">
        <v>3</v>
      </c>
      <c r="H4539" s="2">
        <v>12191</v>
      </c>
      <c r="I4539" s="2">
        <v>-1588</v>
      </c>
    </row>
    <row r="4540" spans="1:9" hidden="1" x14ac:dyDescent="0.3">
      <c r="A4540" t="s">
        <v>67</v>
      </c>
      <c r="B4540" s="1">
        <v>44166</v>
      </c>
      <c r="C4540" s="2">
        <v>46588</v>
      </c>
      <c r="D4540" s="2" t="s">
        <v>3</v>
      </c>
      <c r="E4540" s="2">
        <v>32809</v>
      </c>
      <c r="F4540" s="2" t="s">
        <v>3</v>
      </c>
      <c r="G4540" s="2" t="s">
        <v>3</v>
      </c>
      <c r="H4540" s="2">
        <v>13779</v>
      </c>
      <c r="I4540" s="2">
        <v>268</v>
      </c>
    </row>
    <row r="4541" spans="1:9" hidden="1" x14ac:dyDescent="0.3">
      <c r="A4541" t="s">
        <v>67</v>
      </c>
      <c r="B4541" s="1">
        <v>44136</v>
      </c>
      <c r="C4541" s="2">
        <v>46070</v>
      </c>
      <c r="D4541" s="2" t="s">
        <v>3</v>
      </c>
      <c r="E4541" s="2">
        <v>32559</v>
      </c>
      <c r="F4541" s="2" t="s">
        <v>3</v>
      </c>
      <c r="G4541" s="2" t="s">
        <v>3</v>
      </c>
      <c r="H4541" s="2">
        <v>13511</v>
      </c>
      <c r="I4541" s="2">
        <v>-487</v>
      </c>
    </row>
    <row r="4542" spans="1:9" hidden="1" x14ac:dyDescent="0.3">
      <c r="A4542" t="s">
        <v>67</v>
      </c>
      <c r="B4542" s="1">
        <v>44105</v>
      </c>
      <c r="C4542" s="2">
        <v>47125</v>
      </c>
      <c r="D4542" s="2" t="s">
        <v>3</v>
      </c>
      <c r="E4542" s="2">
        <v>33127</v>
      </c>
      <c r="F4542" s="2" t="s">
        <v>3</v>
      </c>
      <c r="G4542" s="2" t="s">
        <v>3</v>
      </c>
      <c r="H4542" s="2">
        <v>13998</v>
      </c>
      <c r="I4542" s="2">
        <v>901</v>
      </c>
    </row>
    <row r="4543" spans="1:9" hidden="1" x14ac:dyDescent="0.3">
      <c r="A4543" t="s">
        <v>67</v>
      </c>
      <c r="B4543" s="1">
        <v>44075</v>
      </c>
      <c r="C4543" s="2">
        <v>46552</v>
      </c>
      <c r="D4543" s="2" t="s">
        <v>3</v>
      </c>
      <c r="E4543" s="2">
        <v>33455</v>
      </c>
      <c r="F4543" s="2" t="s">
        <v>3</v>
      </c>
      <c r="G4543" s="2" t="s">
        <v>3</v>
      </c>
      <c r="H4543" s="2">
        <v>13097</v>
      </c>
      <c r="I4543" s="2">
        <v>332</v>
      </c>
    </row>
    <row r="4544" spans="1:9" hidden="1" x14ac:dyDescent="0.3">
      <c r="A4544" t="s">
        <v>67</v>
      </c>
      <c r="B4544" s="1">
        <v>44044</v>
      </c>
      <c r="C4544" s="2">
        <v>46385</v>
      </c>
      <c r="D4544" s="2" t="s">
        <v>3</v>
      </c>
      <c r="E4544" s="2">
        <v>33620</v>
      </c>
      <c r="F4544" s="2" t="s">
        <v>3</v>
      </c>
      <c r="G4544" s="2" t="s">
        <v>3</v>
      </c>
      <c r="H4544" s="2">
        <v>12765</v>
      </c>
      <c r="I4544" s="2">
        <v>-560</v>
      </c>
    </row>
    <row r="4545" spans="1:9" hidden="1" x14ac:dyDescent="0.3">
      <c r="A4545" t="s">
        <v>67</v>
      </c>
      <c r="B4545" s="1">
        <v>44013</v>
      </c>
      <c r="C4545" s="2">
        <v>47865</v>
      </c>
      <c r="D4545" s="2" t="s">
        <v>3</v>
      </c>
      <c r="E4545" s="2">
        <v>34540</v>
      </c>
      <c r="F4545" s="2" t="s">
        <v>3</v>
      </c>
      <c r="G4545" s="2" t="s">
        <v>3</v>
      </c>
      <c r="H4545" s="2">
        <v>13325</v>
      </c>
      <c r="I4545" s="2">
        <v>3708</v>
      </c>
    </row>
    <row r="4546" spans="1:9" hidden="1" x14ac:dyDescent="0.3">
      <c r="A4546" t="s">
        <v>67</v>
      </c>
      <c r="B4546" s="1">
        <v>43983</v>
      </c>
      <c r="C4546" s="2">
        <v>44724</v>
      </c>
      <c r="D4546" s="2" t="s">
        <v>3</v>
      </c>
      <c r="E4546" s="2">
        <v>35107</v>
      </c>
      <c r="F4546" s="2" t="s">
        <v>3</v>
      </c>
      <c r="G4546" s="2" t="s">
        <v>3</v>
      </c>
      <c r="H4546" s="2">
        <v>9617</v>
      </c>
      <c r="I4546" s="2">
        <v>493</v>
      </c>
    </row>
    <row r="4547" spans="1:9" hidden="1" x14ac:dyDescent="0.3">
      <c r="A4547" t="s">
        <v>67</v>
      </c>
      <c r="B4547" s="1">
        <v>43952</v>
      </c>
      <c r="C4547" s="2">
        <v>43638</v>
      </c>
      <c r="D4547" s="2" t="s">
        <v>3</v>
      </c>
      <c r="E4547" s="2">
        <v>34514</v>
      </c>
      <c r="F4547" s="2" t="s">
        <v>3</v>
      </c>
      <c r="G4547" s="2" t="s">
        <v>3</v>
      </c>
      <c r="H4547" s="2">
        <v>9124</v>
      </c>
      <c r="I4547" s="2">
        <v>950</v>
      </c>
    </row>
    <row r="4548" spans="1:9" hidden="1" x14ac:dyDescent="0.3">
      <c r="A4548" t="s">
        <v>67</v>
      </c>
      <c r="B4548" s="1">
        <v>43922</v>
      </c>
      <c r="C4548" s="2">
        <v>44510</v>
      </c>
      <c r="D4548" s="2" t="s">
        <v>3</v>
      </c>
      <c r="E4548" s="2">
        <v>36336</v>
      </c>
      <c r="F4548" s="2" t="s">
        <v>3</v>
      </c>
      <c r="G4548" s="2" t="s">
        <v>3</v>
      </c>
      <c r="H4548" s="2">
        <v>8174</v>
      </c>
      <c r="I4548" s="2">
        <v>5307</v>
      </c>
    </row>
    <row r="4549" spans="1:9" hidden="1" x14ac:dyDescent="0.3">
      <c r="A4549" t="s">
        <v>67</v>
      </c>
      <c r="B4549" s="1">
        <v>43891</v>
      </c>
      <c r="C4549" s="2">
        <v>40099</v>
      </c>
      <c r="D4549" s="2" t="s">
        <v>3</v>
      </c>
      <c r="E4549" s="2">
        <v>37232</v>
      </c>
      <c r="F4549" s="2" t="s">
        <v>3</v>
      </c>
      <c r="G4549" s="2" t="s">
        <v>3</v>
      </c>
      <c r="H4549" s="2">
        <v>2867</v>
      </c>
      <c r="I4549" s="2">
        <v>-2955</v>
      </c>
    </row>
    <row r="4550" spans="1:9" hidden="1" x14ac:dyDescent="0.3">
      <c r="A4550" t="s">
        <v>67</v>
      </c>
      <c r="B4550" s="1">
        <v>43862</v>
      </c>
      <c r="C4550" s="2">
        <v>43629</v>
      </c>
      <c r="D4550" s="2" t="s">
        <v>3</v>
      </c>
      <c r="E4550" s="2">
        <v>37807</v>
      </c>
      <c r="F4550" s="2" t="s">
        <v>3</v>
      </c>
      <c r="G4550" s="2" t="s">
        <v>3</v>
      </c>
      <c r="H4550" s="2">
        <v>5822</v>
      </c>
      <c r="I4550" s="2">
        <v>-3</v>
      </c>
    </row>
    <row r="4551" spans="1:9" hidden="1" x14ac:dyDescent="0.3">
      <c r="A4551" t="s">
        <v>67</v>
      </c>
      <c r="B4551" s="1">
        <v>43831</v>
      </c>
      <c r="C4551" s="2">
        <v>41940</v>
      </c>
      <c r="D4551" s="2" t="s">
        <v>3</v>
      </c>
      <c r="E4551" s="2">
        <v>36115</v>
      </c>
      <c r="F4551" s="2" t="s">
        <v>3</v>
      </c>
      <c r="G4551" s="2" t="s">
        <v>3</v>
      </c>
      <c r="H4551" s="2">
        <v>5825</v>
      </c>
      <c r="I4551" s="2">
        <v>-601</v>
      </c>
    </row>
    <row r="4552" spans="1:9" x14ac:dyDescent="0.3">
      <c r="A4552" t="s">
        <v>68</v>
      </c>
      <c r="B4552" s="1">
        <v>45931</v>
      </c>
      <c r="C4552" s="2" t="s">
        <v>3</v>
      </c>
      <c r="D4552" s="2" t="s">
        <v>3</v>
      </c>
      <c r="E4552" s="2">
        <v>25</v>
      </c>
      <c r="F4552" s="2">
        <v>1</v>
      </c>
      <c r="G4552" s="2">
        <v>0</v>
      </c>
      <c r="H4552" s="2" t="s">
        <v>3</v>
      </c>
      <c r="I4552" s="2" t="s">
        <v>3</v>
      </c>
    </row>
    <row r="4553" spans="1:9" x14ac:dyDescent="0.3">
      <c r="A4553" t="s">
        <v>68</v>
      </c>
      <c r="B4553" s="1">
        <v>45901</v>
      </c>
      <c r="C4553" s="2" t="s">
        <v>3</v>
      </c>
      <c r="D4553" s="2" t="s">
        <v>3</v>
      </c>
      <c r="E4553" s="2">
        <v>31</v>
      </c>
      <c r="F4553" s="2">
        <v>1</v>
      </c>
      <c r="G4553" s="2">
        <v>-1</v>
      </c>
      <c r="H4553" s="2" t="s">
        <v>3</v>
      </c>
      <c r="I4553" s="2" t="s">
        <v>3</v>
      </c>
    </row>
    <row r="4554" spans="1:9" x14ac:dyDescent="0.3">
      <c r="A4554" t="s">
        <v>68</v>
      </c>
      <c r="B4554" s="1">
        <v>45870</v>
      </c>
      <c r="C4554" s="2" t="s">
        <v>3</v>
      </c>
      <c r="D4554" s="2" t="s">
        <v>3</v>
      </c>
      <c r="E4554" s="2">
        <v>36</v>
      </c>
      <c r="F4554" s="2">
        <v>6</v>
      </c>
      <c r="G4554" s="2">
        <v>0</v>
      </c>
      <c r="H4554" s="2" t="s">
        <v>3</v>
      </c>
      <c r="I4554" s="2" t="s">
        <v>3</v>
      </c>
    </row>
    <row r="4555" spans="1:9" x14ac:dyDescent="0.3">
      <c r="A4555" t="s">
        <v>68</v>
      </c>
      <c r="B4555" s="1">
        <v>45839</v>
      </c>
      <c r="C4555" s="2" t="s">
        <v>3</v>
      </c>
      <c r="D4555" s="2" t="s">
        <v>3</v>
      </c>
      <c r="E4555" s="2">
        <v>30</v>
      </c>
      <c r="F4555" s="2">
        <v>9</v>
      </c>
      <c r="G4555" s="2">
        <v>-1</v>
      </c>
      <c r="H4555" s="2" t="s">
        <v>3</v>
      </c>
      <c r="I4555" s="2" t="s">
        <v>3</v>
      </c>
    </row>
    <row r="4556" spans="1:9" x14ac:dyDescent="0.3">
      <c r="A4556" t="s">
        <v>68</v>
      </c>
      <c r="B4556" s="1">
        <v>45809</v>
      </c>
      <c r="C4556" s="2" t="s">
        <v>3</v>
      </c>
      <c r="D4556" s="2" t="s">
        <v>3</v>
      </c>
      <c r="E4556" s="2">
        <v>25</v>
      </c>
      <c r="F4556" s="2">
        <v>0</v>
      </c>
      <c r="G4556" s="2">
        <v>-1</v>
      </c>
      <c r="H4556" s="2" t="s">
        <v>3</v>
      </c>
      <c r="I4556" s="2" t="s">
        <v>3</v>
      </c>
    </row>
    <row r="4557" spans="1:9" x14ac:dyDescent="0.3">
      <c r="A4557" t="s">
        <v>68</v>
      </c>
      <c r="B4557" s="1">
        <v>45778</v>
      </c>
      <c r="C4557" s="2" t="s">
        <v>3</v>
      </c>
      <c r="D4557" s="2" t="s">
        <v>3</v>
      </c>
      <c r="E4557" s="2">
        <v>26</v>
      </c>
      <c r="F4557" s="2">
        <v>4</v>
      </c>
      <c r="G4557" s="2">
        <v>-3</v>
      </c>
      <c r="H4557" s="2" t="s">
        <v>3</v>
      </c>
      <c r="I4557" s="2" t="s">
        <v>3</v>
      </c>
    </row>
    <row r="4558" spans="1:9" x14ac:dyDescent="0.3">
      <c r="A4558" t="s">
        <v>68</v>
      </c>
      <c r="B4558" s="1">
        <v>45748</v>
      </c>
      <c r="C4558" s="2" t="s">
        <v>3</v>
      </c>
      <c r="D4558" s="2" t="s">
        <v>3</v>
      </c>
      <c r="E4558" s="2">
        <v>23</v>
      </c>
      <c r="F4558" s="2">
        <v>2</v>
      </c>
      <c r="G4558" s="2">
        <v>-2</v>
      </c>
      <c r="H4558" s="2" t="s">
        <v>3</v>
      </c>
      <c r="I4558" s="2" t="s">
        <v>3</v>
      </c>
    </row>
    <row r="4559" spans="1:9" x14ac:dyDescent="0.3">
      <c r="A4559" t="s">
        <v>68</v>
      </c>
      <c r="B4559" s="1">
        <v>45717</v>
      </c>
      <c r="C4559" s="2" t="s">
        <v>3</v>
      </c>
      <c r="D4559" s="2" t="s">
        <v>3</v>
      </c>
      <c r="E4559" s="2">
        <v>23</v>
      </c>
      <c r="F4559" s="2">
        <v>3</v>
      </c>
      <c r="G4559" s="2">
        <v>0</v>
      </c>
      <c r="H4559" s="2" t="s">
        <v>3</v>
      </c>
      <c r="I4559" s="2" t="s">
        <v>3</v>
      </c>
    </row>
    <row r="4560" spans="1:9" x14ac:dyDescent="0.3">
      <c r="A4560" t="s">
        <v>68</v>
      </c>
      <c r="B4560" s="1">
        <v>45689</v>
      </c>
      <c r="C4560" s="2" t="s">
        <v>3</v>
      </c>
      <c r="D4560" s="2" t="s">
        <v>3</v>
      </c>
      <c r="E4560" s="2">
        <v>21</v>
      </c>
      <c r="F4560" s="2">
        <v>3</v>
      </c>
      <c r="G4560" s="2">
        <v>0</v>
      </c>
      <c r="H4560" s="2" t="s">
        <v>3</v>
      </c>
      <c r="I4560" s="2" t="s">
        <v>3</v>
      </c>
    </row>
    <row r="4561" spans="1:9" x14ac:dyDescent="0.3">
      <c r="A4561" t="s">
        <v>68</v>
      </c>
      <c r="B4561" s="1">
        <v>45658</v>
      </c>
      <c r="C4561" s="2" t="s">
        <v>3</v>
      </c>
      <c r="D4561" s="2" t="s">
        <v>3</v>
      </c>
      <c r="E4561" s="2">
        <v>18</v>
      </c>
      <c r="F4561" s="2">
        <v>-1</v>
      </c>
      <c r="G4561" s="2">
        <v>0</v>
      </c>
      <c r="H4561" s="2" t="s">
        <v>3</v>
      </c>
      <c r="I4561" s="2" t="s">
        <v>3</v>
      </c>
    </row>
    <row r="4562" spans="1:9" x14ac:dyDescent="0.3">
      <c r="A4562" t="s">
        <v>68</v>
      </c>
      <c r="B4562" s="1">
        <v>45627</v>
      </c>
      <c r="C4562" s="2" t="s">
        <v>3</v>
      </c>
      <c r="D4562" s="2" t="s">
        <v>3</v>
      </c>
      <c r="E4562" s="2">
        <v>24</v>
      </c>
      <c r="F4562" s="2">
        <v>-2</v>
      </c>
      <c r="G4562" s="2">
        <v>0</v>
      </c>
      <c r="H4562" s="2" t="s">
        <v>3</v>
      </c>
      <c r="I4562" s="2" t="s">
        <v>3</v>
      </c>
    </row>
    <row r="4563" spans="1:9" x14ac:dyDescent="0.3">
      <c r="A4563" t="s">
        <v>68</v>
      </c>
      <c r="B4563" s="1">
        <v>45597</v>
      </c>
      <c r="C4563" s="2" t="s">
        <v>3</v>
      </c>
      <c r="D4563" s="2" t="s">
        <v>3</v>
      </c>
      <c r="E4563" s="2">
        <v>28</v>
      </c>
      <c r="F4563" s="2">
        <v>-1</v>
      </c>
      <c r="G4563" s="2">
        <v>1</v>
      </c>
      <c r="H4563" s="2" t="s">
        <v>3</v>
      </c>
      <c r="I4563" s="2" t="s">
        <v>3</v>
      </c>
    </row>
    <row r="4564" spans="1:9" x14ac:dyDescent="0.3">
      <c r="A4564" t="s">
        <v>68</v>
      </c>
      <c r="B4564" s="1">
        <v>45566</v>
      </c>
      <c r="C4564" s="2" t="s">
        <v>3</v>
      </c>
      <c r="D4564" s="2" t="s">
        <v>3</v>
      </c>
      <c r="E4564" s="2">
        <v>28</v>
      </c>
      <c r="F4564" s="2">
        <v>3</v>
      </c>
      <c r="G4564" s="2">
        <v>0</v>
      </c>
      <c r="H4564" s="2" t="s">
        <v>3</v>
      </c>
      <c r="I4564" s="2" t="s">
        <v>3</v>
      </c>
    </row>
    <row r="4565" spans="1:9" x14ac:dyDescent="0.3">
      <c r="A4565" t="s">
        <v>68</v>
      </c>
      <c r="B4565" s="1">
        <v>45536</v>
      </c>
      <c r="C4565" s="2" t="s">
        <v>3</v>
      </c>
      <c r="D4565" s="2" t="s">
        <v>3</v>
      </c>
      <c r="E4565" s="2">
        <v>25</v>
      </c>
      <c r="F4565" s="2">
        <v>0</v>
      </c>
      <c r="G4565" s="2">
        <v>-1</v>
      </c>
      <c r="H4565" s="2" t="s">
        <v>3</v>
      </c>
      <c r="I4565" s="2" t="s">
        <v>3</v>
      </c>
    </row>
    <row r="4566" spans="1:9" x14ac:dyDescent="0.3">
      <c r="A4566" t="s">
        <v>68</v>
      </c>
      <c r="B4566" s="1">
        <v>45505</v>
      </c>
      <c r="C4566" s="2" t="s">
        <v>3</v>
      </c>
      <c r="D4566" s="2" t="s">
        <v>3</v>
      </c>
      <c r="E4566" s="2">
        <v>23</v>
      </c>
      <c r="F4566" s="2">
        <v>1</v>
      </c>
      <c r="G4566" s="2">
        <v>0</v>
      </c>
      <c r="H4566" s="2" t="s">
        <v>3</v>
      </c>
      <c r="I4566" s="2" t="s">
        <v>3</v>
      </c>
    </row>
    <row r="4567" spans="1:9" x14ac:dyDescent="0.3">
      <c r="A4567" t="s">
        <v>68</v>
      </c>
      <c r="B4567" s="1">
        <v>45474</v>
      </c>
      <c r="C4567" s="2" t="s">
        <v>3</v>
      </c>
      <c r="D4567" s="2" t="s">
        <v>3</v>
      </c>
      <c r="E4567" s="2">
        <v>24</v>
      </c>
      <c r="F4567" s="2">
        <v>1</v>
      </c>
      <c r="G4567" s="2">
        <v>0</v>
      </c>
      <c r="H4567" s="2" t="s">
        <v>3</v>
      </c>
      <c r="I4567" s="2" t="s">
        <v>3</v>
      </c>
    </row>
    <row r="4568" spans="1:9" x14ac:dyDescent="0.3">
      <c r="A4568" t="s">
        <v>68</v>
      </c>
      <c r="B4568" s="1">
        <v>45444</v>
      </c>
      <c r="C4568" s="2" t="s">
        <v>3</v>
      </c>
      <c r="D4568" s="2" t="s">
        <v>3</v>
      </c>
      <c r="E4568" s="2">
        <v>23</v>
      </c>
      <c r="F4568" s="2">
        <v>2</v>
      </c>
      <c r="G4568" s="2">
        <v>0</v>
      </c>
      <c r="H4568" s="2" t="s">
        <v>3</v>
      </c>
      <c r="I4568" s="2" t="s">
        <v>3</v>
      </c>
    </row>
    <row r="4569" spans="1:9" x14ac:dyDescent="0.3">
      <c r="A4569" t="s">
        <v>68</v>
      </c>
      <c r="B4569" s="1">
        <v>45413</v>
      </c>
      <c r="C4569" s="2" t="s">
        <v>3</v>
      </c>
      <c r="D4569" s="2" t="s">
        <v>3</v>
      </c>
      <c r="E4569" s="2">
        <v>21</v>
      </c>
      <c r="F4569" s="2">
        <v>5</v>
      </c>
      <c r="G4569" s="2">
        <v>0</v>
      </c>
      <c r="H4569" s="2" t="s">
        <v>3</v>
      </c>
      <c r="I4569" s="2" t="s">
        <v>3</v>
      </c>
    </row>
    <row r="4570" spans="1:9" x14ac:dyDescent="0.3">
      <c r="A4570" t="s">
        <v>68</v>
      </c>
      <c r="B4570" s="1">
        <v>45383</v>
      </c>
      <c r="C4570" s="2" t="s">
        <v>3</v>
      </c>
      <c r="D4570" s="2" t="s">
        <v>3</v>
      </c>
      <c r="E4570" s="2">
        <v>20</v>
      </c>
      <c r="F4570" s="2">
        <v>0</v>
      </c>
      <c r="G4570" s="2">
        <v>0</v>
      </c>
      <c r="H4570" s="2" t="s">
        <v>3</v>
      </c>
      <c r="I4570" s="2" t="s">
        <v>3</v>
      </c>
    </row>
    <row r="4571" spans="1:9" x14ac:dyDescent="0.3">
      <c r="A4571" t="s">
        <v>68</v>
      </c>
      <c r="B4571" s="1">
        <v>45352</v>
      </c>
      <c r="C4571" s="2" t="s">
        <v>3</v>
      </c>
      <c r="D4571" s="2" t="s">
        <v>3</v>
      </c>
      <c r="E4571" s="2">
        <v>17</v>
      </c>
      <c r="F4571" s="2">
        <v>-1</v>
      </c>
      <c r="G4571" s="2">
        <v>0</v>
      </c>
      <c r="H4571" s="2" t="s">
        <v>3</v>
      </c>
      <c r="I4571" s="2" t="s">
        <v>3</v>
      </c>
    </row>
    <row r="4572" spans="1:9" x14ac:dyDescent="0.3">
      <c r="A4572" t="s">
        <v>68</v>
      </c>
      <c r="B4572" s="1">
        <v>45323</v>
      </c>
      <c r="C4572" s="2" t="s">
        <v>3</v>
      </c>
      <c r="D4572" s="2" t="s">
        <v>3</v>
      </c>
      <c r="E4572" s="2">
        <v>17</v>
      </c>
      <c r="F4572" s="2">
        <v>5</v>
      </c>
      <c r="G4572" s="2">
        <v>0</v>
      </c>
      <c r="H4572" s="2" t="s">
        <v>3</v>
      </c>
      <c r="I4572" s="2" t="s">
        <v>3</v>
      </c>
    </row>
    <row r="4573" spans="1:9" x14ac:dyDescent="0.3">
      <c r="A4573" t="s">
        <v>68</v>
      </c>
      <c r="B4573" s="1">
        <v>45292</v>
      </c>
      <c r="C4573" s="2" t="s">
        <v>3</v>
      </c>
      <c r="D4573" s="2" t="s">
        <v>3</v>
      </c>
      <c r="E4573" s="2">
        <v>12</v>
      </c>
      <c r="F4573" s="2">
        <v>2</v>
      </c>
      <c r="G4573" s="2">
        <v>0</v>
      </c>
      <c r="H4573" s="2" t="s">
        <v>3</v>
      </c>
      <c r="I4573" s="2" t="s">
        <v>3</v>
      </c>
    </row>
    <row r="4574" spans="1:9" x14ac:dyDescent="0.3">
      <c r="A4574" t="s">
        <v>68</v>
      </c>
      <c r="B4574" s="1">
        <v>45261</v>
      </c>
      <c r="C4574" s="2" t="s">
        <v>3</v>
      </c>
      <c r="D4574" s="2" t="s">
        <v>3</v>
      </c>
      <c r="E4574" s="2">
        <v>15</v>
      </c>
      <c r="F4574" s="2">
        <v>-2</v>
      </c>
      <c r="G4574" s="2">
        <v>2</v>
      </c>
      <c r="H4574" s="2" t="s">
        <v>3</v>
      </c>
      <c r="I4574" s="2" t="s">
        <v>3</v>
      </c>
    </row>
    <row r="4575" spans="1:9" x14ac:dyDescent="0.3">
      <c r="A4575" t="s">
        <v>68</v>
      </c>
      <c r="B4575" s="1">
        <v>45231</v>
      </c>
      <c r="C4575" s="2" t="s">
        <v>3</v>
      </c>
      <c r="D4575" s="2" t="s">
        <v>3</v>
      </c>
      <c r="E4575" s="2">
        <v>9</v>
      </c>
      <c r="F4575" s="2">
        <v>0</v>
      </c>
      <c r="G4575" s="2">
        <v>0</v>
      </c>
      <c r="H4575" s="2" t="s">
        <v>3</v>
      </c>
      <c r="I4575" s="2" t="s">
        <v>3</v>
      </c>
    </row>
    <row r="4576" spans="1:9" x14ac:dyDescent="0.3">
      <c r="A4576" t="s">
        <v>68</v>
      </c>
      <c r="B4576" s="1">
        <v>45200</v>
      </c>
      <c r="C4576" s="2" t="s">
        <v>3</v>
      </c>
      <c r="D4576" s="2" t="s">
        <v>3</v>
      </c>
      <c r="E4576" s="2">
        <v>10</v>
      </c>
      <c r="F4576" s="2">
        <v>0</v>
      </c>
      <c r="G4576" s="2">
        <v>0</v>
      </c>
      <c r="H4576" s="2" t="s">
        <v>3</v>
      </c>
      <c r="I4576" s="2" t="s">
        <v>3</v>
      </c>
    </row>
    <row r="4577" spans="1:9" x14ac:dyDescent="0.3">
      <c r="A4577" t="s">
        <v>68</v>
      </c>
      <c r="B4577" s="1">
        <v>45170</v>
      </c>
      <c r="C4577" s="2" t="s">
        <v>3</v>
      </c>
      <c r="D4577" s="2" t="s">
        <v>3</v>
      </c>
      <c r="E4577" s="2">
        <v>10</v>
      </c>
      <c r="F4577" s="2">
        <v>-7</v>
      </c>
      <c r="G4577" s="2">
        <v>0</v>
      </c>
      <c r="H4577" s="2" t="s">
        <v>3</v>
      </c>
      <c r="I4577" s="2" t="s">
        <v>3</v>
      </c>
    </row>
    <row r="4578" spans="1:9" x14ac:dyDescent="0.3">
      <c r="A4578" t="s">
        <v>68</v>
      </c>
      <c r="B4578" s="1">
        <v>45139</v>
      </c>
      <c r="C4578" s="2" t="s">
        <v>3</v>
      </c>
      <c r="D4578" s="2" t="s">
        <v>3</v>
      </c>
      <c r="E4578" s="2">
        <v>16</v>
      </c>
      <c r="F4578" s="2">
        <v>1</v>
      </c>
      <c r="G4578" s="2">
        <v>0</v>
      </c>
      <c r="H4578" s="2" t="s">
        <v>3</v>
      </c>
      <c r="I4578" s="2" t="s">
        <v>3</v>
      </c>
    </row>
    <row r="4579" spans="1:9" x14ac:dyDescent="0.3">
      <c r="A4579" t="s">
        <v>68</v>
      </c>
      <c r="B4579" s="1">
        <v>45108</v>
      </c>
      <c r="C4579" s="2" t="s">
        <v>3</v>
      </c>
      <c r="D4579" s="2" t="s">
        <v>3</v>
      </c>
      <c r="E4579" s="2">
        <v>15</v>
      </c>
      <c r="F4579" s="2">
        <v>-1</v>
      </c>
      <c r="G4579" s="2">
        <v>0</v>
      </c>
      <c r="H4579" s="2" t="s">
        <v>3</v>
      </c>
      <c r="I4579" s="2" t="s">
        <v>3</v>
      </c>
    </row>
    <row r="4580" spans="1:9" x14ac:dyDescent="0.3">
      <c r="A4580" t="s">
        <v>68</v>
      </c>
      <c r="B4580" s="1">
        <v>45078</v>
      </c>
      <c r="C4580" s="2" t="s">
        <v>3</v>
      </c>
      <c r="D4580" s="2" t="s">
        <v>3</v>
      </c>
      <c r="E4580" s="2">
        <v>16</v>
      </c>
      <c r="F4580" s="2">
        <v>0</v>
      </c>
      <c r="G4580" s="2">
        <v>0</v>
      </c>
      <c r="H4580" s="2" t="s">
        <v>3</v>
      </c>
      <c r="I4580" s="2" t="s">
        <v>3</v>
      </c>
    </row>
    <row r="4581" spans="1:9" x14ac:dyDescent="0.3">
      <c r="A4581" t="s">
        <v>68</v>
      </c>
      <c r="B4581" s="1">
        <v>45047</v>
      </c>
      <c r="C4581" s="2" t="s">
        <v>3</v>
      </c>
      <c r="D4581" s="2" t="s">
        <v>3</v>
      </c>
      <c r="E4581" s="2">
        <v>16</v>
      </c>
      <c r="F4581" s="2">
        <v>1</v>
      </c>
      <c r="G4581" s="2">
        <v>0</v>
      </c>
      <c r="H4581" s="2" t="s">
        <v>3</v>
      </c>
      <c r="I4581" s="2" t="s">
        <v>3</v>
      </c>
    </row>
    <row r="4582" spans="1:9" x14ac:dyDescent="0.3">
      <c r="A4582" t="s">
        <v>68</v>
      </c>
      <c r="B4582" s="1">
        <v>45017</v>
      </c>
      <c r="C4582" s="2" t="s">
        <v>3</v>
      </c>
      <c r="D4582" s="2" t="s">
        <v>3</v>
      </c>
      <c r="E4582" s="2">
        <v>15</v>
      </c>
      <c r="F4582" s="2">
        <v>0</v>
      </c>
      <c r="G4582" s="2">
        <v>0</v>
      </c>
      <c r="H4582" s="2" t="s">
        <v>3</v>
      </c>
      <c r="I4582" s="2" t="s">
        <v>3</v>
      </c>
    </row>
    <row r="4583" spans="1:9" x14ac:dyDescent="0.3">
      <c r="A4583" t="s">
        <v>68</v>
      </c>
      <c r="B4583" s="1">
        <v>44986</v>
      </c>
      <c r="C4583" s="2" t="s">
        <v>3</v>
      </c>
      <c r="D4583" s="2" t="s">
        <v>3</v>
      </c>
      <c r="E4583" s="2">
        <v>14</v>
      </c>
      <c r="F4583" s="2">
        <v>0</v>
      </c>
      <c r="G4583" s="2">
        <v>0</v>
      </c>
      <c r="H4583" s="2" t="s">
        <v>3</v>
      </c>
      <c r="I4583" s="2" t="s">
        <v>3</v>
      </c>
    </row>
    <row r="4584" spans="1:9" x14ac:dyDescent="0.3">
      <c r="A4584" t="s">
        <v>68</v>
      </c>
      <c r="B4584" s="1">
        <v>44958</v>
      </c>
      <c r="C4584" s="2" t="s">
        <v>3</v>
      </c>
      <c r="D4584" s="2" t="s">
        <v>3</v>
      </c>
      <c r="E4584" s="2">
        <v>13</v>
      </c>
      <c r="F4584" s="2">
        <v>5</v>
      </c>
      <c r="G4584" s="2">
        <v>0</v>
      </c>
      <c r="H4584" s="2" t="s">
        <v>3</v>
      </c>
      <c r="I4584" s="2" t="s">
        <v>3</v>
      </c>
    </row>
    <row r="4585" spans="1:9" hidden="1" x14ac:dyDescent="0.3">
      <c r="A4585" t="s">
        <v>68</v>
      </c>
      <c r="B4585" s="1">
        <v>44927</v>
      </c>
      <c r="C4585" s="2" t="s">
        <v>3</v>
      </c>
      <c r="D4585" s="2" t="s">
        <v>3</v>
      </c>
      <c r="E4585" s="2">
        <v>8</v>
      </c>
      <c r="F4585" s="2" t="s">
        <v>3</v>
      </c>
      <c r="G4585" s="2" t="s">
        <v>3</v>
      </c>
      <c r="H4585" s="2" t="s">
        <v>3</v>
      </c>
      <c r="I4585" s="2" t="s">
        <v>3</v>
      </c>
    </row>
    <row r="4586" spans="1:9" hidden="1" x14ac:dyDescent="0.3">
      <c r="A4586" t="s">
        <v>68</v>
      </c>
      <c r="B4586" s="1">
        <v>44896</v>
      </c>
      <c r="C4586" s="2" t="s">
        <v>3</v>
      </c>
      <c r="D4586" s="2" t="s">
        <v>3</v>
      </c>
      <c r="E4586" s="2">
        <v>7</v>
      </c>
      <c r="F4586" s="2" t="s">
        <v>3</v>
      </c>
      <c r="G4586" s="2" t="s">
        <v>3</v>
      </c>
      <c r="H4586" s="2" t="s">
        <v>3</v>
      </c>
      <c r="I4586" s="2" t="s">
        <v>3</v>
      </c>
    </row>
    <row r="4587" spans="1:9" hidden="1" x14ac:dyDescent="0.3">
      <c r="A4587" t="s">
        <v>68</v>
      </c>
      <c r="B4587" s="1">
        <v>44866</v>
      </c>
      <c r="C4587" s="2" t="s">
        <v>3</v>
      </c>
      <c r="D4587" s="2" t="s">
        <v>3</v>
      </c>
      <c r="E4587" s="2">
        <v>8</v>
      </c>
      <c r="F4587" s="2" t="s">
        <v>3</v>
      </c>
      <c r="G4587" s="2" t="s">
        <v>3</v>
      </c>
      <c r="H4587" s="2" t="s">
        <v>3</v>
      </c>
      <c r="I4587" s="2" t="s">
        <v>3</v>
      </c>
    </row>
    <row r="4588" spans="1:9" hidden="1" x14ac:dyDescent="0.3">
      <c r="A4588" t="s">
        <v>68</v>
      </c>
      <c r="B4588" s="1">
        <v>44835</v>
      </c>
      <c r="C4588" s="2" t="s">
        <v>3</v>
      </c>
      <c r="D4588" s="2" t="s">
        <v>3</v>
      </c>
      <c r="E4588" s="2">
        <v>9</v>
      </c>
      <c r="F4588" s="2" t="s">
        <v>3</v>
      </c>
      <c r="G4588" s="2" t="s">
        <v>3</v>
      </c>
      <c r="H4588" s="2" t="s">
        <v>3</v>
      </c>
      <c r="I4588" s="2" t="s">
        <v>3</v>
      </c>
    </row>
    <row r="4589" spans="1:9" hidden="1" x14ac:dyDescent="0.3">
      <c r="A4589" t="s">
        <v>68</v>
      </c>
      <c r="B4589" s="1">
        <v>44805</v>
      </c>
      <c r="C4589" s="2" t="s">
        <v>3</v>
      </c>
      <c r="D4589" s="2" t="s">
        <v>3</v>
      </c>
      <c r="E4589" s="2">
        <v>9</v>
      </c>
      <c r="F4589" s="2" t="s">
        <v>3</v>
      </c>
      <c r="G4589" s="2" t="s">
        <v>3</v>
      </c>
      <c r="H4589" s="2" t="s">
        <v>3</v>
      </c>
      <c r="I4589" s="2" t="s">
        <v>3</v>
      </c>
    </row>
    <row r="4590" spans="1:9" hidden="1" x14ac:dyDescent="0.3">
      <c r="A4590" t="s">
        <v>68</v>
      </c>
      <c r="B4590" s="1">
        <v>44774</v>
      </c>
      <c r="C4590" s="2" t="s">
        <v>3</v>
      </c>
      <c r="D4590" s="2" t="s">
        <v>3</v>
      </c>
      <c r="E4590" s="2">
        <v>9</v>
      </c>
      <c r="F4590" s="2" t="s">
        <v>3</v>
      </c>
      <c r="G4590" s="2" t="s">
        <v>3</v>
      </c>
      <c r="H4590" s="2" t="s">
        <v>3</v>
      </c>
      <c r="I4590" s="2" t="s">
        <v>3</v>
      </c>
    </row>
    <row r="4591" spans="1:9" hidden="1" x14ac:dyDescent="0.3">
      <c r="A4591" t="s">
        <v>68</v>
      </c>
      <c r="B4591" s="1">
        <v>44743</v>
      </c>
      <c r="C4591" s="2" t="s">
        <v>3</v>
      </c>
      <c r="D4591" s="2" t="s">
        <v>3</v>
      </c>
      <c r="E4591" s="2">
        <v>8</v>
      </c>
      <c r="F4591" s="2" t="s">
        <v>3</v>
      </c>
      <c r="G4591" s="2" t="s">
        <v>3</v>
      </c>
      <c r="H4591" s="2" t="s">
        <v>3</v>
      </c>
      <c r="I4591" s="2" t="s">
        <v>3</v>
      </c>
    </row>
    <row r="4592" spans="1:9" hidden="1" x14ac:dyDescent="0.3">
      <c r="A4592" t="s">
        <v>68</v>
      </c>
      <c r="B4592" s="1">
        <v>44713</v>
      </c>
      <c r="C4592" s="2" t="s">
        <v>3</v>
      </c>
      <c r="D4592" s="2" t="s">
        <v>3</v>
      </c>
      <c r="E4592" s="2">
        <v>8</v>
      </c>
      <c r="F4592" s="2" t="s">
        <v>3</v>
      </c>
      <c r="G4592" s="2" t="s">
        <v>3</v>
      </c>
      <c r="H4592" s="2" t="s">
        <v>3</v>
      </c>
      <c r="I4592" s="2" t="s">
        <v>3</v>
      </c>
    </row>
    <row r="4593" spans="1:9" hidden="1" x14ac:dyDescent="0.3">
      <c r="A4593" t="s">
        <v>68</v>
      </c>
      <c r="B4593" s="1">
        <v>44682</v>
      </c>
      <c r="C4593" s="2" t="s">
        <v>3</v>
      </c>
      <c r="D4593" s="2" t="s">
        <v>3</v>
      </c>
      <c r="E4593" s="2">
        <v>0</v>
      </c>
      <c r="F4593" s="2" t="s">
        <v>3</v>
      </c>
      <c r="G4593" s="2" t="s">
        <v>3</v>
      </c>
      <c r="H4593" s="2" t="s">
        <v>3</v>
      </c>
      <c r="I4593" s="2" t="s">
        <v>3</v>
      </c>
    </row>
    <row r="4594" spans="1:9" hidden="1" x14ac:dyDescent="0.3">
      <c r="A4594" t="s">
        <v>68</v>
      </c>
      <c r="B4594" s="1">
        <v>44652</v>
      </c>
      <c r="C4594" s="2" t="s">
        <v>3</v>
      </c>
      <c r="D4594" s="2" t="s">
        <v>3</v>
      </c>
      <c r="E4594" s="2">
        <v>0</v>
      </c>
      <c r="F4594" s="2" t="s">
        <v>3</v>
      </c>
      <c r="G4594" s="2" t="s">
        <v>3</v>
      </c>
      <c r="H4594" s="2" t="s">
        <v>3</v>
      </c>
      <c r="I4594" s="2" t="s">
        <v>3</v>
      </c>
    </row>
    <row r="4595" spans="1:9" hidden="1" x14ac:dyDescent="0.3">
      <c r="A4595" t="s">
        <v>68</v>
      </c>
      <c r="B4595" s="1">
        <v>44621</v>
      </c>
      <c r="C4595" s="2" t="s">
        <v>3</v>
      </c>
      <c r="D4595" s="2" t="s">
        <v>3</v>
      </c>
      <c r="E4595" s="2">
        <v>0</v>
      </c>
      <c r="F4595" s="2" t="s">
        <v>3</v>
      </c>
      <c r="G4595" s="2" t="s">
        <v>3</v>
      </c>
      <c r="H4595" s="2" t="s">
        <v>3</v>
      </c>
      <c r="I4595" s="2" t="s">
        <v>3</v>
      </c>
    </row>
    <row r="4596" spans="1:9" hidden="1" x14ac:dyDescent="0.3">
      <c r="A4596" t="s">
        <v>68</v>
      </c>
      <c r="B4596" s="1">
        <v>44593</v>
      </c>
      <c r="C4596" s="2" t="s">
        <v>3</v>
      </c>
      <c r="D4596" s="2" t="s">
        <v>3</v>
      </c>
      <c r="E4596" s="2">
        <v>0</v>
      </c>
      <c r="F4596" s="2" t="s">
        <v>3</v>
      </c>
      <c r="G4596" s="2" t="s">
        <v>3</v>
      </c>
      <c r="H4596" s="2" t="s">
        <v>3</v>
      </c>
      <c r="I4596" s="2" t="s">
        <v>3</v>
      </c>
    </row>
    <row r="4597" spans="1:9" hidden="1" x14ac:dyDescent="0.3">
      <c r="A4597" t="s">
        <v>68</v>
      </c>
      <c r="B4597" s="1">
        <v>44562</v>
      </c>
      <c r="C4597" s="2" t="s">
        <v>3</v>
      </c>
      <c r="D4597" s="2" t="s">
        <v>3</v>
      </c>
      <c r="E4597" s="2">
        <v>0</v>
      </c>
      <c r="F4597" s="2" t="s">
        <v>3</v>
      </c>
      <c r="G4597" s="2" t="s">
        <v>3</v>
      </c>
      <c r="H4597" s="2" t="s">
        <v>3</v>
      </c>
      <c r="I4597" s="2" t="s">
        <v>3</v>
      </c>
    </row>
    <row r="4598" spans="1:9" hidden="1" x14ac:dyDescent="0.3">
      <c r="A4598" t="s">
        <v>68</v>
      </c>
      <c r="B4598" s="1">
        <v>44531</v>
      </c>
      <c r="C4598" s="2" t="s">
        <v>3</v>
      </c>
      <c r="D4598" s="2" t="s">
        <v>3</v>
      </c>
      <c r="E4598" s="2">
        <v>0</v>
      </c>
      <c r="F4598" s="2" t="s">
        <v>3</v>
      </c>
      <c r="G4598" s="2" t="s">
        <v>3</v>
      </c>
      <c r="H4598" s="2" t="s">
        <v>3</v>
      </c>
      <c r="I4598" s="2" t="s">
        <v>3</v>
      </c>
    </row>
    <row r="4599" spans="1:9" hidden="1" x14ac:dyDescent="0.3">
      <c r="A4599" t="s">
        <v>68</v>
      </c>
      <c r="B4599" s="1">
        <v>44501</v>
      </c>
      <c r="C4599" s="2" t="s">
        <v>3</v>
      </c>
      <c r="D4599" s="2" t="s">
        <v>3</v>
      </c>
      <c r="E4599" s="2">
        <v>1</v>
      </c>
      <c r="F4599" s="2" t="s">
        <v>3</v>
      </c>
      <c r="G4599" s="2" t="s">
        <v>3</v>
      </c>
      <c r="H4599" s="2" t="s">
        <v>3</v>
      </c>
      <c r="I4599" s="2" t="s">
        <v>3</v>
      </c>
    </row>
    <row r="4600" spans="1:9" hidden="1" x14ac:dyDescent="0.3">
      <c r="A4600" t="s">
        <v>68</v>
      </c>
      <c r="B4600" s="1">
        <v>44470</v>
      </c>
      <c r="C4600" s="2" t="s">
        <v>3</v>
      </c>
      <c r="D4600" s="2" t="s">
        <v>3</v>
      </c>
      <c r="E4600" s="2">
        <v>1</v>
      </c>
      <c r="F4600" s="2" t="s">
        <v>3</v>
      </c>
      <c r="G4600" s="2" t="s">
        <v>3</v>
      </c>
      <c r="H4600" s="2" t="s">
        <v>3</v>
      </c>
      <c r="I4600" s="2" t="s">
        <v>3</v>
      </c>
    </row>
    <row r="4601" spans="1:9" hidden="1" x14ac:dyDescent="0.3">
      <c r="A4601" t="s">
        <v>68</v>
      </c>
      <c r="B4601" s="1">
        <v>44440</v>
      </c>
      <c r="C4601" s="2" t="s">
        <v>3</v>
      </c>
      <c r="D4601" s="2" t="s">
        <v>3</v>
      </c>
      <c r="E4601" s="2">
        <v>1</v>
      </c>
      <c r="F4601" s="2" t="s">
        <v>3</v>
      </c>
      <c r="G4601" s="2" t="s">
        <v>3</v>
      </c>
      <c r="H4601" s="2" t="s">
        <v>3</v>
      </c>
      <c r="I4601" s="2" t="s">
        <v>3</v>
      </c>
    </row>
    <row r="4602" spans="1:9" hidden="1" x14ac:dyDescent="0.3">
      <c r="A4602" t="s">
        <v>68</v>
      </c>
      <c r="B4602" s="1">
        <v>44409</v>
      </c>
      <c r="C4602" s="2" t="s">
        <v>3</v>
      </c>
      <c r="D4602" s="2" t="s">
        <v>3</v>
      </c>
      <c r="E4602" s="2">
        <v>1</v>
      </c>
      <c r="F4602" s="2" t="s">
        <v>3</v>
      </c>
      <c r="G4602" s="2" t="s">
        <v>3</v>
      </c>
      <c r="H4602" s="2" t="s">
        <v>3</v>
      </c>
      <c r="I4602" s="2" t="s">
        <v>3</v>
      </c>
    </row>
    <row r="4603" spans="1:9" hidden="1" x14ac:dyDescent="0.3">
      <c r="A4603" t="s">
        <v>68</v>
      </c>
      <c r="B4603" s="1">
        <v>44378</v>
      </c>
      <c r="C4603" s="2" t="s">
        <v>3</v>
      </c>
      <c r="D4603" s="2" t="s">
        <v>3</v>
      </c>
      <c r="E4603" s="2">
        <v>1</v>
      </c>
      <c r="F4603" s="2" t="s">
        <v>3</v>
      </c>
      <c r="G4603" s="2" t="s">
        <v>3</v>
      </c>
      <c r="H4603" s="2" t="s">
        <v>3</v>
      </c>
      <c r="I4603" s="2" t="s">
        <v>3</v>
      </c>
    </row>
    <row r="4604" spans="1:9" hidden="1" x14ac:dyDescent="0.3">
      <c r="A4604" t="s">
        <v>68</v>
      </c>
      <c r="B4604" s="1">
        <v>44348</v>
      </c>
      <c r="C4604" s="2" t="s">
        <v>3</v>
      </c>
      <c r="D4604" s="2" t="s">
        <v>3</v>
      </c>
      <c r="E4604" s="2">
        <v>1</v>
      </c>
      <c r="F4604" s="2" t="s">
        <v>3</v>
      </c>
      <c r="G4604" s="2" t="s">
        <v>3</v>
      </c>
      <c r="H4604" s="2" t="s">
        <v>3</v>
      </c>
      <c r="I4604" s="2" t="s">
        <v>3</v>
      </c>
    </row>
    <row r="4605" spans="1:9" hidden="1" x14ac:dyDescent="0.3">
      <c r="A4605" t="s">
        <v>68</v>
      </c>
      <c r="B4605" s="1">
        <v>44317</v>
      </c>
      <c r="C4605" s="2" t="s">
        <v>3</v>
      </c>
      <c r="D4605" s="2" t="s">
        <v>3</v>
      </c>
      <c r="E4605" s="2">
        <v>1</v>
      </c>
      <c r="F4605" s="2" t="s">
        <v>3</v>
      </c>
      <c r="G4605" s="2" t="s">
        <v>3</v>
      </c>
      <c r="H4605" s="2" t="s">
        <v>3</v>
      </c>
      <c r="I4605" s="2" t="s">
        <v>3</v>
      </c>
    </row>
    <row r="4606" spans="1:9" hidden="1" x14ac:dyDescent="0.3">
      <c r="A4606" t="s">
        <v>68</v>
      </c>
      <c r="B4606" s="1">
        <v>44287</v>
      </c>
      <c r="C4606" s="2" t="s">
        <v>3</v>
      </c>
      <c r="D4606" s="2" t="s">
        <v>3</v>
      </c>
      <c r="E4606" s="2">
        <v>1</v>
      </c>
      <c r="F4606" s="2" t="s">
        <v>3</v>
      </c>
      <c r="G4606" s="2" t="s">
        <v>3</v>
      </c>
      <c r="H4606" s="2" t="s">
        <v>3</v>
      </c>
      <c r="I4606" s="2" t="s">
        <v>3</v>
      </c>
    </row>
    <row r="4607" spans="1:9" hidden="1" x14ac:dyDescent="0.3">
      <c r="A4607" t="s">
        <v>68</v>
      </c>
      <c r="B4607" s="1">
        <v>44256</v>
      </c>
      <c r="C4607" s="2" t="s">
        <v>3</v>
      </c>
      <c r="D4607" s="2" t="s">
        <v>3</v>
      </c>
      <c r="E4607" s="2">
        <v>1</v>
      </c>
      <c r="F4607" s="2" t="s">
        <v>3</v>
      </c>
      <c r="G4607" s="2" t="s">
        <v>3</v>
      </c>
      <c r="H4607" s="2" t="s">
        <v>3</v>
      </c>
      <c r="I4607" s="2" t="s">
        <v>3</v>
      </c>
    </row>
    <row r="4608" spans="1:9" hidden="1" x14ac:dyDescent="0.3">
      <c r="A4608" t="s">
        <v>68</v>
      </c>
      <c r="B4608" s="1">
        <v>44228</v>
      </c>
      <c r="C4608" s="2" t="s">
        <v>3</v>
      </c>
      <c r="D4608" s="2" t="s">
        <v>3</v>
      </c>
      <c r="E4608" s="2">
        <v>1</v>
      </c>
      <c r="F4608" s="2" t="s">
        <v>3</v>
      </c>
      <c r="G4608" s="2" t="s">
        <v>3</v>
      </c>
      <c r="H4608" s="2" t="s">
        <v>3</v>
      </c>
      <c r="I4608" s="2" t="s">
        <v>3</v>
      </c>
    </row>
    <row r="4609" spans="1:9" hidden="1" x14ac:dyDescent="0.3">
      <c r="A4609" t="s">
        <v>68</v>
      </c>
      <c r="B4609" s="1">
        <v>44197</v>
      </c>
      <c r="C4609" s="2" t="s">
        <v>3</v>
      </c>
      <c r="D4609" s="2" t="s">
        <v>3</v>
      </c>
      <c r="E4609" s="2">
        <v>1</v>
      </c>
      <c r="F4609" s="2" t="s">
        <v>3</v>
      </c>
      <c r="G4609" s="2" t="s">
        <v>3</v>
      </c>
      <c r="H4609" s="2" t="s">
        <v>3</v>
      </c>
      <c r="I4609" s="2" t="s">
        <v>3</v>
      </c>
    </row>
    <row r="4610" spans="1:9" hidden="1" x14ac:dyDescent="0.3">
      <c r="A4610" t="s">
        <v>68</v>
      </c>
      <c r="B4610" s="1">
        <v>44166</v>
      </c>
      <c r="C4610" s="2" t="s">
        <v>3</v>
      </c>
      <c r="D4610" s="2" t="s">
        <v>3</v>
      </c>
      <c r="E4610" s="2">
        <v>1</v>
      </c>
      <c r="F4610" s="2" t="s">
        <v>3</v>
      </c>
      <c r="G4610" s="2" t="s">
        <v>3</v>
      </c>
      <c r="H4610" s="2" t="s">
        <v>3</v>
      </c>
      <c r="I4610" s="2" t="s">
        <v>3</v>
      </c>
    </row>
    <row r="4611" spans="1:9" hidden="1" x14ac:dyDescent="0.3">
      <c r="A4611" t="s">
        <v>68</v>
      </c>
      <c r="B4611" s="1">
        <v>44136</v>
      </c>
      <c r="C4611" s="2" t="s">
        <v>3</v>
      </c>
      <c r="D4611" s="2" t="s">
        <v>3</v>
      </c>
      <c r="E4611" s="2">
        <v>2</v>
      </c>
      <c r="F4611" s="2" t="s">
        <v>3</v>
      </c>
      <c r="G4611" s="2" t="s">
        <v>3</v>
      </c>
      <c r="H4611" s="2" t="s">
        <v>3</v>
      </c>
      <c r="I4611" s="2" t="s">
        <v>3</v>
      </c>
    </row>
    <row r="4612" spans="1:9" hidden="1" x14ac:dyDescent="0.3">
      <c r="A4612" t="s">
        <v>68</v>
      </c>
      <c r="B4612" s="1">
        <v>44105</v>
      </c>
      <c r="C4612" s="2" t="s">
        <v>3</v>
      </c>
      <c r="D4612" s="2" t="s">
        <v>3</v>
      </c>
      <c r="E4612" s="2">
        <v>2</v>
      </c>
      <c r="F4612" s="2" t="s">
        <v>3</v>
      </c>
      <c r="G4612" s="2" t="s">
        <v>3</v>
      </c>
      <c r="H4612" s="2" t="s">
        <v>3</v>
      </c>
      <c r="I4612" s="2" t="s">
        <v>3</v>
      </c>
    </row>
    <row r="4613" spans="1:9" hidden="1" x14ac:dyDescent="0.3">
      <c r="A4613" t="s">
        <v>68</v>
      </c>
      <c r="B4613" s="1">
        <v>44075</v>
      </c>
      <c r="C4613" s="2" t="s">
        <v>3</v>
      </c>
      <c r="D4613" s="2" t="s">
        <v>3</v>
      </c>
      <c r="E4613" s="2">
        <v>2</v>
      </c>
      <c r="F4613" s="2" t="s">
        <v>3</v>
      </c>
      <c r="G4613" s="2" t="s">
        <v>3</v>
      </c>
      <c r="H4613" s="2" t="s">
        <v>3</v>
      </c>
      <c r="I4613" s="2" t="s">
        <v>3</v>
      </c>
    </row>
    <row r="4614" spans="1:9" hidden="1" x14ac:dyDescent="0.3">
      <c r="A4614" t="s">
        <v>68</v>
      </c>
      <c r="B4614" s="1">
        <v>44044</v>
      </c>
      <c r="C4614" s="2" t="s">
        <v>3</v>
      </c>
      <c r="D4614" s="2" t="s">
        <v>3</v>
      </c>
      <c r="E4614" s="2">
        <v>2</v>
      </c>
      <c r="F4614" s="2" t="s">
        <v>3</v>
      </c>
      <c r="G4614" s="2" t="s">
        <v>3</v>
      </c>
      <c r="H4614" s="2" t="s">
        <v>3</v>
      </c>
      <c r="I4614" s="2" t="s">
        <v>3</v>
      </c>
    </row>
    <row r="4615" spans="1:9" hidden="1" x14ac:dyDescent="0.3">
      <c r="A4615" t="s">
        <v>68</v>
      </c>
      <c r="B4615" s="1">
        <v>44013</v>
      </c>
      <c r="C4615" s="2" t="s">
        <v>3</v>
      </c>
      <c r="D4615" s="2" t="s">
        <v>3</v>
      </c>
      <c r="E4615" s="2">
        <v>2</v>
      </c>
      <c r="F4615" s="2" t="s">
        <v>3</v>
      </c>
      <c r="G4615" s="2" t="s">
        <v>3</v>
      </c>
      <c r="H4615" s="2" t="s">
        <v>3</v>
      </c>
      <c r="I4615" s="2" t="s">
        <v>3</v>
      </c>
    </row>
    <row r="4616" spans="1:9" hidden="1" x14ac:dyDescent="0.3">
      <c r="A4616" t="s">
        <v>68</v>
      </c>
      <c r="B4616" s="1">
        <v>43983</v>
      </c>
      <c r="C4616" s="2" t="s">
        <v>3</v>
      </c>
      <c r="D4616" s="2" t="s">
        <v>3</v>
      </c>
      <c r="E4616" s="2">
        <v>2</v>
      </c>
      <c r="F4616" s="2" t="s">
        <v>3</v>
      </c>
      <c r="G4616" s="2" t="s">
        <v>3</v>
      </c>
      <c r="H4616" s="2" t="s">
        <v>3</v>
      </c>
      <c r="I4616" s="2" t="s">
        <v>3</v>
      </c>
    </row>
    <row r="4617" spans="1:9" hidden="1" x14ac:dyDescent="0.3">
      <c r="A4617" t="s">
        <v>68</v>
      </c>
      <c r="B4617" s="1">
        <v>43952</v>
      </c>
      <c r="C4617" s="2" t="s">
        <v>3</v>
      </c>
      <c r="D4617" s="2" t="s">
        <v>3</v>
      </c>
      <c r="E4617" s="2">
        <v>3</v>
      </c>
      <c r="F4617" s="2" t="s">
        <v>3</v>
      </c>
      <c r="G4617" s="2" t="s">
        <v>3</v>
      </c>
      <c r="H4617" s="2" t="s">
        <v>3</v>
      </c>
      <c r="I4617" s="2" t="s">
        <v>3</v>
      </c>
    </row>
    <row r="4618" spans="1:9" hidden="1" x14ac:dyDescent="0.3">
      <c r="A4618" t="s">
        <v>68</v>
      </c>
      <c r="B4618" s="1">
        <v>43922</v>
      </c>
      <c r="C4618" s="2" t="s">
        <v>3</v>
      </c>
      <c r="D4618" s="2" t="s">
        <v>3</v>
      </c>
      <c r="E4618" s="2">
        <v>3</v>
      </c>
      <c r="F4618" s="2" t="s">
        <v>3</v>
      </c>
      <c r="G4618" s="2" t="s">
        <v>3</v>
      </c>
      <c r="H4618" s="2" t="s">
        <v>3</v>
      </c>
      <c r="I4618" s="2" t="s">
        <v>3</v>
      </c>
    </row>
    <row r="4619" spans="1:9" hidden="1" x14ac:dyDescent="0.3">
      <c r="A4619" t="s">
        <v>68</v>
      </c>
      <c r="B4619" s="1">
        <v>43891</v>
      </c>
      <c r="C4619" s="2" t="s">
        <v>3</v>
      </c>
      <c r="D4619" s="2" t="s">
        <v>3</v>
      </c>
      <c r="E4619" s="2">
        <v>3</v>
      </c>
      <c r="F4619" s="2" t="s">
        <v>3</v>
      </c>
      <c r="G4619" s="2" t="s">
        <v>3</v>
      </c>
      <c r="H4619" s="2" t="s">
        <v>3</v>
      </c>
      <c r="I4619" s="2" t="s">
        <v>3</v>
      </c>
    </row>
    <row r="4620" spans="1:9" hidden="1" x14ac:dyDescent="0.3">
      <c r="A4620" t="s">
        <v>68</v>
      </c>
      <c r="B4620" s="1">
        <v>43862</v>
      </c>
      <c r="C4620" s="2" t="s">
        <v>3</v>
      </c>
      <c r="D4620" s="2" t="s">
        <v>3</v>
      </c>
      <c r="E4620" s="2">
        <v>2</v>
      </c>
      <c r="F4620" s="2" t="s">
        <v>3</v>
      </c>
      <c r="G4620" s="2" t="s">
        <v>3</v>
      </c>
      <c r="H4620" s="2" t="s">
        <v>3</v>
      </c>
      <c r="I4620" s="2" t="s">
        <v>3</v>
      </c>
    </row>
    <row r="4621" spans="1:9" hidden="1" x14ac:dyDescent="0.3">
      <c r="A4621" t="s">
        <v>68</v>
      </c>
      <c r="B4621" s="1">
        <v>43831</v>
      </c>
      <c r="C4621" s="2" t="s">
        <v>3</v>
      </c>
      <c r="D4621" s="2" t="s">
        <v>3</v>
      </c>
      <c r="E4621" s="2">
        <v>3</v>
      </c>
      <c r="F4621" s="2" t="s">
        <v>3</v>
      </c>
      <c r="G4621" s="2" t="s">
        <v>3</v>
      </c>
      <c r="H4621" s="2" t="s">
        <v>3</v>
      </c>
      <c r="I4621" s="2" t="s">
        <v>3</v>
      </c>
    </row>
    <row r="4622" spans="1:9" x14ac:dyDescent="0.3">
      <c r="A4622" t="s">
        <v>69</v>
      </c>
      <c r="B4622" s="1">
        <v>45931</v>
      </c>
      <c r="C4622" s="2">
        <v>19461</v>
      </c>
      <c r="D4622" s="2">
        <v>846</v>
      </c>
      <c r="E4622" s="2">
        <v>19148</v>
      </c>
      <c r="F4622" s="2">
        <v>587</v>
      </c>
      <c r="G4622" s="2">
        <v>43</v>
      </c>
      <c r="H4622" s="2">
        <v>313</v>
      </c>
      <c r="I4622" s="2">
        <v>259</v>
      </c>
    </row>
    <row r="4623" spans="1:9" x14ac:dyDescent="0.3">
      <c r="A4623" t="s">
        <v>69</v>
      </c>
      <c r="B4623" s="1">
        <v>45901</v>
      </c>
      <c r="C4623" s="2">
        <v>18571</v>
      </c>
      <c r="D4623" s="2">
        <v>1052</v>
      </c>
      <c r="E4623" s="2">
        <v>18517</v>
      </c>
      <c r="F4623" s="2">
        <v>1054</v>
      </c>
      <c r="G4623" s="2">
        <v>65</v>
      </c>
      <c r="H4623" s="2">
        <v>54</v>
      </c>
      <c r="I4623" s="2">
        <v>-2</v>
      </c>
    </row>
    <row r="4624" spans="1:9" x14ac:dyDescent="0.3">
      <c r="A4624" t="s">
        <v>69</v>
      </c>
      <c r="B4624" s="1">
        <v>45870</v>
      </c>
      <c r="C4624" s="2">
        <v>17465</v>
      </c>
      <c r="D4624" s="2">
        <v>808</v>
      </c>
      <c r="E4624" s="2">
        <v>17409</v>
      </c>
      <c r="F4624" s="2">
        <v>833</v>
      </c>
      <c r="G4624" s="2">
        <v>149</v>
      </c>
      <c r="H4624" s="2">
        <v>56</v>
      </c>
      <c r="I4624" s="2">
        <v>-25</v>
      </c>
    </row>
    <row r="4625" spans="1:9" x14ac:dyDescent="0.3">
      <c r="A4625" t="s">
        <v>69</v>
      </c>
      <c r="B4625" s="1">
        <v>45839</v>
      </c>
      <c r="C4625" s="2">
        <v>16510</v>
      </c>
      <c r="D4625" s="2">
        <v>1328</v>
      </c>
      <c r="E4625" s="2">
        <v>16429</v>
      </c>
      <c r="F4625" s="2">
        <v>1323</v>
      </c>
      <c r="G4625" s="2">
        <v>-147</v>
      </c>
      <c r="H4625" s="2">
        <v>81</v>
      </c>
      <c r="I4625" s="2">
        <v>5</v>
      </c>
    </row>
    <row r="4626" spans="1:9" x14ac:dyDescent="0.3">
      <c r="A4626" t="s">
        <v>69</v>
      </c>
      <c r="B4626" s="1">
        <v>45809</v>
      </c>
      <c r="C4626" s="2">
        <v>15329</v>
      </c>
      <c r="D4626" s="2">
        <v>12</v>
      </c>
      <c r="E4626" s="2">
        <v>15253</v>
      </c>
      <c r="F4626" s="2">
        <v>-1</v>
      </c>
      <c r="G4626" s="2">
        <v>152</v>
      </c>
      <c r="H4626" s="2">
        <v>76</v>
      </c>
      <c r="I4626" s="2">
        <v>13</v>
      </c>
    </row>
    <row r="4627" spans="1:9" x14ac:dyDescent="0.3">
      <c r="A4627" t="s">
        <v>69</v>
      </c>
      <c r="B4627" s="1">
        <v>45778</v>
      </c>
      <c r="C4627" s="2">
        <v>15170</v>
      </c>
      <c r="D4627" s="2">
        <v>1126</v>
      </c>
      <c r="E4627" s="2">
        <v>15107</v>
      </c>
      <c r="F4627" s="2">
        <v>1146</v>
      </c>
      <c r="G4627" s="2">
        <v>-176</v>
      </c>
      <c r="H4627" s="2">
        <v>63</v>
      </c>
      <c r="I4627" s="2">
        <v>-20</v>
      </c>
    </row>
    <row r="4628" spans="1:9" x14ac:dyDescent="0.3">
      <c r="A4628" t="s">
        <v>69</v>
      </c>
      <c r="B4628" s="1">
        <v>45748</v>
      </c>
      <c r="C4628" s="2">
        <v>14234</v>
      </c>
      <c r="D4628" s="2">
        <v>1247</v>
      </c>
      <c r="E4628" s="2">
        <v>14151</v>
      </c>
      <c r="F4628" s="2">
        <v>1268</v>
      </c>
      <c r="G4628" s="2">
        <v>66</v>
      </c>
      <c r="H4628" s="2">
        <v>83</v>
      </c>
      <c r="I4628" s="2">
        <v>-21</v>
      </c>
    </row>
    <row r="4629" spans="1:9" x14ac:dyDescent="0.3">
      <c r="A4629" t="s">
        <v>69</v>
      </c>
      <c r="B4629" s="1">
        <v>45717</v>
      </c>
      <c r="C4629" s="2">
        <v>12920</v>
      </c>
      <c r="D4629" s="2">
        <v>-69</v>
      </c>
      <c r="E4629" s="2">
        <v>12816</v>
      </c>
      <c r="F4629" s="2">
        <v>-74</v>
      </c>
      <c r="G4629" s="2">
        <v>9</v>
      </c>
      <c r="H4629" s="2">
        <v>104</v>
      </c>
      <c r="I4629" s="2">
        <v>5</v>
      </c>
    </row>
    <row r="4630" spans="1:9" x14ac:dyDescent="0.3">
      <c r="A4630" t="s">
        <v>69</v>
      </c>
      <c r="B4630" s="1">
        <v>45689</v>
      </c>
      <c r="C4630" s="2">
        <v>12977</v>
      </c>
      <c r="D4630" s="2">
        <v>-264</v>
      </c>
      <c r="E4630" s="2">
        <v>12878</v>
      </c>
      <c r="F4630" s="2">
        <v>-242</v>
      </c>
      <c r="G4630" s="2">
        <v>252</v>
      </c>
      <c r="H4630" s="2">
        <v>99</v>
      </c>
      <c r="I4630" s="2">
        <v>-22</v>
      </c>
    </row>
    <row r="4631" spans="1:9" x14ac:dyDescent="0.3">
      <c r="A4631" t="s">
        <v>69</v>
      </c>
      <c r="B4631" s="1">
        <v>45658</v>
      </c>
      <c r="C4631" s="2">
        <v>12989</v>
      </c>
      <c r="D4631" s="2">
        <v>470</v>
      </c>
      <c r="E4631" s="2">
        <v>12868</v>
      </c>
      <c r="F4631" s="2">
        <v>483</v>
      </c>
      <c r="G4631" s="2">
        <v>35</v>
      </c>
      <c r="H4631" s="2">
        <v>121</v>
      </c>
      <c r="I4631" s="2">
        <v>-13</v>
      </c>
    </row>
    <row r="4632" spans="1:9" x14ac:dyDescent="0.3">
      <c r="A4632" t="s">
        <v>69</v>
      </c>
      <c r="B4632" s="1">
        <v>45627</v>
      </c>
      <c r="C4632" s="2">
        <v>12494</v>
      </c>
      <c r="D4632" s="2">
        <v>-1527</v>
      </c>
      <c r="E4632" s="2">
        <v>12360</v>
      </c>
      <c r="F4632" s="2">
        <v>-1542</v>
      </c>
      <c r="G4632" s="2">
        <v>-263</v>
      </c>
      <c r="H4632" s="2">
        <v>134</v>
      </c>
      <c r="I4632" s="2">
        <v>15</v>
      </c>
    </row>
    <row r="4633" spans="1:9" x14ac:dyDescent="0.3">
      <c r="A4633" t="s">
        <v>69</v>
      </c>
      <c r="B4633" s="1">
        <v>45597</v>
      </c>
      <c r="C4633" s="2">
        <v>14295</v>
      </c>
      <c r="D4633" s="2">
        <v>-622</v>
      </c>
      <c r="E4633" s="2">
        <v>14176</v>
      </c>
      <c r="F4633" s="2">
        <v>-616</v>
      </c>
      <c r="G4633" s="2">
        <v>97</v>
      </c>
      <c r="H4633" s="2">
        <v>119</v>
      </c>
      <c r="I4633" s="2">
        <v>-6</v>
      </c>
    </row>
    <row r="4634" spans="1:9" x14ac:dyDescent="0.3">
      <c r="A4634" t="s">
        <v>69</v>
      </c>
      <c r="B4634" s="1">
        <v>45566</v>
      </c>
      <c r="C4634" s="2">
        <v>14821</v>
      </c>
      <c r="D4634" s="2">
        <v>839</v>
      </c>
      <c r="E4634" s="2">
        <v>14696</v>
      </c>
      <c r="F4634" s="2">
        <v>797</v>
      </c>
      <c r="G4634" s="2">
        <v>-411</v>
      </c>
      <c r="H4634" s="2">
        <v>125</v>
      </c>
      <c r="I4634" s="2">
        <v>42</v>
      </c>
    </row>
    <row r="4635" spans="1:9" x14ac:dyDescent="0.3">
      <c r="A4635" t="s">
        <v>69</v>
      </c>
      <c r="B4635" s="1">
        <v>45536</v>
      </c>
      <c r="C4635" s="2">
        <v>14417</v>
      </c>
      <c r="D4635" s="2">
        <v>362</v>
      </c>
      <c r="E4635" s="2">
        <v>14334</v>
      </c>
      <c r="F4635" s="2">
        <v>371</v>
      </c>
      <c r="G4635" s="2">
        <v>127</v>
      </c>
      <c r="H4635" s="2">
        <v>83</v>
      </c>
      <c r="I4635" s="2">
        <v>-9</v>
      </c>
    </row>
    <row r="4636" spans="1:9" x14ac:dyDescent="0.3">
      <c r="A4636" t="s">
        <v>69</v>
      </c>
      <c r="B4636" s="1">
        <v>45505</v>
      </c>
      <c r="C4636" s="2">
        <v>13928</v>
      </c>
      <c r="D4636" s="2">
        <v>160</v>
      </c>
      <c r="E4636" s="2">
        <v>13836</v>
      </c>
      <c r="F4636" s="2">
        <v>148</v>
      </c>
      <c r="G4636" s="2">
        <v>156</v>
      </c>
      <c r="H4636" s="2">
        <v>92</v>
      </c>
      <c r="I4636" s="2">
        <v>12</v>
      </c>
    </row>
    <row r="4637" spans="1:9" x14ac:dyDescent="0.3">
      <c r="A4637" t="s">
        <v>69</v>
      </c>
      <c r="B4637" s="1">
        <v>45474</v>
      </c>
      <c r="C4637" s="2">
        <v>13612</v>
      </c>
      <c r="D4637" s="2">
        <v>133</v>
      </c>
      <c r="E4637" s="2">
        <v>13532</v>
      </c>
      <c r="F4637" s="2">
        <v>151</v>
      </c>
      <c r="G4637" s="2">
        <v>261</v>
      </c>
      <c r="H4637" s="2">
        <v>80</v>
      </c>
      <c r="I4637" s="2">
        <v>-18</v>
      </c>
    </row>
    <row r="4638" spans="1:9" x14ac:dyDescent="0.3">
      <c r="A4638" t="s">
        <v>69</v>
      </c>
      <c r="B4638" s="1">
        <v>45444</v>
      </c>
      <c r="C4638" s="2">
        <v>13216</v>
      </c>
      <c r="D4638" s="2">
        <v>-35</v>
      </c>
      <c r="E4638" s="2">
        <v>13118</v>
      </c>
      <c r="F4638" s="2">
        <v>-24</v>
      </c>
      <c r="G4638" s="2">
        <v>131</v>
      </c>
      <c r="H4638" s="2">
        <v>98</v>
      </c>
      <c r="I4638" s="2">
        <v>-11</v>
      </c>
    </row>
    <row r="4639" spans="1:9" x14ac:dyDescent="0.3">
      <c r="A4639" t="s">
        <v>69</v>
      </c>
      <c r="B4639" s="1">
        <v>45413</v>
      </c>
      <c r="C4639" s="2">
        <v>13123</v>
      </c>
      <c r="D4639" s="2">
        <v>307</v>
      </c>
      <c r="E4639" s="2">
        <v>13014</v>
      </c>
      <c r="F4639" s="2">
        <v>305</v>
      </c>
      <c r="G4639" s="2">
        <v>150</v>
      </c>
      <c r="H4639" s="2">
        <v>109</v>
      </c>
      <c r="I4639" s="2">
        <v>2</v>
      </c>
    </row>
    <row r="4640" spans="1:9" x14ac:dyDescent="0.3">
      <c r="A4640" t="s">
        <v>69</v>
      </c>
      <c r="B4640" s="1">
        <v>45383</v>
      </c>
      <c r="C4640" s="2">
        <v>12664</v>
      </c>
      <c r="D4640" s="2">
        <v>280</v>
      </c>
      <c r="E4640" s="2">
        <v>12557</v>
      </c>
      <c r="F4640" s="2">
        <v>288</v>
      </c>
      <c r="G4640" s="2">
        <v>-339</v>
      </c>
      <c r="H4640" s="2">
        <v>107</v>
      </c>
      <c r="I4640" s="2">
        <v>-8</v>
      </c>
    </row>
    <row r="4641" spans="1:9" x14ac:dyDescent="0.3">
      <c r="A4641" t="s">
        <v>69</v>
      </c>
      <c r="B4641" s="1">
        <v>45352</v>
      </c>
      <c r="C4641" s="2">
        <v>12718</v>
      </c>
      <c r="D4641" s="2">
        <v>-382</v>
      </c>
      <c r="E4641" s="2">
        <v>12603</v>
      </c>
      <c r="F4641" s="2">
        <v>-389</v>
      </c>
      <c r="G4641" s="2">
        <v>57</v>
      </c>
      <c r="H4641" s="2">
        <v>115</v>
      </c>
      <c r="I4641" s="2">
        <v>7</v>
      </c>
    </row>
    <row r="4642" spans="1:9" x14ac:dyDescent="0.3">
      <c r="A4642" t="s">
        <v>69</v>
      </c>
      <c r="B4642" s="1">
        <v>45323</v>
      </c>
      <c r="C4642" s="2">
        <v>13034</v>
      </c>
      <c r="D4642" s="2">
        <v>673</v>
      </c>
      <c r="E4642" s="2">
        <v>12926</v>
      </c>
      <c r="F4642" s="2">
        <v>654</v>
      </c>
      <c r="G4642" s="2">
        <v>-224</v>
      </c>
      <c r="H4642" s="2">
        <v>108</v>
      </c>
      <c r="I4642" s="2">
        <v>19</v>
      </c>
    </row>
    <row r="4643" spans="1:9" x14ac:dyDescent="0.3">
      <c r="A4643" t="s">
        <v>69</v>
      </c>
      <c r="B4643" s="1">
        <v>45292</v>
      </c>
      <c r="C4643" s="2">
        <v>12589</v>
      </c>
      <c r="D4643" s="2">
        <v>39</v>
      </c>
      <c r="E4643" s="2">
        <v>12500</v>
      </c>
      <c r="F4643" s="2">
        <v>47</v>
      </c>
      <c r="G4643" s="2">
        <v>-31</v>
      </c>
      <c r="H4643" s="2">
        <v>89</v>
      </c>
      <c r="I4643" s="2">
        <v>-8</v>
      </c>
    </row>
    <row r="4644" spans="1:9" x14ac:dyDescent="0.3">
      <c r="A4644" t="s">
        <v>69</v>
      </c>
      <c r="B4644" s="1">
        <v>45261</v>
      </c>
      <c r="C4644" s="2">
        <v>12581</v>
      </c>
      <c r="D4644" s="2">
        <v>-766</v>
      </c>
      <c r="E4644" s="2">
        <v>12484</v>
      </c>
      <c r="F4644" s="2">
        <v>-672</v>
      </c>
      <c r="G4644" s="2">
        <v>369</v>
      </c>
      <c r="H4644" s="2">
        <v>97</v>
      </c>
      <c r="I4644" s="2">
        <v>-94</v>
      </c>
    </row>
    <row r="4645" spans="1:9" x14ac:dyDescent="0.3">
      <c r="A4645" t="s">
        <v>69</v>
      </c>
      <c r="B4645" s="1">
        <v>45231</v>
      </c>
      <c r="C4645" s="2">
        <v>12982</v>
      </c>
      <c r="D4645" s="2">
        <v>114</v>
      </c>
      <c r="E4645" s="2">
        <v>12791</v>
      </c>
      <c r="F4645" s="2">
        <v>106</v>
      </c>
      <c r="G4645" s="2">
        <v>377</v>
      </c>
      <c r="H4645" s="2">
        <v>191</v>
      </c>
      <c r="I4645" s="2">
        <v>8</v>
      </c>
    </row>
    <row r="4646" spans="1:9" x14ac:dyDescent="0.3">
      <c r="A4646" t="s">
        <v>69</v>
      </c>
      <c r="B4646" s="1">
        <v>45200</v>
      </c>
      <c r="C4646" s="2">
        <v>12492</v>
      </c>
      <c r="D4646" s="2">
        <v>271</v>
      </c>
      <c r="E4646" s="2">
        <v>12309</v>
      </c>
      <c r="F4646" s="2">
        <v>139</v>
      </c>
      <c r="G4646" s="2">
        <v>-176</v>
      </c>
      <c r="H4646" s="2">
        <v>183</v>
      </c>
      <c r="I4646" s="2">
        <v>132</v>
      </c>
    </row>
    <row r="4647" spans="1:9" x14ac:dyDescent="0.3">
      <c r="A4647" t="s">
        <v>69</v>
      </c>
      <c r="B4647" s="1">
        <v>45170</v>
      </c>
      <c r="C4647" s="2">
        <v>12400</v>
      </c>
      <c r="D4647" s="2">
        <v>-75</v>
      </c>
      <c r="E4647" s="2">
        <v>12349</v>
      </c>
      <c r="F4647" s="2">
        <v>-82</v>
      </c>
      <c r="G4647" s="2">
        <v>-242</v>
      </c>
      <c r="H4647" s="2">
        <v>51</v>
      </c>
      <c r="I4647" s="2">
        <v>7</v>
      </c>
    </row>
    <row r="4648" spans="1:9" x14ac:dyDescent="0.3">
      <c r="A4648" t="s">
        <v>69</v>
      </c>
      <c r="B4648" s="1">
        <v>45139</v>
      </c>
      <c r="C4648" s="2">
        <v>12715</v>
      </c>
      <c r="D4648" s="2">
        <v>532</v>
      </c>
      <c r="E4648" s="2">
        <v>12671</v>
      </c>
      <c r="F4648" s="2">
        <v>667</v>
      </c>
      <c r="G4648" s="2">
        <v>-73</v>
      </c>
      <c r="H4648" s="2">
        <v>44</v>
      </c>
      <c r="I4648" s="2">
        <v>-135</v>
      </c>
    </row>
    <row r="4649" spans="1:9" x14ac:dyDescent="0.3">
      <c r="A4649" t="s">
        <v>69</v>
      </c>
      <c r="B4649" s="1">
        <v>45108</v>
      </c>
      <c r="C4649" s="2">
        <v>12256</v>
      </c>
      <c r="D4649" s="2">
        <v>191</v>
      </c>
      <c r="E4649" s="2">
        <v>12077</v>
      </c>
      <c r="F4649" s="2">
        <v>217</v>
      </c>
      <c r="G4649" s="2">
        <v>-64</v>
      </c>
      <c r="H4649" s="2">
        <v>179</v>
      </c>
      <c r="I4649" s="2">
        <v>-26</v>
      </c>
    </row>
    <row r="4650" spans="1:9" x14ac:dyDescent="0.3">
      <c r="A4650" t="s">
        <v>69</v>
      </c>
      <c r="B4650" s="1">
        <v>45078</v>
      </c>
      <c r="C4650" s="2">
        <v>12123</v>
      </c>
      <c r="D4650" s="2">
        <v>295</v>
      </c>
      <c r="E4650" s="2">
        <v>11918</v>
      </c>
      <c r="F4650" s="2">
        <v>154</v>
      </c>
      <c r="G4650" s="2">
        <v>-133</v>
      </c>
      <c r="H4650" s="2">
        <v>205</v>
      </c>
      <c r="I4650" s="2">
        <v>141</v>
      </c>
    </row>
    <row r="4651" spans="1:9" x14ac:dyDescent="0.3">
      <c r="A4651" t="s">
        <v>69</v>
      </c>
      <c r="B4651" s="1">
        <v>45047</v>
      </c>
      <c r="C4651" s="2">
        <v>11961</v>
      </c>
      <c r="D4651" s="2">
        <v>576</v>
      </c>
      <c r="E4651" s="2">
        <v>11897</v>
      </c>
      <c r="F4651" s="2">
        <v>585</v>
      </c>
      <c r="G4651" s="2">
        <v>-128</v>
      </c>
      <c r="H4651" s="2">
        <v>64</v>
      </c>
      <c r="I4651" s="2">
        <v>-9</v>
      </c>
    </row>
    <row r="4652" spans="1:9" x14ac:dyDescent="0.3">
      <c r="A4652" t="s">
        <v>69</v>
      </c>
      <c r="B4652" s="1">
        <v>45017</v>
      </c>
      <c r="C4652" s="2">
        <v>11514</v>
      </c>
      <c r="D4652" s="2">
        <v>-456</v>
      </c>
      <c r="E4652" s="2">
        <v>11441</v>
      </c>
      <c r="F4652" s="2">
        <v>-158</v>
      </c>
      <c r="G4652" s="2">
        <v>57</v>
      </c>
      <c r="H4652" s="2">
        <v>73</v>
      </c>
      <c r="I4652" s="2">
        <v>-298</v>
      </c>
    </row>
    <row r="4653" spans="1:9" x14ac:dyDescent="0.3">
      <c r="A4653" t="s">
        <v>69</v>
      </c>
      <c r="B4653" s="1">
        <v>44986</v>
      </c>
      <c r="C4653" s="2">
        <v>11915</v>
      </c>
      <c r="D4653" s="2">
        <v>421</v>
      </c>
      <c r="E4653" s="2">
        <v>11544</v>
      </c>
      <c r="F4653" s="2">
        <v>210</v>
      </c>
      <c r="G4653" s="2">
        <v>301</v>
      </c>
      <c r="H4653" s="2">
        <v>371</v>
      </c>
      <c r="I4653" s="2">
        <v>211</v>
      </c>
    </row>
    <row r="4654" spans="1:9" x14ac:dyDescent="0.3">
      <c r="A4654" t="s">
        <v>69</v>
      </c>
      <c r="B4654" s="1">
        <v>44958</v>
      </c>
      <c r="C4654" s="2">
        <v>11197</v>
      </c>
      <c r="D4654" s="2">
        <v>2662</v>
      </c>
      <c r="E4654" s="2">
        <v>11037</v>
      </c>
      <c r="F4654" s="2">
        <v>2664</v>
      </c>
      <c r="G4654" s="2">
        <v>-227</v>
      </c>
      <c r="H4654" s="2">
        <v>160</v>
      </c>
      <c r="I4654" s="2">
        <v>-2</v>
      </c>
    </row>
    <row r="4655" spans="1:9" hidden="1" x14ac:dyDescent="0.3">
      <c r="A4655" t="s">
        <v>69</v>
      </c>
      <c r="B4655" s="1">
        <v>44927</v>
      </c>
      <c r="C4655" s="2">
        <v>8762</v>
      </c>
      <c r="D4655" s="2" t="s">
        <v>3</v>
      </c>
      <c r="E4655" s="2">
        <v>8600</v>
      </c>
      <c r="F4655" s="2" t="s">
        <v>3</v>
      </c>
      <c r="G4655" s="2" t="s">
        <v>3</v>
      </c>
      <c r="H4655" s="2">
        <v>162</v>
      </c>
      <c r="I4655" s="2">
        <v>82</v>
      </c>
    </row>
    <row r="4656" spans="1:9" hidden="1" x14ac:dyDescent="0.3">
      <c r="A4656" t="s">
        <v>69</v>
      </c>
      <c r="B4656" s="1">
        <v>44896</v>
      </c>
      <c r="C4656" s="2">
        <v>7741</v>
      </c>
      <c r="D4656" s="2" t="s">
        <v>3</v>
      </c>
      <c r="E4656" s="2">
        <v>7661</v>
      </c>
      <c r="F4656" s="2" t="s">
        <v>3</v>
      </c>
      <c r="G4656" s="2" t="s">
        <v>3</v>
      </c>
      <c r="H4656" s="2">
        <v>80</v>
      </c>
      <c r="I4656" s="2">
        <v>-86</v>
      </c>
    </row>
    <row r="4657" spans="1:9" hidden="1" x14ac:dyDescent="0.3">
      <c r="A4657" t="s">
        <v>69</v>
      </c>
      <c r="B4657" s="1">
        <v>44866</v>
      </c>
      <c r="C4657" s="2">
        <v>7511</v>
      </c>
      <c r="D4657" s="2" t="s">
        <v>3</v>
      </c>
      <c r="E4657" s="2">
        <v>7345</v>
      </c>
      <c r="F4657" s="2" t="s">
        <v>3</v>
      </c>
      <c r="G4657" s="2" t="s">
        <v>3</v>
      </c>
      <c r="H4657" s="2">
        <v>166</v>
      </c>
      <c r="I4657" s="2">
        <v>-9</v>
      </c>
    </row>
    <row r="4658" spans="1:9" hidden="1" x14ac:dyDescent="0.3">
      <c r="A4658" t="s">
        <v>69</v>
      </c>
      <c r="B4658" s="1">
        <v>44835</v>
      </c>
      <c r="C4658" s="2">
        <v>7384</v>
      </c>
      <c r="D4658" s="2" t="s">
        <v>3</v>
      </c>
      <c r="E4658" s="2">
        <v>7209</v>
      </c>
      <c r="F4658" s="2" t="s">
        <v>3</v>
      </c>
      <c r="G4658" s="2" t="s">
        <v>3</v>
      </c>
      <c r="H4658" s="2">
        <v>175</v>
      </c>
      <c r="I4658" s="2">
        <v>-18</v>
      </c>
    </row>
    <row r="4659" spans="1:9" hidden="1" x14ac:dyDescent="0.3">
      <c r="A4659" t="s">
        <v>69</v>
      </c>
      <c r="B4659" s="1">
        <v>44805</v>
      </c>
      <c r="C4659" s="2">
        <v>7624</v>
      </c>
      <c r="D4659" s="2" t="s">
        <v>3</v>
      </c>
      <c r="E4659" s="2">
        <v>7431</v>
      </c>
      <c r="F4659" s="2" t="s">
        <v>3</v>
      </c>
      <c r="G4659" s="2" t="s">
        <v>3</v>
      </c>
      <c r="H4659" s="2">
        <v>193</v>
      </c>
      <c r="I4659" s="2">
        <v>14</v>
      </c>
    </row>
    <row r="4660" spans="1:9" hidden="1" x14ac:dyDescent="0.3">
      <c r="A4660" t="s">
        <v>69</v>
      </c>
      <c r="B4660" s="1">
        <v>44774</v>
      </c>
      <c r="C4660" s="2">
        <v>8192</v>
      </c>
      <c r="D4660" s="2" t="s">
        <v>3</v>
      </c>
      <c r="E4660" s="2">
        <v>8013</v>
      </c>
      <c r="F4660" s="2" t="s">
        <v>3</v>
      </c>
      <c r="G4660" s="2" t="s">
        <v>3</v>
      </c>
      <c r="H4660" s="2">
        <v>179</v>
      </c>
      <c r="I4660" s="2">
        <v>23</v>
      </c>
    </row>
    <row r="4661" spans="1:9" hidden="1" x14ac:dyDescent="0.3">
      <c r="A4661" t="s">
        <v>69</v>
      </c>
      <c r="B4661" s="1">
        <v>44743</v>
      </c>
      <c r="C4661" s="2">
        <v>8147</v>
      </c>
      <c r="D4661" s="2" t="s">
        <v>3</v>
      </c>
      <c r="E4661" s="2">
        <v>7991</v>
      </c>
      <c r="F4661" s="2" t="s">
        <v>3</v>
      </c>
      <c r="G4661" s="2" t="s">
        <v>3</v>
      </c>
      <c r="H4661" s="2">
        <v>156</v>
      </c>
      <c r="I4661" s="2">
        <v>0</v>
      </c>
    </row>
    <row r="4662" spans="1:9" hidden="1" x14ac:dyDescent="0.3">
      <c r="A4662" t="s">
        <v>69</v>
      </c>
      <c r="B4662" s="1">
        <v>44713</v>
      </c>
      <c r="C4662" s="2">
        <v>8141</v>
      </c>
      <c r="D4662" s="2" t="s">
        <v>3</v>
      </c>
      <c r="E4662" s="2">
        <v>7985</v>
      </c>
      <c r="F4662" s="2" t="s">
        <v>3</v>
      </c>
      <c r="G4662" s="2" t="s">
        <v>3</v>
      </c>
      <c r="H4662" s="2">
        <v>156</v>
      </c>
      <c r="I4662" s="2">
        <v>-1</v>
      </c>
    </row>
    <row r="4663" spans="1:9" hidden="1" x14ac:dyDescent="0.3">
      <c r="A4663" t="s">
        <v>69</v>
      </c>
      <c r="B4663" s="1">
        <v>44682</v>
      </c>
      <c r="C4663" s="2">
        <v>8050</v>
      </c>
      <c r="D4663" s="2" t="s">
        <v>3</v>
      </c>
      <c r="E4663" s="2">
        <v>7893</v>
      </c>
      <c r="F4663" s="2" t="s">
        <v>3</v>
      </c>
      <c r="G4663" s="2" t="s">
        <v>3</v>
      </c>
      <c r="H4663" s="2">
        <v>157</v>
      </c>
      <c r="I4663" s="2">
        <v>30</v>
      </c>
    </row>
    <row r="4664" spans="1:9" hidden="1" x14ac:dyDescent="0.3">
      <c r="A4664" t="s">
        <v>69</v>
      </c>
      <c r="B4664" s="1">
        <v>44652</v>
      </c>
      <c r="C4664" s="2">
        <v>7964</v>
      </c>
      <c r="D4664" s="2" t="s">
        <v>3</v>
      </c>
      <c r="E4664" s="2">
        <v>7837</v>
      </c>
      <c r="F4664" s="2" t="s">
        <v>3</v>
      </c>
      <c r="G4664" s="2" t="s">
        <v>3</v>
      </c>
      <c r="H4664" s="2">
        <v>127</v>
      </c>
      <c r="I4664" s="2">
        <v>-9</v>
      </c>
    </row>
    <row r="4665" spans="1:9" hidden="1" x14ac:dyDescent="0.3">
      <c r="A4665" t="s">
        <v>69</v>
      </c>
      <c r="B4665" s="1">
        <v>44621</v>
      </c>
      <c r="C4665" s="2">
        <v>8269</v>
      </c>
      <c r="D4665" s="2" t="s">
        <v>3</v>
      </c>
      <c r="E4665" s="2">
        <v>8133</v>
      </c>
      <c r="F4665" s="2" t="s">
        <v>3</v>
      </c>
      <c r="G4665" s="2" t="s">
        <v>3</v>
      </c>
      <c r="H4665" s="2">
        <v>136</v>
      </c>
      <c r="I4665" s="2">
        <v>0</v>
      </c>
    </row>
    <row r="4666" spans="1:9" hidden="1" x14ac:dyDescent="0.3">
      <c r="A4666" t="s">
        <v>69</v>
      </c>
      <c r="B4666" s="1">
        <v>44593</v>
      </c>
      <c r="C4666" s="2">
        <v>9085</v>
      </c>
      <c r="D4666" s="2" t="s">
        <v>3</v>
      </c>
      <c r="E4666" s="2">
        <v>8949</v>
      </c>
      <c r="F4666" s="2" t="s">
        <v>3</v>
      </c>
      <c r="G4666" s="2" t="s">
        <v>3</v>
      </c>
      <c r="H4666" s="2">
        <v>136</v>
      </c>
      <c r="I4666" s="2">
        <v>3</v>
      </c>
    </row>
    <row r="4667" spans="1:9" hidden="1" x14ac:dyDescent="0.3">
      <c r="A4667" t="s">
        <v>69</v>
      </c>
      <c r="B4667" s="1">
        <v>44562</v>
      </c>
      <c r="C4667" s="2">
        <v>9130</v>
      </c>
      <c r="D4667" s="2" t="s">
        <v>3</v>
      </c>
      <c r="E4667" s="2">
        <v>8997</v>
      </c>
      <c r="F4667" s="2" t="s">
        <v>3</v>
      </c>
      <c r="G4667" s="2" t="s">
        <v>3</v>
      </c>
      <c r="H4667" s="2">
        <v>133</v>
      </c>
      <c r="I4667" s="2">
        <v>33</v>
      </c>
    </row>
    <row r="4668" spans="1:9" hidden="1" x14ac:dyDescent="0.3">
      <c r="A4668" t="s">
        <v>69</v>
      </c>
      <c r="B4668" s="1">
        <v>44531</v>
      </c>
      <c r="C4668" s="2">
        <v>9167</v>
      </c>
      <c r="D4668" s="2" t="s">
        <v>3</v>
      </c>
      <c r="E4668" s="2">
        <v>9067</v>
      </c>
      <c r="F4668" s="2" t="s">
        <v>3</v>
      </c>
      <c r="G4668" s="2" t="s">
        <v>3</v>
      </c>
      <c r="H4668" s="2">
        <v>100</v>
      </c>
      <c r="I4668" s="2">
        <v>-2</v>
      </c>
    </row>
    <row r="4669" spans="1:9" hidden="1" x14ac:dyDescent="0.3">
      <c r="A4669" t="s">
        <v>69</v>
      </c>
      <c r="B4669" s="1">
        <v>44501</v>
      </c>
      <c r="C4669" s="2">
        <v>9291</v>
      </c>
      <c r="D4669" s="2" t="s">
        <v>3</v>
      </c>
      <c r="E4669" s="2">
        <v>9189</v>
      </c>
      <c r="F4669" s="2" t="s">
        <v>3</v>
      </c>
      <c r="G4669" s="2" t="s">
        <v>3</v>
      </c>
      <c r="H4669" s="2">
        <v>102</v>
      </c>
      <c r="I4669" s="2">
        <v>102</v>
      </c>
    </row>
    <row r="4670" spans="1:9" hidden="1" x14ac:dyDescent="0.3">
      <c r="A4670" t="s">
        <v>69</v>
      </c>
      <c r="B4670" s="1">
        <v>44470</v>
      </c>
      <c r="C4670" s="2">
        <v>9375</v>
      </c>
      <c r="D4670" s="2" t="s">
        <v>3</v>
      </c>
      <c r="E4670" s="2">
        <v>9375</v>
      </c>
      <c r="F4670" s="2" t="s">
        <v>3</v>
      </c>
      <c r="G4670" s="2" t="s">
        <v>3</v>
      </c>
      <c r="H4670" s="2">
        <v>0</v>
      </c>
      <c r="I4670" s="2">
        <v>0</v>
      </c>
    </row>
    <row r="4671" spans="1:9" hidden="1" x14ac:dyDescent="0.3">
      <c r="A4671" t="s">
        <v>69</v>
      </c>
      <c r="B4671" s="1">
        <v>44440</v>
      </c>
      <c r="C4671" s="2">
        <v>9417</v>
      </c>
      <c r="D4671" s="2" t="s">
        <v>3</v>
      </c>
      <c r="E4671" s="2">
        <v>9417</v>
      </c>
      <c r="F4671" s="2" t="s">
        <v>3</v>
      </c>
      <c r="G4671" s="2" t="s">
        <v>3</v>
      </c>
      <c r="H4671" s="2">
        <v>0</v>
      </c>
      <c r="I4671" s="2">
        <v>-152</v>
      </c>
    </row>
    <row r="4672" spans="1:9" hidden="1" x14ac:dyDescent="0.3">
      <c r="A4672" t="s">
        <v>69</v>
      </c>
      <c r="B4672" s="1">
        <v>44409</v>
      </c>
      <c r="C4672" s="2">
        <v>9856</v>
      </c>
      <c r="D4672" s="2" t="s">
        <v>3</v>
      </c>
      <c r="E4672" s="2">
        <v>9704</v>
      </c>
      <c r="F4672" s="2" t="s">
        <v>3</v>
      </c>
      <c r="G4672" s="2" t="s">
        <v>3</v>
      </c>
      <c r="H4672" s="2">
        <v>152</v>
      </c>
      <c r="I4672" s="2">
        <v>0</v>
      </c>
    </row>
    <row r="4673" spans="1:9" hidden="1" x14ac:dyDescent="0.3">
      <c r="A4673" t="s">
        <v>69</v>
      </c>
      <c r="B4673" s="1">
        <v>44378</v>
      </c>
      <c r="C4673" s="2">
        <v>10434</v>
      </c>
      <c r="D4673" s="2" t="s">
        <v>3</v>
      </c>
      <c r="E4673" s="2">
        <v>10282</v>
      </c>
      <c r="F4673" s="2" t="s">
        <v>3</v>
      </c>
      <c r="G4673" s="2" t="s">
        <v>3</v>
      </c>
      <c r="H4673" s="2">
        <v>152</v>
      </c>
      <c r="I4673" s="2">
        <v>70</v>
      </c>
    </row>
    <row r="4674" spans="1:9" hidden="1" x14ac:dyDescent="0.3">
      <c r="A4674" t="s">
        <v>69</v>
      </c>
      <c r="B4674" s="1">
        <v>44348</v>
      </c>
      <c r="C4674" s="2">
        <v>10750</v>
      </c>
      <c r="D4674" s="2" t="s">
        <v>3</v>
      </c>
      <c r="E4674" s="2">
        <v>10668</v>
      </c>
      <c r="F4674" s="2" t="s">
        <v>3</v>
      </c>
      <c r="G4674" s="2" t="s">
        <v>3</v>
      </c>
      <c r="H4674" s="2">
        <v>82</v>
      </c>
      <c r="I4674" s="2">
        <v>-14</v>
      </c>
    </row>
    <row r="4675" spans="1:9" hidden="1" x14ac:dyDescent="0.3">
      <c r="A4675" t="s">
        <v>69</v>
      </c>
      <c r="B4675" s="1">
        <v>44317</v>
      </c>
      <c r="C4675" s="2">
        <v>11800</v>
      </c>
      <c r="D4675" s="2" t="s">
        <v>3</v>
      </c>
      <c r="E4675" s="2">
        <v>11704</v>
      </c>
      <c r="F4675" s="2" t="s">
        <v>3</v>
      </c>
      <c r="G4675" s="2" t="s">
        <v>3</v>
      </c>
      <c r="H4675" s="2">
        <v>96</v>
      </c>
      <c r="I4675" s="2">
        <v>96</v>
      </c>
    </row>
    <row r="4676" spans="1:9" hidden="1" x14ac:dyDescent="0.3">
      <c r="A4676" t="s">
        <v>69</v>
      </c>
      <c r="B4676" s="1">
        <v>44287</v>
      </c>
      <c r="C4676" s="2">
        <v>11813</v>
      </c>
      <c r="D4676" s="2" t="s">
        <v>3</v>
      </c>
      <c r="E4676" s="2">
        <v>11813</v>
      </c>
      <c r="F4676" s="2" t="s">
        <v>3</v>
      </c>
      <c r="G4676" s="2" t="s">
        <v>3</v>
      </c>
      <c r="H4676" s="2">
        <v>0</v>
      </c>
      <c r="I4676" s="2">
        <v>-92</v>
      </c>
    </row>
    <row r="4677" spans="1:9" hidden="1" x14ac:dyDescent="0.3">
      <c r="A4677" t="s">
        <v>69</v>
      </c>
      <c r="B4677" s="1">
        <v>44256</v>
      </c>
      <c r="C4677" s="2">
        <v>12165</v>
      </c>
      <c r="D4677" s="2" t="s">
        <v>3</v>
      </c>
      <c r="E4677" s="2">
        <v>12073</v>
      </c>
      <c r="F4677" s="2" t="s">
        <v>3</v>
      </c>
      <c r="G4677" s="2" t="s">
        <v>3</v>
      </c>
      <c r="H4677" s="2">
        <v>92</v>
      </c>
      <c r="I4677" s="2">
        <v>0</v>
      </c>
    </row>
    <row r="4678" spans="1:9" hidden="1" x14ac:dyDescent="0.3">
      <c r="A4678" t="s">
        <v>69</v>
      </c>
      <c r="B4678" s="1">
        <v>44228</v>
      </c>
      <c r="C4678" s="2">
        <v>12158</v>
      </c>
      <c r="D4678" s="2" t="s">
        <v>3</v>
      </c>
      <c r="E4678" s="2">
        <v>12066</v>
      </c>
      <c r="F4678" s="2" t="s">
        <v>3</v>
      </c>
      <c r="G4678" s="2" t="s">
        <v>3</v>
      </c>
      <c r="H4678" s="2">
        <v>92</v>
      </c>
      <c r="I4678" s="2">
        <v>-2</v>
      </c>
    </row>
    <row r="4679" spans="1:9" hidden="1" x14ac:dyDescent="0.3">
      <c r="A4679" t="s">
        <v>69</v>
      </c>
      <c r="B4679" s="1">
        <v>44197</v>
      </c>
      <c r="C4679" s="2">
        <v>12357</v>
      </c>
      <c r="D4679" s="2" t="s">
        <v>3</v>
      </c>
      <c r="E4679" s="2">
        <v>12263</v>
      </c>
      <c r="F4679" s="2" t="s">
        <v>3</v>
      </c>
      <c r="G4679" s="2" t="s">
        <v>3</v>
      </c>
      <c r="H4679" s="2">
        <v>94</v>
      </c>
      <c r="I4679" s="2">
        <v>14</v>
      </c>
    </row>
    <row r="4680" spans="1:9" hidden="1" x14ac:dyDescent="0.3">
      <c r="A4680" t="s">
        <v>69</v>
      </c>
      <c r="B4680" s="1">
        <v>44166</v>
      </c>
      <c r="C4680" s="2">
        <v>12867</v>
      </c>
      <c r="D4680" s="2" t="s">
        <v>3</v>
      </c>
      <c r="E4680" s="2">
        <v>12787</v>
      </c>
      <c r="F4680" s="2" t="s">
        <v>3</v>
      </c>
      <c r="G4680" s="2" t="s">
        <v>3</v>
      </c>
      <c r="H4680" s="2">
        <v>80</v>
      </c>
      <c r="I4680" s="2">
        <v>13</v>
      </c>
    </row>
    <row r="4681" spans="1:9" hidden="1" x14ac:dyDescent="0.3">
      <c r="A4681" t="s">
        <v>69</v>
      </c>
      <c r="B4681" s="1">
        <v>44136</v>
      </c>
      <c r="C4681" s="2">
        <v>13043</v>
      </c>
      <c r="D4681" s="2" t="s">
        <v>3</v>
      </c>
      <c r="E4681" s="2">
        <v>12976</v>
      </c>
      <c r="F4681" s="2" t="s">
        <v>3</v>
      </c>
      <c r="G4681" s="2" t="s">
        <v>3</v>
      </c>
      <c r="H4681" s="2">
        <v>67</v>
      </c>
      <c r="I4681" s="2">
        <v>-2</v>
      </c>
    </row>
    <row r="4682" spans="1:9" hidden="1" x14ac:dyDescent="0.3">
      <c r="A4682" t="s">
        <v>69</v>
      </c>
      <c r="B4682" s="1">
        <v>44105</v>
      </c>
      <c r="C4682" s="2">
        <v>12895</v>
      </c>
      <c r="D4682" s="2" t="s">
        <v>3</v>
      </c>
      <c r="E4682" s="2">
        <v>12826</v>
      </c>
      <c r="F4682" s="2" t="s">
        <v>3</v>
      </c>
      <c r="G4682" s="2" t="s">
        <v>3</v>
      </c>
      <c r="H4682" s="2">
        <v>69</v>
      </c>
      <c r="I4682" s="2">
        <v>-24</v>
      </c>
    </row>
    <row r="4683" spans="1:9" hidden="1" x14ac:dyDescent="0.3">
      <c r="A4683" t="s">
        <v>69</v>
      </c>
      <c r="B4683" s="1">
        <v>44075</v>
      </c>
      <c r="C4683" s="2">
        <v>12678</v>
      </c>
      <c r="D4683" s="2" t="s">
        <v>3</v>
      </c>
      <c r="E4683" s="2">
        <v>12585</v>
      </c>
      <c r="F4683" s="2" t="s">
        <v>3</v>
      </c>
      <c r="G4683" s="2" t="s">
        <v>3</v>
      </c>
      <c r="H4683" s="2">
        <v>93</v>
      </c>
      <c r="I4683" s="2">
        <v>2</v>
      </c>
    </row>
    <row r="4684" spans="1:9" hidden="1" x14ac:dyDescent="0.3">
      <c r="A4684" t="s">
        <v>69</v>
      </c>
      <c r="B4684" s="1">
        <v>44044</v>
      </c>
      <c r="C4684" s="2">
        <v>12668</v>
      </c>
      <c r="D4684" s="2" t="s">
        <v>3</v>
      </c>
      <c r="E4684" s="2">
        <v>12577</v>
      </c>
      <c r="F4684" s="2" t="s">
        <v>3</v>
      </c>
      <c r="G4684" s="2" t="s">
        <v>3</v>
      </c>
      <c r="H4684" s="2">
        <v>91</v>
      </c>
      <c r="I4684" s="2">
        <v>0</v>
      </c>
    </row>
    <row r="4685" spans="1:9" hidden="1" x14ac:dyDescent="0.3">
      <c r="A4685" t="s">
        <v>69</v>
      </c>
      <c r="B4685" s="1">
        <v>44013</v>
      </c>
      <c r="C4685" s="2">
        <v>12908</v>
      </c>
      <c r="D4685" s="2" t="s">
        <v>3</v>
      </c>
      <c r="E4685" s="2">
        <v>12817</v>
      </c>
      <c r="F4685" s="2" t="s">
        <v>3</v>
      </c>
      <c r="G4685" s="2" t="s">
        <v>3</v>
      </c>
      <c r="H4685" s="2">
        <v>91</v>
      </c>
      <c r="I4685" s="2">
        <v>0</v>
      </c>
    </row>
    <row r="4686" spans="1:9" hidden="1" x14ac:dyDescent="0.3">
      <c r="A4686" t="s">
        <v>69</v>
      </c>
      <c r="B4686" s="1">
        <v>43983</v>
      </c>
      <c r="C4686" s="2">
        <v>12867</v>
      </c>
      <c r="D4686" s="2" t="s">
        <v>3</v>
      </c>
      <c r="E4686" s="2">
        <v>12776</v>
      </c>
      <c r="F4686" s="2" t="s">
        <v>3</v>
      </c>
      <c r="G4686" s="2" t="s">
        <v>3</v>
      </c>
      <c r="H4686" s="2">
        <v>91</v>
      </c>
      <c r="I4686" s="2">
        <v>0</v>
      </c>
    </row>
    <row r="4687" spans="1:9" hidden="1" x14ac:dyDescent="0.3">
      <c r="A4687" t="s">
        <v>69</v>
      </c>
      <c r="B4687" s="1">
        <v>43952</v>
      </c>
      <c r="C4687" s="2">
        <v>12896</v>
      </c>
      <c r="D4687" s="2" t="s">
        <v>3</v>
      </c>
      <c r="E4687" s="2">
        <v>12805</v>
      </c>
      <c r="F4687" s="2" t="s">
        <v>3</v>
      </c>
      <c r="G4687" s="2" t="s">
        <v>3</v>
      </c>
      <c r="H4687" s="2">
        <v>91</v>
      </c>
      <c r="I4687" s="2">
        <v>0</v>
      </c>
    </row>
    <row r="4688" spans="1:9" hidden="1" x14ac:dyDescent="0.3">
      <c r="A4688" t="s">
        <v>69</v>
      </c>
      <c r="B4688" s="1">
        <v>43922</v>
      </c>
      <c r="C4688" s="2">
        <v>12829</v>
      </c>
      <c r="D4688" s="2" t="s">
        <v>3</v>
      </c>
      <c r="E4688" s="2">
        <v>12738</v>
      </c>
      <c r="F4688" s="2" t="s">
        <v>3</v>
      </c>
      <c r="G4688" s="2" t="s">
        <v>3</v>
      </c>
      <c r="H4688" s="2">
        <v>91</v>
      </c>
      <c r="I4688" s="2">
        <v>-43</v>
      </c>
    </row>
    <row r="4689" spans="1:9" hidden="1" x14ac:dyDescent="0.3">
      <c r="A4689" t="s">
        <v>69</v>
      </c>
      <c r="B4689" s="1">
        <v>43891</v>
      </c>
      <c r="C4689" s="2">
        <v>13169</v>
      </c>
      <c r="D4689" s="2" t="s">
        <v>3</v>
      </c>
      <c r="E4689" s="2">
        <v>13035</v>
      </c>
      <c r="F4689" s="2" t="s">
        <v>3</v>
      </c>
      <c r="G4689" s="2" t="s">
        <v>3</v>
      </c>
      <c r="H4689" s="2">
        <v>134</v>
      </c>
      <c r="I4689" s="2">
        <v>-6</v>
      </c>
    </row>
    <row r="4690" spans="1:9" hidden="1" x14ac:dyDescent="0.3">
      <c r="A4690" t="s">
        <v>69</v>
      </c>
      <c r="B4690" s="1">
        <v>43862</v>
      </c>
      <c r="C4690" s="2">
        <v>14120</v>
      </c>
      <c r="D4690" s="2" t="s">
        <v>3</v>
      </c>
      <c r="E4690" s="2">
        <v>13980</v>
      </c>
      <c r="F4690" s="2" t="s">
        <v>3</v>
      </c>
      <c r="G4690" s="2" t="s">
        <v>3</v>
      </c>
      <c r="H4690" s="2">
        <v>140</v>
      </c>
      <c r="I4690" s="2">
        <v>-20</v>
      </c>
    </row>
    <row r="4691" spans="1:9" hidden="1" x14ac:dyDescent="0.3">
      <c r="A4691" t="s">
        <v>69</v>
      </c>
      <c r="B4691" s="1">
        <v>43831</v>
      </c>
      <c r="C4691" s="2">
        <v>14046</v>
      </c>
      <c r="D4691" s="2" t="s">
        <v>3</v>
      </c>
      <c r="E4691" s="2">
        <v>13886</v>
      </c>
      <c r="F4691" s="2" t="s">
        <v>3</v>
      </c>
      <c r="G4691" s="2" t="s">
        <v>3</v>
      </c>
      <c r="H4691" s="2">
        <v>160</v>
      </c>
      <c r="I4691" s="2">
        <v>93</v>
      </c>
    </row>
    <row r="4692" spans="1:9" x14ac:dyDescent="0.3">
      <c r="A4692" t="s">
        <v>70</v>
      </c>
      <c r="B4692" s="1">
        <v>45931</v>
      </c>
      <c r="C4692" s="2">
        <v>62395</v>
      </c>
      <c r="D4692" s="2">
        <v>1583</v>
      </c>
      <c r="E4692" s="2">
        <v>60375</v>
      </c>
      <c r="F4692" s="2">
        <v>1656</v>
      </c>
      <c r="G4692" s="2">
        <v>-54</v>
      </c>
      <c r="H4692" s="2">
        <v>2020</v>
      </c>
      <c r="I4692" s="2">
        <v>-73</v>
      </c>
    </row>
    <row r="4693" spans="1:9" x14ac:dyDescent="0.3">
      <c r="A4693" t="s">
        <v>70</v>
      </c>
      <c r="B4693" s="1">
        <v>45901</v>
      </c>
      <c r="C4693" s="2">
        <v>60602</v>
      </c>
      <c r="D4693" s="2">
        <v>227</v>
      </c>
      <c r="E4693" s="2">
        <v>58509</v>
      </c>
      <c r="F4693" s="2">
        <v>204</v>
      </c>
      <c r="G4693" s="2">
        <v>181</v>
      </c>
      <c r="H4693" s="2">
        <v>2093</v>
      </c>
      <c r="I4693" s="2">
        <v>23</v>
      </c>
    </row>
    <row r="4694" spans="1:9" x14ac:dyDescent="0.3">
      <c r="A4694" t="s">
        <v>70</v>
      </c>
      <c r="B4694" s="1">
        <v>45870</v>
      </c>
      <c r="C4694" s="2">
        <v>60185</v>
      </c>
      <c r="D4694" s="2">
        <v>2836</v>
      </c>
      <c r="E4694" s="2">
        <v>58115</v>
      </c>
      <c r="F4694" s="2">
        <v>2377</v>
      </c>
      <c r="G4694" s="2">
        <v>404</v>
      </c>
      <c r="H4694" s="2">
        <v>2070</v>
      </c>
      <c r="I4694" s="2">
        <v>459</v>
      </c>
    </row>
    <row r="4695" spans="1:9" x14ac:dyDescent="0.3">
      <c r="A4695" t="s">
        <v>70</v>
      </c>
      <c r="B4695" s="1">
        <v>45839</v>
      </c>
      <c r="C4695" s="2">
        <v>56919</v>
      </c>
      <c r="D4695" s="2">
        <v>834</v>
      </c>
      <c r="E4695" s="2">
        <v>55308</v>
      </c>
      <c r="F4695" s="2">
        <v>1506</v>
      </c>
      <c r="G4695" s="2">
        <v>-384</v>
      </c>
      <c r="H4695" s="2">
        <v>1611</v>
      </c>
      <c r="I4695" s="2">
        <v>-672</v>
      </c>
    </row>
    <row r="4696" spans="1:9" x14ac:dyDescent="0.3">
      <c r="A4696" t="s">
        <v>70</v>
      </c>
      <c r="B4696" s="1">
        <v>45809</v>
      </c>
      <c r="C4696" s="2">
        <v>57037</v>
      </c>
      <c r="D4696" s="2">
        <v>-451</v>
      </c>
      <c r="E4696" s="2">
        <v>54754</v>
      </c>
      <c r="F4696" s="2">
        <v>-1081</v>
      </c>
      <c r="G4696" s="2">
        <v>260</v>
      </c>
      <c r="H4696" s="2">
        <v>2283</v>
      </c>
      <c r="I4696" s="2">
        <v>630</v>
      </c>
    </row>
    <row r="4697" spans="1:9" x14ac:dyDescent="0.3">
      <c r="A4697" t="s">
        <v>70</v>
      </c>
      <c r="B4697" s="1">
        <v>45778</v>
      </c>
      <c r="C4697" s="2">
        <v>57699</v>
      </c>
      <c r="D4697" s="2">
        <v>-311</v>
      </c>
      <c r="E4697" s="2">
        <v>56046</v>
      </c>
      <c r="F4697" s="2">
        <v>261</v>
      </c>
      <c r="G4697" s="2">
        <v>-495</v>
      </c>
      <c r="H4697" s="2">
        <v>1653</v>
      </c>
      <c r="I4697" s="2">
        <v>-572</v>
      </c>
    </row>
    <row r="4698" spans="1:9" x14ac:dyDescent="0.3">
      <c r="A4698" t="s">
        <v>70</v>
      </c>
      <c r="B4698" s="1">
        <v>45748</v>
      </c>
      <c r="C4698" s="2">
        <v>58509</v>
      </c>
      <c r="D4698" s="2">
        <v>97</v>
      </c>
      <c r="E4698" s="2">
        <v>56284</v>
      </c>
      <c r="F4698" s="2">
        <v>-55</v>
      </c>
      <c r="G4698" s="2">
        <v>492</v>
      </c>
      <c r="H4698" s="2">
        <v>2225</v>
      </c>
      <c r="I4698" s="2">
        <v>152</v>
      </c>
    </row>
    <row r="4699" spans="1:9" x14ac:dyDescent="0.3">
      <c r="A4699" t="s">
        <v>70</v>
      </c>
      <c r="B4699" s="1">
        <v>45717</v>
      </c>
      <c r="C4699" s="2">
        <v>59255</v>
      </c>
      <c r="D4699" s="2">
        <v>855</v>
      </c>
      <c r="E4699" s="2">
        <v>57182</v>
      </c>
      <c r="F4699" s="2">
        <v>729</v>
      </c>
      <c r="G4699" s="2">
        <v>590</v>
      </c>
      <c r="H4699" s="2">
        <v>2073</v>
      </c>
      <c r="I4699" s="2">
        <v>126</v>
      </c>
    </row>
    <row r="4700" spans="1:9" x14ac:dyDescent="0.3">
      <c r="A4700" t="s">
        <v>70</v>
      </c>
      <c r="B4700" s="1">
        <v>45689</v>
      </c>
      <c r="C4700" s="2">
        <v>58044</v>
      </c>
      <c r="D4700" s="2">
        <v>911</v>
      </c>
      <c r="E4700" s="2">
        <v>56097</v>
      </c>
      <c r="F4700" s="2">
        <v>1314</v>
      </c>
      <c r="G4700" s="2">
        <v>588</v>
      </c>
      <c r="H4700" s="2">
        <v>1947</v>
      </c>
      <c r="I4700" s="2">
        <v>-403</v>
      </c>
    </row>
    <row r="4701" spans="1:9" x14ac:dyDescent="0.3">
      <c r="A4701" t="s">
        <v>70</v>
      </c>
      <c r="B4701" s="1">
        <v>45658</v>
      </c>
      <c r="C4701" s="2">
        <v>57210</v>
      </c>
      <c r="D4701" s="2">
        <v>-5338</v>
      </c>
      <c r="E4701" s="2">
        <v>54860</v>
      </c>
      <c r="F4701" s="2">
        <v>-5074</v>
      </c>
      <c r="G4701" s="2">
        <v>248</v>
      </c>
      <c r="H4701" s="2">
        <v>2350</v>
      </c>
      <c r="I4701" s="2">
        <v>-264</v>
      </c>
    </row>
    <row r="4702" spans="1:9" x14ac:dyDescent="0.3">
      <c r="A4702" t="s">
        <v>70</v>
      </c>
      <c r="B4702" s="1">
        <v>45627</v>
      </c>
      <c r="C4702" s="2">
        <v>62840</v>
      </c>
      <c r="D4702" s="2">
        <v>-834</v>
      </c>
      <c r="E4702" s="2">
        <v>60226</v>
      </c>
      <c r="F4702" s="2">
        <v>-1824</v>
      </c>
      <c r="G4702" s="2">
        <v>-358</v>
      </c>
      <c r="H4702" s="2">
        <v>2614</v>
      </c>
      <c r="I4702" s="2">
        <v>990</v>
      </c>
    </row>
    <row r="4703" spans="1:9" x14ac:dyDescent="0.3">
      <c r="A4703" t="s">
        <v>70</v>
      </c>
      <c r="B4703" s="1">
        <v>45597</v>
      </c>
      <c r="C4703" s="2">
        <v>64415</v>
      </c>
      <c r="D4703" s="2">
        <v>580</v>
      </c>
      <c r="E4703" s="2">
        <v>62791</v>
      </c>
      <c r="F4703" s="2">
        <v>744</v>
      </c>
      <c r="G4703" s="2">
        <v>275</v>
      </c>
      <c r="H4703" s="2">
        <v>1624</v>
      </c>
      <c r="I4703" s="2">
        <v>-164</v>
      </c>
    </row>
    <row r="4704" spans="1:9" x14ac:dyDescent="0.3">
      <c r="A4704" t="s">
        <v>70</v>
      </c>
      <c r="B4704" s="1">
        <v>45566</v>
      </c>
      <c r="C4704" s="2">
        <v>63992</v>
      </c>
      <c r="D4704" s="2">
        <v>247</v>
      </c>
      <c r="E4704" s="2">
        <v>62204</v>
      </c>
      <c r="F4704" s="2">
        <v>334</v>
      </c>
      <c r="G4704" s="2">
        <v>-776</v>
      </c>
      <c r="H4704" s="2">
        <v>1788</v>
      </c>
      <c r="I4704" s="2">
        <v>-87</v>
      </c>
    </row>
    <row r="4705" spans="1:9" x14ac:dyDescent="0.3">
      <c r="A4705" t="s">
        <v>70</v>
      </c>
      <c r="B4705" s="1">
        <v>45536</v>
      </c>
      <c r="C4705" s="2">
        <v>64659</v>
      </c>
      <c r="D4705" s="2">
        <v>1572</v>
      </c>
      <c r="E4705" s="2">
        <v>62784</v>
      </c>
      <c r="F4705" s="2">
        <v>1672</v>
      </c>
      <c r="G4705" s="2">
        <v>425</v>
      </c>
      <c r="H4705" s="2">
        <v>1875</v>
      </c>
      <c r="I4705" s="2">
        <v>-100</v>
      </c>
    </row>
    <row r="4706" spans="1:9" x14ac:dyDescent="0.3">
      <c r="A4706" t="s">
        <v>70</v>
      </c>
      <c r="B4706" s="1">
        <v>45505</v>
      </c>
      <c r="C4706" s="2">
        <v>63135</v>
      </c>
      <c r="D4706" s="2">
        <v>833</v>
      </c>
      <c r="E4706" s="2">
        <v>61160</v>
      </c>
      <c r="F4706" s="2">
        <v>1189</v>
      </c>
      <c r="G4706" s="2">
        <v>136</v>
      </c>
      <c r="H4706" s="2">
        <v>1975</v>
      </c>
      <c r="I4706" s="2">
        <v>-356</v>
      </c>
    </row>
    <row r="4707" spans="1:9" x14ac:dyDescent="0.3">
      <c r="A4707" t="s">
        <v>70</v>
      </c>
      <c r="B4707" s="1">
        <v>45474</v>
      </c>
      <c r="C4707" s="2">
        <v>62134</v>
      </c>
      <c r="D4707" s="2">
        <v>1663</v>
      </c>
      <c r="E4707" s="2">
        <v>59803</v>
      </c>
      <c r="F4707" s="2">
        <v>1559</v>
      </c>
      <c r="G4707" s="2">
        <v>730</v>
      </c>
      <c r="H4707" s="2">
        <v>2331</v>
      </c>
      <c r="I4707" s="2">
        <v>104</v>
      </c>
    </row>
    <row r="4708" spans="1:9" x14ac:dyDescent="0.3">
      <c r="A4708" t="s">
        <v>70</v>
      </c>
      <c r="B4708" s="1">
        <v>45444</v>
      </c>
      <c r="C4708" s="2">
        <v>59970</v>
      </c>
      <c r="D4708" s="2">
        <v>1331</v>
      </c>
      <c r="E4708" s="2">
        <v>57743</v>
      </c>
      <c r="F4708" s="2">
        <v>1335</v>
      </c>
      <c r="G4708" s="2">
        <v>138</v>
      </c>
      <c r="H4708" s="2">
        <v>2227</v>
      </c>
      <c r="I4708" s="2">
        <v>-4</v>
      </c>
    </row>
    <row r="4709" spans="1:9" x14ac:dyDescent="0.3">
      <c r="A4709" t="s">
        <v>70</v>
      </c>
      <c r="B4709" s="1">
        <v>45413</v>
      </c>
      <c r="C4709" s="2">
        <v>58752</v>
      </c>
      <c r="D4709" s="2">
        <v>1158</v>
      </c>
      <c r="E4709" s="2">
        <v>56521</v>
      </c>
      <c r="F4709" s="2">
        <v>1153</v>
      </c>
      <c r="G4709" s="2">
        <v>244</v>
      </c>
      <c r="H4709" s="2">
        <v>2231</v>
      </c>
      <c r="I4709" s="2">
        <v>5</v>
      </c>
    </row>
    <row r="4710" spans="1:9" x14ac:dyDescent="0.3">
      <c r="A4710" t="s">
        <v>70</v>
      </c>
      <c r="B4710" s="1">
        <v>45383</v>
      </c>
      <c r="C4710" s="2">
        <v>57689</v>
      </c>
      <c r="D4710" s="2">
        <v>-2148</v>
      </c>
      <c r="E4710" s="2">
        <v>55463</v>
      </c>
      <c r="F4710" s="2">
        <v>-2718</v>
      </c>
      <c r="G4710" s="2">
        <v>-431</v>
      </c>
      <c r="H4710" s="2">
        <v>2226</v>
      </c>
      <c r="I4710" s="2">
        <v>570</v>
      </c>
    </row>
    <row r="4711" spans="1:9" x14ac:dyDescent="0.3">
      <c r="A4711" t="s">
        <v>70</v>
      </c>
      <c r="B4711" s="1">
        <v>45352</v>
      </c>
      <c r="C4711" s="2">
        <v>60056</v>
      </c>
      <c r="D4711" s="2">
        <v>2486</v>
      </c>
      <c r="E4711" s="2">
        <v>58400</v>
      </c>
      <c r="F4711" s="2">
        <v>2322</v>
      </c>
      <c r="G4711" s="2">
        <v>174</v>
      </c>
      <c r="H4711" s="2">
        <v>1656</v>
      </c>
      <c r="I4711" s="2">
        <v>164</v>
      </c>
    </row>
    <row r="4712" spans="1:9" x14ac:dyDescent="0.3">
      <c r="A4712" t="s">
        <v>70</v>
      </c>
      <c r="B4712" s="1">
        <v>45323</v>
      </c>
      <c r="C4712" s="2">
        <v>57922</v>
      </c>
      <c r="D4712" s="2">
        <v>1092</v>
      </c>
      <c r="E4712" s="2">
        <v>56430</v>
      </c>
      <c r="F4712" s="2">
        <v>1158</v>
      </c>
      <c r="G4712" s="2">
        <v>-1545</v>
      </c>
      <c r="H4712" s="2">
        <v>1492</v>
      </c>
      <c r="I4712" s="2">
        <v>-66</v>
      </c>
    </row>
    <row r="4713" spans="1:9" x14ac:dyDescent="0.3">
      <c r="A4713" t="s">
        <v>70</v>
      </c>
      <c r="B4713" s="1">
        <v>45292</v>
      </c>
      <c r="C4713" s="2">
        <v>57519</v>
      </c>
      <c r="D4713" s="2">
        <v>265</v>
      </c>
      <c r="E4713" s="2">
        <v>55961</v>
      </c>
      <c r="F4713" s="2">
        <v>284</v>
      </c>
      <c r="G4713" s="2">
        <v>-162</v>
      </c>
      <c r="H4713" s="2">
        <v>1558</v>
      </c>
      <c r="I4713" s="2">
        <v>-19</v>
      </c>
    </row>
    <row r="4714" spans="1:9" x14ac:dyDescent="0.3">
      <c r="A4714" t="s">
        <v>70</v>
      </c>
      <c r="B4714" s="1">
        <v>45261</v>
      </c>
      <c r="C4714" s="2">
        <v>57672</v>
      </c>
      <c r="D4714" s="2">
        <v>636</v>
      </c>
      <c r="E4714" s="2">
        <v>56095</v>
      </c>
      <c r="F4714" s="2">
        <v>209</v>
      </c>
      <c r="G4714" s="2">
        <v>1106</v>
      </c>
      <c r="H4714" s="2">
        <v>1577</v>
      </c>
      <c r="I4714" s="2">
        <v>427</v>
      </c>
    </row>
    <row r="4715" spans="1:9" x14ac:dyDescent="0.3">
      <c r="A4715" t="s">
        <v>70</v>
      </c>
      <c r="B4715" s="1">
        <v>45231</v>
      </c>
      <c r="C4715" s="2">
        <v>54550</v>
      </c>
      <c r="D4715" s="2">
        <v>4091</v>
      </c>
      <c r="E4715" s="2">
        <v>53400</v>
      </c>
      <c r="F4715" s="2">
        <v>4038</v>
      </c>
      <c r="G4715" s="2">
        <v>544</v>
      </c>
      <c r="H4715" s="2">
        <v>1150</v>
      </c>
      <c r="I4715" s="2">
        <v>53</v>
      </c>
    </row>
    <row r="4716" spans="1:9" x14ac:dyDescent="0.3">
      <c r="A4716" t="s">
        <v>70</v>
      </c>
      <c r="B4716" s="1">
        <v>45200</v>
      </c>
      <c r="C4716" s="2">
        <v>50591</v>
      </c>
      <c r="D4716" s="2">
        <v>1925</v>
      </c>
      <c r="E4716" s="2">
        <v>49494</v>
      </c>
      <c r="F4716" s="2">
        <v>1861</v>
      </c>
      <c r="G4716" s="2">
        <v>-65</v>
      </c>
      <c r="H4716" s="2">
        <v>1097</v>
      </c>
      <c r="I4716" s="2">
        <v>64</v>
      </c>
    </row>
    <row r="4717" spans="1:9" x14ac:dyDescent="0.3">
      <c r="A4717" t="s">
        <v>70</v>
      </c>
      <c r="B4717" s="1">
        <v>45170</v>
      </c>
      <c r="C4717" s="2">
        <v>48444</v>
      </c>
      <c r="D4717" s="2">
        <v>677</v>
      </c>
      <c r="E4717" s="2">
        <v>47411</v>
      </c>
      <c r="F4717" s="2">
        <v>496</v>
      </c>
      <c r="G4717" s="2">
        <v>102</v>
      </c>
      <c r="H4717" s="2">
        <v>1033</v>
      </c>
      <c r="I4717" s="2">
        <v>181</v>
      </c>
    </row>
    <row r="4718" spans="1:9" x14ac:dyDescent="0.3">
      <c r="A4718" t="s">
        <v>70</v>
      </c>
      <c r="B4718" s="1">
        <v>45139</v>
      </c>
      <c r="C4718" s="2">
        <v>48645</v>
      </c>
      <c r="D4718" s="2">
        <v>-484</v>
      </c>
      <c r="E4718" s="2">
        <v>47793</v>
      </c>
      <c r="F4718" s="2">
        <v>82</v>
      </c>
      <c r="G4718" s="2">
        <v>153</v>
      </c>
      <c r="H4718" s="2">
        <v>852</v>
      </c>
      <c r="I4718" s="2">
        <v>-566</v>
      </c>
    </row>
    <row r="4719" spans="1:9" x14ac:dyDescent="0.3">
      <c r="A4719" t="s">
        <v>70</v>
      </c>
      <c r="B4719" s="1">
        <v>45108</v>
      </c>
      <c r="C4719" s="2">
        <v>49613</v>
      </c>
      <c r="D4719" s="2">
        <v>42</v>
      </c>
      <c r="E4719" s="2">
        <v>48195</v>
      </c>
      <c r="F4719" s="2">
        <v>765</v>
      </c>
      <c r="G4719" s="2">
        <v>313</v>
      </c>
      <c r="H4719" s="2">
        <v>1418</v>
      </c>
      <c r="I4719" s="2">
        <v>-723</v>
      </c>
    </row>
    <row r="4720" spans="1:9" x14ac:dyDescent="0.3">
      <c r="A4720" t="s">
        <v>70</v>
      </c>
      <c r="B4720" s="1">
        <v>45078</v>
      </c>
      <c r="C4720" s="2">
        <v>49712</v>
      </c>
      <c r="D4720" s="2">
        <v>68</v>
      </c>
      <c r="E4720" s="2">
        <v>47571</v>
      </c>
      <c r="F4720" s="2">
        <v>301</v>
      </c>
      <c r="G4720" s="2">
        <v>97</v>
      </c>
      <c r="H4720" s="2">
        <v>2141</v>
      </c>
      <c r="I4720" s="2">
        <v>-233</v>
      </c>
    </row>
    <row r="4721" spans="1:9" x14ac:dyDescent="0.3">
      <c r="A4721" t="s">
        <v>70</v>
      </c>
      <c r="B4721" s="1">
        <v>45047</v>
      </c>
      <c r="C4721" s="2">
        <v>49285</v>
      </c>
      <c r="D4721" s="2">
        <v>345</v>
      </c>
      <c r="E4721" s="2">
        <v>46911</v>
      </c>
      <c r="F4721" s="2">
        <v>1110</v>
      </c>
      <c r="G4721" s="2">
        <v>-37</v>
      </c>
      <c r="H4721" s="2">
        <v>2374</v>
      </c>
      <c r="I4721" s="2">
        <v>-765</v>
      </c>
    </row>
    <row r="4722" spans="1:9" x14ac:dyDescent="0.3">
      <c r="A4722" t="s">
        <v>70</v>
      </c>
      <c r="B4722" s="1">
        <v>45017</v>
      </c>
      <c r="C4722" s="2">
        <v>49951</v>
      </c>
      <c r="D4722" s="2">
        <v>-1067</v>
      </c>
      <c r="E4722" s="2">
        <v>46812</v>
      </c>
      <c r="F4722" s="2">
        <v>158</v>
      </c>
      <c r="G4722" s="2">
        <v>363</v>
      </c>
      <c r="H4722" s="2">
        <v>3139</v>
      </c>
      <c r="I4722" s="2">
        <v>-1225</v>
      </c>
    </row>
    <row r="4723" spans="1:9" x14ac:dyDescent="0.3">
      <c r="A4723" t="s">
        <v>70</v>
      </c>
      <c r="B4723" s="1">
        <v>44986</v>
      </c>
      <c r="C4723" s="2">
        <v>51495</v>
      </c>
      <c r="D4723" s="2">
        <v>-188</v>
      </c>
      <c r="E4723" s="2">
        <v>47131</v>
      </c>
      <c r="F4723" s="2">
        <v>-217</v>
      </c>
      <c r="G4723" s="2">
        <v>1117</v>
      </c>
      <c r="H4723" s="2">
        <v>4364</v>
      </c>
      <c r="I4723" s="2">
        <v>29</v>
      </c>
    </row>
    <row r="4724" spans="1:9" x14ac:dyDescent="0.3">
      <c r="A4724" t="s">
        <v>70</v>
      </c>
      <c r="B4724" s="1">
        <v>44958</v>
      </c>
      <c r="C4724" s="2">
        <v>50959</v>
      </c>
      <c r="D4724" s="2">
        <v>3150</v>
      </c>
      <c r="E4724" s="2">
        <v>46624</v>
      </c>
      <c r="F4724" s="2">
        <v>1105</v>
      </c>
      <c r="G4724" s="2">
        <v>-111</v>
      </c>
      <c r="H4724" s="2">
        <v>4335</v>
      </c>
      <c r="I4724" s="2">
        <v>2045</v>
      </c>
    </row>
    <row r="4725" spans="1:9" hidden="1" x14ac:dyDescent="0.3">
      <c r="A4725" t="s">
        <v>70</v>
      </c>
      <c r="B4725" s="1">
        <v>44927</v>
      </c>
      <c r="C4725" s="2">
        <v>48752</v>
      </c>
      <c r="D4725" s="2" t="s">
        <v>3</v>
      </c>
      <c r="E4725" s="2">
        <v>46462</v>
      </c>
      <c r="F4725" s="2" t="s">
        <v>3</v>
      </c>
      <c r="G4725" s="2" t="s">
        <v>3</v>
      </c>
      <c r="H4725" s="2">
        <v>2290</v>
      </c>
      <c r="I4725" s="2">
        <v>958</v>
      </c>
    </row>
    <row r="4726" spans="1:9" hidden="1" x14ac:dyDescent="0.3">
      <c r="A4726" t="s">
        <v>70</v>
      </c>
      <c r="B4726" s="1">
        <v>44896</v>
      </c>
      <c r="C4726" s="2">
        <v>48227</v>
      </c>
      <c r="D4726" s="2" t="s">
        <v>3</v>
      </c>
      <c r="E4726" s="2">
        <v>46895</v>
      </c>
      <c r="F4726" s="2" t="s">
        <v>3</v>
      </c>
      <c r="G4726" s="2" t="s">
        <v>3</v>
      </c>
      <c r="H4726" s="2">
        <v>1332</v>
      </c>
      <c r="I4726" s="2">
        <v>-45</v>
      </c>
    </row>
    <row r="4727" spans="1:9" hidden="1" x14ac:dyDescent="0.3">
      <c r="A4727" t="s">
        <v>70</v>
      </c>
      <c r="B4727" s="1">
        <v>44866</v>
      </c>
      <c r="C4727" s="2">
        <v>47855</v>
      </c>
      <c r="D4727" s="2" t="s">
        <v>3</v>
      </c>
      <c r="E4727" s="2">
        <v>46478</v>
      </c>
      <c r="F4727" s="2" t="s">
        <v>3</v>
      </c>
      <c r="G4727" s="2" t="s">
        <v>3</v>
      </c>
      <c r="H4727" s="2">
        <v>1377</v>
      </c>
      <c r="I4727" s="2">
        <v>79</v>
      </c>
    </row>
    <row r="4728" spans="1:9" hidden="1" x14ac:dyDescent="0.3">
      <c r="A4728" t="s">
        <v>70</v>
      </c>
      <c r="B4728" s="1">
        <v>44835</v>
      </c>
      <c r="C4728" s="2">
        <v>46985</v>
      </c>
      <c r="D4728" s="2" t="s">
        <v>3</v>
      </c>
      <c r="E4728" s="2">
        <v>45687</v>
      </c>
      <c r="F4728" s="2" t="s">
        <v>3</v>
      </c>
      <c r="G4728" s="2" t="s">
        <v>3</v>
      </c>
      <c r="H4728" s="2">
        <v>1298</v>
      </c>
      <c r="I4728" s="2">
        <v>-58</v>
      </c>
    </row>
    <row r="4729" spans="1:9" hidden="1" x14ac:dyDescent="0.3">
      <c r="A4729" t="s">
        <v>70</v>
      </c>
      <c r="B4729" s="1">
        <v>44805</v>
      </c>
      <c r="C4729" s="2">
        <v>51246</v>
      </c>
      <c r="D4729" s="2" t="s">
        <v>3</v>
      </c>
      <c r="E4729" s="2">
        <v>49890</v>
      </c>
      <c r="F4729" s="2" t="s">
        <v>3</v>
      </c>
      <c r="G4729" s="2" t="s">
        <v>3</v>
      </c>
      <c r="H4729" s="2">
        <v>1356</v>
      </c>
      <c r="I4729" s="2">
        <v>639</v>
      </c>
    </row>
    <row r="4730" spans="1:9" hidden="1" x14ac:dyDescent="0.3">
      <c r="A4730" t="s">
        <v>70</v>
      </c>
      <c r="B4730" s="1">
        <v>44774</v>
      </c>
      <c r="C4730" s="2">
        <v>50889</v>
      </c>
      <c r="D4730" s="2" t="s">
        <v>3</v>
      </c>
      <c r="E4730" s="2">
        <v>50172</v>
      </c>
      <c r="F4730" s="2" t="s">
        <v>3</v>
      </c>
      <c r="G4730" s="2" t="s">
        <v>3</v>
      </c>
      <c r="H4730" s="2">
        <v>717</v>
      </c>
      <c r="I4730" s="2">
        <v>-68</v>
      </c>
    </row>
    <row r="4731" spans="1:9" hidden="1" x14ac:dyDescent="0.3">
      <c r="A4731" t="s">
        <v>70</v>
      </c>
      <c r="B4731" s="1">
        <v>44743</v>
      </c>
      <c r="C4731" s="2">
        <v>51234</v>
      </c>
      <c r="D4731" s="2" t="s">
        <v>3</v>
      </c>
      <c r="E4731" s="2">
        <v>50449</v>
      </c>
      <c r="F4731" s="2" t="s">
        <v>3</v>
      </c>
      <c r="G4731" s="2" t="s">
        <v>3</v>
      </c>
      <c r="H4731" s="2">
        <v>785</v>
      </c>
      <c r="I4731" s="2">
        <v>59</v>
      </c>
    </row>
    <row r="4732" spans="1:9" hidden="1" x14ac:dyDescent="0.3">
      <c r="A4732" t="s">
        <v>70</v>
      </c>
      <c r="B4732" s="1">
        <v>44713</v>
      </c>
      <c r="C4732" s="2">
        <v>49653</v>
      </c>
      <c r="D4732" s="2" t="s">
        <v>3</v>
      </c>
      <c r="E4732" s="2">
        <v>48927</v>
      </c>
      <c r="F4732" s="2" t="s">
        <v>3</v>
      </c>
      <c r="G4732" s="2" t="s">
        <v>3</v>
      </c>
      <c r="H4732" s="2">
        <v>726</v>
      </c>
      <c r="I4732" s="2">
        <v>-1725</v>
      </c>
    </row>
    <row r="4733" spans="1:9" hidden="1" x14ac:dyDescent="0.3">
      <c r="A4733" t="s">
        <v>70</v>
      </c>
      <c r="B4733" s="1">
        <v>44682</v>
      </c>
      <c r="C4733" s="2">
        <v>50561</v>
      </c>
      <c r="D4733" s="2" t="s">
        <v>3</v>
      </c>
      <c r="E4733" s="2">
        <v>48110</v>
      </c>
      <c r="F4733" s="2" t="s">
        <v>3</v>
      </c>
      <c r="G4733" s="2" t="s">
        <v>3</v>
      </c>
      <c r="H4733" s="2">
        <v>2451</v>
      </c>
      <c r="I4733" s="2">
        <v>-303</v>
      </c>
    </row>
    <row r="4734" spans="1:9" hidden="1" x14ac:dyDescent="0.3">
      <c r="A4734" t="s">
        <v>70</v>
      </c>
      <c r="B4734" s="1">
        <v>44652</v>
      </c>
      <c r="C4734" s="2">
        <v>50924</v>
      </c>
      <c r="D4734" s="2" t="s">
        <v>3</v>
      </c>
      <c r="E4734" s="2">
        <v>48170</v>
      </c>
      <c r="F4734" s="2" t="s">
        <v>3</v>
      </c>
      <c r="G4734" s="2" t="s">
        <v>3</v>
      </c>
      <c r="H4734" s="2">
        <v>2754</v>
      </c>
      <c r="I4734" s="2">
        <v>-1148</v>
      </c>
    </row>
    <row r="4735" spans="1:9" hidden="1" x14ac:dyDescent="0.3">
      <c r="A4735" t="s">
        <v>70</v>
      </c>
      <c r="B4735" s="1">
        <v>44621</v>
      </c>
      <c r="C4735" s="2">
        <v>52483</v>
      </c>
      <c r="D4735" s="2" t="s">
        <v>3</v>
      </c>
      <c r="E4735" s="2">
        <v>48581</v>
      </c>
      <c r="F4735" s="2" t="s">
        <v>3</v>
      </c>
      <c r="G4735" s="2" t="s">
        <v>3</v>
      </c>
      <c r="H4735" s="2">
        <v>3902</v>
      </c>
      <c r="I4735" s="2">
        <v>390</v>
      </c>
    </row>
    <row r="4736" spans="1:9" hidden="1" x14ac:dyDescent="0.3">
      <c r="A4736" t="s">
        <v>70</v>
      </c>
      <c r="B4736" s="1">
        <v>44593</v>
      </c>
      <c r="C4736" s="2">
        <v>53942</v>
      </c>
      <c r="D4736" s="2" t="s">
        <v>3</v>
      </c>
      <c r="E4736" s="2">
        <v>50430</v>
      </c>
      <c r="F4736" s="2" t="s">
        <v>3</v>
      </c>
      <c r="G4736" s="2" t="s">
        <v>3</v>
      </c>
      <c r="H4736" s="2">
        <v>3512</v>
      </c>
      <c r="I4736" s="2">
        <v>581</v>
      </c>
    </row>
    <row r="4737" spans="1:9" hidden="1" x14ac:dyDescent="0.3">
      <c r="A4737" t="s">
        <v>70</v>
      </c>
      <c r="B4737" s="1">
        <v>44562</v>
      </c>
      <c r="C4737" s="2">
        <v>52528</v>
      </c>
      <c r="D4737" s="2" t="s">
        <v>3</v>
      </c>
      <c r="E4737" s="2">
        <v>49597</v>
      </c>
      <c r="F4737" s="2" t="s">
        <v>3</v>
      </c>
      <c r="G4737" s="2" t="s">
        <v>3</v>
      </c>
      <c r="H4737" s="2">
        <v>2931</v>
      </c>
      <c r="I4737" s="2">
        <v>1891</v>
      </c>
    </row>
    <row r="4738" spans="1:9" hidden="1" x14ac:dyDescent="0.3">
      <c r="A4738" t="s">
        <v>70</v>
      </c>
      <c r="B4738" s="1">
        <v>44531</v>
      </c>
      <c r="C4738" s="2">
        <v>48609</v>
      </c>
      <c r="D4738" s="2" t="s">
        <v>3</v>
      </c>
      <c r="E4738" s="2">
        <v>47569</v>
      </c>
      <c r="F4738" s="2" t="s">
        <v>3</v>
      </c>
      <c r="G4738" s="2" t="s">
        <v>3</v>
      </c>
      <c r="H4738" s="2">
        <v>1040</v>
      </c>
      <c r="I4738" s="2">
        <v>3</v>
      </c>
    </row>
    <row r="4739" spans="1:9" hidden="1" x14ac:dyDescent="0.3">
      <c r="A4739" t="s">
        <v>70</v>
      </c>
      <c r="B4739" s="1">
        <v>44501</v>
      </c>
      <c r="C4739" s="2">
        <v>50347</v>
      </c>
      <c r="D4739" s="2" t="s">
        <v>3</v>
      </c>
      <c r="E4739" s="2">
        <v>49310</v>
      </c>
      <c r="F4739" s="2" t="s">
        <v>3</v>
      </c>
      <c r="G4739" s="2" t="s">
        <v>3</v>
      </c>
      <c r="H4739" s="2">
        <v>1037</v>
      </c>
      <c r="I4739" s="2">
        <v>44</v>
      </c>
    </row>
    <row r="4740" spans="1:9" hidden="1" x14ac:dyDescent="0.3">
      <c r="A4740" t="s">
        <v>70</v>
      </c>
      <c r="B4740" s="1">
        <v>44470</v>
      </c>
      <c r="C4740" s="2">
        <v>49828</v>
      </c>
      <c r="D4740" s="2" t="s">
        <v>3</v>
      </c>
      <c r="E4740" s="2">
        <v>48835</v>
      </c>
      <c r="F4740" s="2" t="s">
        <v>3</v>
      </c>
      <c r="G4740" s="2" t="s">
        <v>3</v>
      </c>
      <c r="H4740" s="2">
        <v>993</v>
      </c>
      <c r="I4740" s="2">
        <v>-289</v>
      </c>
    </row>
    <row r="4741" spans="1:9" hidden="1" x14ac:dyDescent="0.3">
      <c r="A4741" t="s">
        <v>70</v>
      </c>
      <c r="B4741" s="1">
        <v>44440</v>
      </c>
      <c r="C4741" s="2">
        <v>50542</v>
      </c>
      <c r="D4741" s="2" t="s">
        <v>3</v>
      </c>
      <c r="E4741" s="2">
        <v>49260</v>
      </c>
      <c r="F4741" s="2" t="s">
        <v>3</v>
      </c>
      <c r="G4741" s="2" t="s">
        <v>3</v>
      </c>
      <c r="H4741" s="2">
        <v>1282</v>
      </c>
      <c r="I4741" s="2">
        <v>105</v>
      </c>
    </row>
    <row r="4742" spans="1:9" hidden="1" x14ac:dyDescent="0.3">
      <c r="A4742" t="s">
        <v>70</v>
      </c>
      <c r="B4742" s="1">
        <v>44409</v>
      </c>
      <c r="C4742" s="2">
        <v>49782</v>
      </c>
      <c r="D4742" s="2" t="s">
        <v>3</v>
      </c>
      <c r="E4742" s="2">
        <v>48605</v>
      </c>
      <c r="F4742" s="2" t="s">
        <v>3</v>
      </c>
      <c r="G4742" s="2" t="s">
        <v>3</v>
      </c>
      <c r="H4742" s="2">
        <v>1177</v>
      </c>
      <c r="I4742" s="2">
        <v>-344</v>
      </c>
    </row>
    <row r="4743" spans="1:9" hidden="1" x14ac:dyDescent="0.3">
      <c r="A4743" t="s">
        <v>70</v>
      </c>
      <c r="B4743" s="1">
        <v>44378</v>
      </c>
      <c r="C4743" s="2">
        <v>50538</v>
      </c>
      <c r="D4743" s="2" t="s">
        <v>3</v>
      </c>
      <c r="E4743" s="2">
        <v>49017</v>
      </c>
      <c r="F4743" s="2" t="s">
        <v>3</v>
      </c>
      <c r="G4743" s="2" t="s">
        <v>3</v>
      </c>
      <c r="H4743" s="2">
        <v>1521</v>
      </c>
      <c r="I4743" s="2">
        <v>9</v>
      </c>
    </row>
    <row r="4744" spans="1:9" hidden="1" x14ac:dyDescent="0.3">
      <c r="A4744" t="s">
        <v>70</v>
      </c>
      <c r="B4744" s="1">
        <v>44348</v>
      </c>
      <c r="C4744" s="2">
        <v>50439</v>
      </c>
      <c r="D4744" s="2" t="s">
        <v>3</v>
      </c>
      <c r="E4744" s="2">
        <v>48927</v>
      </c>
      <c r="F4744" s="2" t="s">
        <v>3</v>
      </c>
      <c r="G4744" s="2" t="s">
        <v>3</v>
      </c>
      <c r="H4744" s="2">
        <v>1512</v>
      </c>
      <c r="I4744" s="2">
        <v>-651</v>
      </c>
    </row>
    <row r="4745" spans="1:9" hidden="1" x14ac:dyDescent="0.3">
      <c r="A4745" t="s">
        <v>70</v>
      </c>
      <c r="B4745" s="1">
        <v>44317</v>
      </c>
      <c r="C4745" s="2">
        <v>50213</v>
      </c>
      <c r="D4745" s="2" t="s">
        <v>3</v>
      </c>
      <c r="E4745" s="2">
        <v>48050</v>
      </c>
      <c r="F4745" s="2" t="s">
        <v>3</v>
      </c>
      <c r="G4745" s="2" t="s">
        <v>3</v>
      </c>
      <c r="H4745" s="2">
        <v>2163</v>
      </c>
      <c r="I4745" s="2">
        <v>-172</v>
      </c>
    </row>
    <row r="4746" spans="1:9" hidden="1" x14ac:dyDescent="0.3">
      <c r="A4746" t="s">
        <v>70</v>
      </c>
      <c r="B4746" s="1">
        <v>44287</v>
      </c>
      <c r="C4746" s="2">
        <v>50681</v>
      </c>
      <c r="D4746" s="2" t="s">
        <v>3</v>
      </c>
      <c r="E4746" s="2">
        <v>48346</v>
      </c>
      <c r="F4746" s="2" t="s">
        <v>3</v>
      </c>
      <c r="G4746" s="2" t="s">
        <v>3</v>
      </c>
      <c r="H4746" s="2">
        <v>2335</v>
      </c>
      <c r="I4746" s="2">
        <v>-1696</v>
      </c>
    </row>
    <row r="4747" spans="1:9" hidden="1" x14ac:dyDescent="0.3">
      <c r="A4747" t="s">
        <v>70</v>
      </c>
      <c r="B4747" s="1">
        <v>44256</v>
      </c>
      <c r="C4747" s="2">
        <v>50880</v>
      </c>
      <c r="D4747" s="2" t="s">
        <v>3</v>
      </c>
      <c r="E4747" s="2">
        <v>46849</v>
      </c>
      <c r="F4747" s="2" t="s">
        <v>3</v>
      </c>
      <c r="G4747" s="2" t="s">
        <v>3</v>
      </c>
      <c r="H4747" s="2">
        <v>4031</v>
      </c>
      <c r="I4747" s="2">
        <v>593</v>
      </c>
    </row>
    <row r="4748" spans="1:9" hidden="1" x14ac:dyDescent="0.3">
      <c r="A4748" t="s">
        <v>70</v>
      </c>
      <c r="B4748" s="1">
        <v>44228</v>
      </c>
      <c r="C4748" s="2">
        <v>50767</v>
      </c>
      <c r="D4748" s="2" t="s">
        <v>3</v>
      </c>
      <c r="E4748" s="2">
        <v>47329</v>
      </c>
      <c r="F4748" s="2" t="s">
        <v>3</v>
      </c>
      <c r="G4748" s="2" t="s">
        <v>3</v>
      </c>
      <c r="H4748" s="2">
        <v>3438</v>
      </c>
      <c r="I4748" s="2">
        <v>1487</v>
      </c>
    </row>
    <row r="4749" spans="1:9" hidden="1" x14ac:dyDescent="0.3">
      <c r="A4749" t="s">
        <v>70</v>
      </c>
      <c r="B4749" s="1">
        <v>44197</v>
      </c>
      <c r="C4749" s="2">
        <v>47975</v>
      </c>
      <c r="D4749" s="2" t="s">
        <v>3</v>
      </c>
      <c r="E4749" s="2">
        <v>46024</v>
      </c>
      <c r="F4749" s="2" t="s">
        <v>3</v>
      </c>
      <c r="G4749" s="2" t="s">
        <v>3</v>
      </c>
      <c r="H4749" s="2">
        <v>1951</v>
      </c>
      <c r="I4749" s="2">
        <v>-571</v>
      </c>
    </row>
    <row r="4750" spans="1:9" hidden="1" x14ac:dyDescent="0.3">
      <c r="A4750" t="s">
        <v>70</v>
      </c>
      <c r="B4750" s="1">
        <v>44166</v>
      </c>
      <c r="C4750" s="2">
        <v>43315</v>
      </c>
      <c r="D4750" s="2" t="s">
        <v>3</v>
      </c>
      <c r="E4750" s="2">
        <v>40793</v>
      </c>
      <c r="F4750" s="2" t="s">
        <v>3</v>
      </c>
      <c r="G4750" s="2" t="s">
        <v>3</v>
      </c>
      <c r="H4750" s="2">
        <v>2522</v>
      </c>
      <c r="I4750" s="2">
        <v>-5321</v>
      </c>
    </row>
    <row r="4751" spans="1:9" hidden="1" x14ac:dyDescent="0.3">
      <c r="A4751" t="s">
        <v>70</v>
      </c>
      <c r="B4751" s="1">
        <v>44136</v>
      </c>
      <c r="C4751" s="2">
        <v>48630</v>
      </c>
      <c r="D4751" s="2" t="s">
        <v>3</v>
      </c>
      <c r="E4751" s="2">
        <v>40787</v>
      </c>
      <c r="F4751" s="2" t="s">
        <v>3</v>
      </c>
      <c r="G4751" s="2" t="s">
        <v>3</v>
      </c>
      <c r="H4751" s="2">
        <v>7843</v>
      </c>
      <c r="I4751" s="2">
        <v>1306</v>
      </c>
    </row>
    <row r="4752" spans="1:9" hidden="1" x14ac:dyDescent="0.3">
      <c r="A4752" t="s">
        <v>70</v>
      </c>
      <c r="B4752" s="1">
        <v>44105</v>
      </c>
      <c r="C4752" s="2">
        <v>47322</v>
      </c>
      <c r="D4752" s="2" t="s">
        <v>3</v>
      </c>
      <c r="E4752" s="2">
        <v>40785</v>
      </c>
      <c r="F4752" s="2" t="s">
        <v>3</v>
      </c>
      <c r="G4752" s="2" t="s">
        <v>3</v>
      </c>
      <c r="H4752" s="2">
        <v>6537</v>
      </c>
      <c r="I4752" s="2">
        <v>950</v>
      </c>
    </row>
    <row r="4753" spans="1:9" hidden="1" x14ac:dyDescent="0.3">
      <c r="A4753" t="s">
        <v>70</v>
      </c>
      <c r="B4753" s="1">
        <v>44075</v>
      </c>
      <c r="C4753" s="2">
        <v>46700</v>
      </c>
      <c r="D4753" s="2" t="s">
        <v>3</v>
      </c>
      <c r="E4753" s="2">
        <v>41113</v>
      </c>
      <c r="F4753" s="2" t="s">
        <v>3</v>
      </c>
      <c r="G4753" s="2" t="s">
        <v>3</v>
      </c>
      <c r="H4753" s="2">
        <v>5587</v>
      </c>
      <c r="I4753" s="2">
        <v>-927</v>
      </c>
    </row>
    <row r="4754" spans="1:9" hidden="1" x14ac:dyDescent="0.3">
      <c r="A4754" t="s">
        <v>70</v>
      </c>
      <c r="B4754" s="1">
        <v>44044</v>
      </c>
      <c r="C4754" s="2">
        <v>47638</v>
      </c>
      <c r="D4754" s="2" t="s">
        <v>3</v>
      </c>
      <c r="E4754" s="2">
        <v>41124</v>
      </c>
      <c r="F4754" s="2" t="s">
        <v>3</v>
      </c>
      <c r="G4754" s="2" t="s">
        <v>3</v>
      </c>
      <c r="H4754" s="2">
        <v>6514</v>
      </c>
      <c r="I4754" s="2">
        <v>3565</v>
      </c>
    </row>
    <row r="4755" spans="1:9" hidden="1" x14ac:dyDescent="0.3">
      <c r="A4755" t="s">
        <v>70</v>
      </c>
      <c r="B4755" s="1">
        <v>44013</v>
      </c>
      <c r="C4755" s="2">
        <v>43781</v>
      </c>
      <c r="D4755" s="2" t="s">
        <v>3</v>
      </c>
      <c r="E4755" s="2">
        <v>40832</v>
      </c>
      <c r="F4755" s="2" t="s">
        <v>3</v>
      </c>
      <c r="G4755" s="2" t="s">
        <v>3</v>
      </c>
      <c r="H4755" s="2">
        <v>2949</v>
      </c>
      <c r="I4755" s="2">
        <v>5</v>
      </c>
    </row>
    <row r="4756" spans="1:9" hidden="1" x14ac:dyDescent="0.3">
      <c r="A4756" t="s">
        <v>70</v>
      </c>
      <c r="B4756" s="1">
        <v>43983</v>
      </c>
      <c r="C4756" s="2">
        <v>44181</v>
      </c>
      <c r="D4756" s="2" t="s">
        <v>3</v>
      </c>
      <c r="E4756" s="2">
        <v>41237</v>
      </c>
      <c r="F4756" s="2" t="s">
        <v>3</v>
      </c>
      <c r="G4756" s="2" t="s">
        <v>3</v>
      </c>
      <c r="H4756" s="2">
        <v>2944</v>
      </c>
      <c r="I4756" s="2">
        <v>1530</v>
      </c>
    </row>
    <row r="4757" spans="1:9" hidden="1" x14ac:dyDescent="0.3">
      <c r="A4757" t="s">
        <v>70</v>
      </c>
      <c r="B4757" s="1">
        <v>43952</v>
      </c>
      <c r="C4757" s="2">
        <v>42668</v>
      </c>
      <c r="D4757" s="2" t="s">
        <v>3</v>
      </c>
      <c r="E4757" s="2">
        <v>41254</v>
      </c>
      <c r="F4757" s="2" t="s">
        <v>3</v>
      </c>
      <c r="G4757" s="2" t="s">
        <v>3</v>
      </c>
      <c r="H4757" s="2">
        <v>1414</v>
      </c>
      <c r="I4757" s="2">
        <v>592</v>
      </c>
    </row>
    <row r="4758" spans="1:9" hidden="1" x14ac:dyDescent="0.3">
      <c r="A4758" t="s">
        <v>70</v>
      </c>
      <c r="B4758" s="1">
        <v>43922</v>
      </c>
      <c r="C4758" s="2">
        <v>42716</v>
      </c>
      <c r="D4758" s="2" t="s">
        <v>3</v>
      </c>
      <c r="E4758" s="2">
        <v>41894</v>
      </c>
      <c r="F4758" s="2" t="s">
        <v>3</v>
      </c>
      <c r="G4758" s="2" t="s">
        <v>3</v>
      </c>
      <c r="H4758" s="2">
        <v>822</v>
      </c>
      <c r="I4758" s="2">
        <v>-493</v>
      </c>
    </row>
    <row r="4759" spans="1:9" hidden="1" x14ac:dyDescent="0.3">
      <c r="A4759" t="s">
        <v>70</v>
      </c>
      <c r="B4759" s="1">
        <v>43891</v>
      </c>
      <c r="C4759" s="2">
        <v>43134</v>
      </c>
      <c r="D4759" s="2" t="s">
        <v>3</v>
      </c>
      <c r="E4759" s="2">
        <v>41819</v>
      </c>
      <c r="F4759" s="2" t="s">
        <v>3</v>
      </c>
      <c r="G4759" s="2" t="s">
        <v>3</v>
      </c>
      <c r="H4759" s="2">
        <v>1315</v>
      </c>
      <c r="I4759" s="2">
        <v>541</v>
      </c>
    </row>
    <row r="4760" spans="1:9" hidden="1" x14ac:dyDescent="0.3">
      <c r="A4760" t="s">
        <v>70</v>
      </c>
      <c r="B4760" s="1">
        <v>43862</v>
      </c>
      <c r="C4760" s="2">
        <v>41757</v>
      </c>
      <c r="D4760" s="2" t="s">
        <v>3</v>
      </c>
      <c r="E4760" s="2">
        <v>40983</v>
      </c>
      <c r="F4760" s="2" t="s">
        <v>3</v>
      </c>
      <c r="G4760" s="2" t="s">
        <v>3</v>
      </c>
      <c r="H4760" s="2">
        <v>774</v>
      </c>
      <c r="I4760" s="2">
        <v>37</v>
      </c>
    </row>
    <row r="4761" spans="1:9" hidden="1" x14ac:dyDescent="0.3">
      <c r="A4761" t="s">
        <v>70</v>
      </c>
      <c r="B4761" s="1">
        <v>43831</v>
      </c>
      <c r="C4761" s="2">
        <v>40440</v>
      </c>
      <c r="D4761" s="2" t="s">
        <v>3</v>
      </c>
      <c r="E4761" s="2">
        <v>39703</v>
      </c>
      <c r="F4761" s="2" t="s">
        <v>3</v>
      </c>
      <c r="G4761" s="2" t="s">
        <v>3</v>
      </c>
      <c r="H4761" s="2">
        <v>737</v>
      </c>
      <c r="I4761" s="2">
        <v>-932</v>
      </c>
    </row>
    <row r="4762" spans="1:9" x14ac:dyDescent="0.3">
      <c r="A4762" t="s">
        <v>71</v>
      </c>
      <c r="B4762" s="1">
        <v>45931</v>
      </c>
      <c r="C4762" s="2">
        <v>134386</v>
      </c>
      <c r="D4762" s="2">
        <v>96</v>
      </c>
      <c r="E4762" s="2">
        <v>106341</v>
      </c>
      <c r="F4762" s="2">
        <v>205</v>
      </c>
      <c r="G4762" s="2">
        <v>5999</v>
      </c>
      <c r="H4762" s="2">
        <v>28045</v>
      </c>
      <c r="I4762" s="2">
        <v>-109</v>
      </c>
    </row>
    <row r="4763" spans="1:9" x14ac:dyDescent="0.3">
      <c r="A4763" t="s">
        <v>71</v>
      </c>
      <c r="B4763" s="1">
        <v>45901</v>
      </c>
      <c r="C4763" s="2">
        <v>134264</v>
      </c>
      <c r="D4763" s="2">
        <v>1006</v>
      </c>
      <c r="E4763" s="2">
        <v>106110</v>
      </c>
      <c r="F4763" s="2">
        <v>595</v>
      </c>
      <c r="G4763" s="2">
        <v>481</v>
      </c>
      <c r="H4763" s="2">
        <v>28154</v>
      </c>
      <c r="I4763" s="2">
        <v>411</v>
      </c>
    </row>
    <row r="4764" spans="1:9" x14ac:dyDescent="0.3">
      <c r="A4764" t="s">
        <v>71</v>
      </c>
      <c r="B4764" s="1">
        <v>45870</v>
      </c>
      <c r="C4764" s="2">
        <v>133072</v>
      </c>
      <c r="D4764" s="2">
        <v>464</v>
      </c>
      <c r="E4764" s="2">
        <v>105329</v>
      </c>
      <c r="F4764" s="2">
        <v>109</v>
      </c>
      <c r="G4764" s="2">
        <v>1582</v>
      </c>
      <c r="H4764" s="2">
        <v>27743</v>
      </c>
      <c r="I4764" s="2">
        <v>355</v>
      </c>
    </row>
    <row r="4765" spans="1:9" x14ac:dyDescent="0.3">
      <c r="A4765" t="s">
        <v>71</v>
      </c>
      <c r="B4765" s="1">
        <v>45839</v>
      </c>
      <c r="C4765" s="2">
        <v>131726</v>
      </c>
      <c r="D4765" s="2">
        <v>1524</v>
      </c>
      <c r="E4765" s="2">
        <v>104338</v>
      </c>
      <c r="F4765" s="2">
        <v>1220</v>
      </c>
      <c r="G4765" s="2">
        <v>-98</v>
      </c>
      <c r="H4765" s="2">
        <v>27388</v>
      </c>
      <c r="I4765" s="2">
        <v>304</v>
      </c>
    </row>
    <row r="4766" spans="1:9" x14ac:dyDescent="0.3">
      <c r="A4766" t="s">
        <v>71</v>
      </c>
      <c r="B4766" s="1">
        <v>45809</v>
      </c>
      <c r="C4766" s="2">
        <v>130556</v>
      </c>
      <c r="D4766" s="2">
        <v>2197</v>
      </c>
      <c r="E4766" s="2">
        <v>103472</v>
      </c>
      <c r="F4766" s="2">
        <v>874</v>
      </c>
      <c r="G4766" s="2">
        <v>-1298</v>
      </c>
      <c r="H4766" s="2">
        <v>27084</v>
      </c>
      <c r="I4766" s="2">
        <v>1323</v>
      </c>
    </row>
    <row r="4767" spans="1:9" x14ac:dyDescent="0.3">
      <c r="A4767" t="s">
        <v>71</v>
      </c>
      <c r="B4767" s="1">
        <v>45778</v>
      </c>
      <c r="C4767" s="2">
        <v>127716</v>
      </c>
      <c r="D4767" s="2">
        <v>-5307</v>
      </c>
      <c r="E4767" s="2">
        <v>101955</v>
      </c>
      <c r="F4767" s="2">
        <v>-3329</v>
      </c>
      <c r="G4767" s="2">
        <v>883</v>
      </c>
      <c r="H4767" s="2">
        <v>25761</v>
      </c>
      <c r="I4767" s="2">
        <v>-1978</v>
      </c>
    </row>
    <row r="4768" spans="1:9" x14ac:dyDescent="0.3">
      <c r="A4768" t="s">
        <v>71</v>
      </c>
      <c r="B4768" s="1">
        <v>45748</v>
      </c>
      <c r="C4768" s="2">
        <v>133799</v>
      </c>
      <c r="D4768" s="2">
        <v>1629</v>
      </c>
      <c r="E4768" s="2">
        <v>106060</v>
      </c>
      <c r="F4768" s="2">
        <v>1614</v>
      </c>
      <c r="G4768" s="2">
        <v>1177</v>
      </c>
      <c r="H4768" s="2">
        <v>27739</v>
      </c>
      <c r="I4768" s="2">
        <v>15</v>
      </c>
    </row>
    <row r="4769" spans="1:9" x14ac:dyDescent="0.3">
      <c r="A4769" t="s">
        <v>71</v>
      </c>
      <c r="B4769" s="1">
        <v>45717</v>
      </c>
      <c r="C4769" s="2">
        <v>131613</v>
      </c>
      <c r="D4769" s="2">
        <v>4634</v>
      </c>
      <c r="E4769" s="2">
        <v>103889</v>
      </c>
      <c r="F4769" s="2">
        <v>-1333</v>
      </c>
      <c r="G4769" s="2">
        <v>-250</v>
      </c>
      <c r="H4769" s="2">
        <v>27724</v>
      </c>
      <c r="I4769" s="2">
        <v>5967</v>
      </c>
    </row>
    <row r="4770" spans="1:9" x14ac:dyDescent="0.3">
      <c r="A4770" t="s">
        <v>71</v>
      </c>
      <c r="B4770" s="1">
        <v>45689</v>
      </c>
      <c r="C4770" s="2">
        <v>126428</v>
      </c>
      <c r="D4770" s="2">
        <v>-2016</v>
      </c>
      <c r="E4770" s="2">
        <v>104671</v>
      </c>
      <c r="F4770" s="2">
        <v>-2152</v>
      </c>
      <c r="G4770" s="2">
        <v>2757</v>
      </c>
      <c r="H4770" s="2">
        <v>21757</v>
      </c>
      <c r="I4770" s="2">
        <v>136</v>
      </c>
    </row>
    <row r="4771" spans="1:9" x14ac:dyDescent="0.3">
      <c r="A4771" t="s">
        <v>71</v>
      </c>
      <c r="B4771" s="1">
        <v>45658</v>
      </c>
      <c r="C4771" s="2">
        <v>126909</v>
      </c>
      <c r="D4771" s="2">
        <v>-10971</v>
      </c>
      <c r="E4771" s="2">
        <v>105288</v>
      </c>
      <c r="F4771" s="2">
        <v>-6425</v>
      </c>
      <c r="G4771" s="2">
        <v>970</v>
      </c>
      <c r="H4771" s="2">
        <v>21621</v>
      </c>
      <c r="I4771" s="2">
        <v>-4546</v>
      </c>
    </row>
    <row r="4772" spans="1:9" x14ac:dyDescent="0.3">
      <c r="A4772" t="s">
        <v>71</v>
      </c>
      <c r="B4772" s="1">
        <v>45627</v>
      </c>
      <c r="C4772" s="2">
        <v>137508</v>
      </c>
      <c r="D4772" s="2">
        <v>2854</v>
      </c>
      <c r="E4772" s="2">
        <v>111341</v>
      </c>
      <c r="F4772" s="2">
        <v>-90</v>
      </c>
      <c r="G4772" s="2">
        <v>297</v>
      </c>
      <c r="H4772" s="2">
        <v>26167</v>
      </c>
      <c r="I4772" s="2">
        <v>2944</v>
      </c>
    </row>
    <row r="4773" spans="1:9" x14ac:dyDescent="0.3">
      <c r="A4773" t="s">
        <v>71</v>
      </c>
      <c r="B4773" s="1">
        <v>45597</v>
      </c>
      <c r="C4773" s="2">
        <v>135556</v>
      </c>
      <c r="D4773" s="2">
        <v>-4091</v>
      </c>
      <c r="E4773" s="2">
        <v>112333</v>
      </c>
      <c r="F4773" s="2">
        <v>11</v>
      </c>
      <c r="G4773" s="2">
        <v>3649</v>
      </c>
      <c r="H4773" s="2">
        <v>23223</v>
      </c>
      <c r="I4773" s="2">
        <v>-4102</v>
      </c>
    </row>
    <row r="4774" spans="1:9" x14ac:dyDescent="0.3">
      <c r="A4774" t="s">
        <v>71</v>
      </c>
      <c r="B4774" s="1">
        <v>45566</v>
      </c>
      <c r="C4774" s="2">
        <v>139212</v>
      </c>
      <c r="D4774" s="2">
        <v>-2955</v>
      </c>
      <c r="E4774" s="2">
        <v>111887</v>
      </c>
      <c r="F4774" s="2">
        <v>203</v>
      </c>
      <c r="G4774" s="2">
        <v>-503</v>
      </c>
      <c r="H4774" s="2">
        <v>27325</v>
      </c>
      <c r="I4774" s="2">
        <v>-3158</v>
      </c>
    </row>
    <row r="4775" spans="1:9" x14ac:dyDescent="0.3">
      <c r="A4775" t="s">
        <v>71</v>
      </c>
      <c r="B4775" s="1">
        <v>45536</v>
      </c>
      <c r="C4775" s="2">
        <v>143887</v>
      </c>
      <c r="D4775" s="2">
        <v>390</v>
      </c>
      <c r="E4775" s="2">
        <v>113404</v>
      </c>
      <c r="F4775" s="2">
        <v>191</v>
      </c>
      <c r="G4775" s="2">
        <v>-696</v>
      </c>
      <c r="H4775" s="2">
        <v>30483</v>
      </c>
      <c r="I4775" s="2">
        <v>199</v>
      </c>
    </row>
    <row r="4776" spans="1:9" x14ac:dyDescent="0.3">
      <c r="A4776" t="s">
        <v>71</v>
      </c>
      <c r="B4776" s="1">
        <v>45505</v>
      </c>
      <c r="C4776" s="2">
        <v>142784</v>
      </c>
      <c r="D4776" s="2">
        <v>-934</v>
      </c>
      <c r="E4776" s="2">
        <v>112500</v>
      </c>
      <c r="F4776" s="2">
        <v>234</v>
      </c>
      <c r="G4776" s="2">
        <v>2182</v>
      </c>
      <c r="H4776" s="2">
        <v>30284</v>
      </c>
      <c r="I4776" s="2">
        <v>-1168</v>
      </c>
    </row>
    <row r="4777" spans="1:9" x14ac:dyDescent="0.3">
      <c r="A4777" t="s">
        <v>71</v>
      </c>
      <c r="B4777" s="1">
        <v>45474</v>
      </c>
      <c r="C4777" s="2">
        <v>142695</v>
      </c>
      <c r="D4777" s="2">
        <v>924</v>
      </c>
      <c r="E4777" s="2">
        <v>111243</v>
      </c>
      <c r="F4777" s="2">
        <v>448</v>
      </c>
      <c r="G4777" s="2">
        <v>537</v>
      </c>
      <c r="H4777" s="2">
        <v>31452</v>
      </c>
      <c r="I4777" s="2">
        <v>476</v>
      </c>
    </row>
    <row r="4778" spans="1:9" x14ac:dyDescent="0.3">
      <c r="A4778" t="s">
        <v>71</v>
      </c>
      <c r="B4778" s="1">
        <v>45444</v>
      </c>
      <c r="C4778" s="2">
        <v>140196</v>
      </c>
      <c r="D4778" s="2">
        <v>3072</v>
      </c>
      <c r="E4778" s="2">
        <v>109220</v>
      </c>
      <c r="F4778" s="2">
        <v>1148</v>
      </c>
      <c r="G4778" s="2">
        <v>-418</v>
      </c>
      <c r="H4778" s="2">
        <v>30976</v>
      </c>
      <c r="I4778" s="2">
        <v>1924</v>
      </c>
    </row>
    <row r="4779" spans="1:9" x14ac:dyDescent="0.3">
      <c r="A4779" t="s">
        <v>71</v>
      </c>
      <c r="B4779" s="1">
        <v>45413</v>
      </c>
      <c r="C4779" s="2">
        <v>136332</v>
      </c>
      <c r="D4779" s="2">
        <v>183</v>
      </c>
      <c r="E4779" s="2">
        <v>107280</v>
      </c>
      <c r="F4779" s="2">
        <v>184</v>
      </c>
      <c r="G4779" s="2">
        <v>324</v>
      </c>
      <c r="H4779" s="2">
        <v>29052</v>
      </c>
      <c r="I4779" s="2">
        <v>-1</v>
      </c>
    </row>
    <row r="4780" spans="1:9" x14ac:dyDescent="0.3">
      <c r="A4780" t="s">
        <v>71</v>
      </c>
      <c r="B4780" s="1">
        <v>45383</v>
      </c>
      <c r="C4780" s="2">
        <v>135432</v>
      </c>
      <c r="D4780" s="2">
        <v>857</v>
      </c>
      <c r="E4780" s="2">
        <v>106379</v>
      </c>
      <c r="F4780" s="2">
        <v>395</v>
      </c>
      <c r="G4780" s="2">
        <v>-1442</v>
      </c>
      <c r="H4780" s="2">
        <v>29053</v>
      </c>
      <c r="I4780" s="2">
        <v>462</v>
      </c>
    </row>
    <row r="4781" spans="1:9" x14ac:dyDescent="0.3">
      <c r="A4781" t="s">
        <v>71</v>
      </c>
      <c r="B4781" s="1">
        <v>45352</v>
      </c>
      <c r="C4781" s="2">
        <v>135884</v>
      </c>
      <c r="D4781" s="2">
        <v>4683</v>
      </c>
      <c r="E4781" s="2">
        <v>107293</v>
      </c>
      <c r="F4781" s="2">
        <v>848</v>
      </c>
      <c r="G4781" s="2">
        <v>4839</v>
      </c>
      <c r="H4781" s="2">
        <v>28591</v>
      </c>
      <c r="I4781" s="2">
        <v>3835</v>
      </c>
    </row>
    <row r="4782" spans="1:9" x14ac:dyDescent="0.3">
      <c r="A4782" t="s">
        <v>71</v>
      </c>
      <c r="B4782" s="1">
        <v>45323</v>
      </c>
      <c r="C4782" s="2">
        <v>131141</v>
      </c>
      <c r="D4782" s="2">
        <v>-1538</v>
      </c>
      <c r="E4782" s="2">
        <v>106385</v>
      </c>
      <c r="F4782" s="2">
        <v>-1899</v>
      </c>
      <c r="G4782" s="2">
        <v>2578</v>
      </c>
      <c r="H4782" s="2">
        <v>24756</v>
      </c>
      <c r="I4782" s="2">
        <v>361</v>
      </c>
    </row>
    <row r="4783" spans="1:9" x14ac:dyDescent="0.3">
      <c r="A4783" t="s">
        <v>71</v>
      </c>
      <c r="B4783" s="1">
        <v>45292</v>
      </c>
      <c r="C4783" s="2">
        <v>133526</v>
      </c>
      <c r="D4783" s="2">
        <v>1476</v>
      </c>
      <c r="E4783" s="2">
        <v>109131</v>
      </c>
      <c r="F4783" s="2">
        <v>1260</v>
      </c>
      <c r="G4783" s="2">
        <v>2411</v>
      </c>
      <c r="H4783" s="2">
        <v>24395</v>
      </c>
      <c r="I4783" s="2">
        <v>216</v>
      </c>
    </row>
    <row r="4784" spans="1:9" x14ac:dyDescent="0.3">
      <c r="A4784" t="s">
        <v>71</v>
      </c>
      <c r="B4784" s="1">
        <v>45261</v>
      </c>
      <c r="C4784" s="2">
        <v>132001</v>
      </c>
      <c r="D4784" s="2">
        <v>1788</v>
      </c>
      <c r="E4784" s="2">
        <v>107822</v>
      </c>
      <c r="F4784" s="2">
        <v>474</v>
      </c>
      <c r="G4784" s="2">
        <v>-473</v>
      </c>
      <c r="H4784" s="2">
        <v>24179</v>
      </c>
      <c r="I4784" s="2">
        <v>1314</v>
      </c>
    </row>
    <row r="4785" spans="1:9" x14ac:dyDescent="0.3">
      <c r="A4785" t="s">
        <v>71</v>
      </c>
      <c r="B4785" s="1">
        <v>45231</v>
      </c>
      <c r="C4785" s="2">
        <v>128054</v>
      </c>
      <c r="D4785" s="2">
        <v>8573</v>
      </c>
      <c r="E4785" s="2">
        <v>105189</v>
      </c>
      <c r="F4785" s="2">
        <v>951</v>
      </c>
      <c r="G4785" s="2">
        <v>1734</v>
      </c>
      <c r="H4785" s="2">
        <v>22865</v>
      </c>
      <c r="I4785" s="2">
        <v>7622</v>
      </c>
    </row>
    <row r="4786" spans="1:9" x14ac:dyDescent="0.3">
      <c r="A4786" t="s">
        <v>71</v>
      </c>
      <c r="B4786" s="1">
        <v>45200</v>
      </c>
      <c r="C4786" s="2">
        <v>117530</v>
      </c>
      <c r="D4786" s="2">
        <v>495</v>
      </c>
      <c r="E4786" s="2">
        <v>102287</v>
      </c>
      <c r="F4786" s="2">
        <v>259</v>
      </c>
      <c r="G4786" s="2">
        <v>-421</v>
      </c>
      <c r="H4786" s="2">
        <v>15243</v>
      </c>
      <c r="I4786" s="2">
        <v>236</v>
      </c>
    </row>
    <row r="4787" spans="1:9" x14ac:dyDescent="0.3">
      <c r="A4787" t="s">
        <v>71</v>
      </c>
      <c r="B4787" s="1">
        <v>45170</v>
      </c>
      <c r="C4787" s="2">
        <v>117131</v>
      </c>
      <c r="D4787" s="2">
        <v>6891</v>
      </c>
      <c r="E4787" s="2">
        <v>102124</v>
      </c>
      <c r="F4787" s="2">
        <v>3420</v>
      </c>
      <c r="G4787" s="2">
        <v>-1891</v>
      </c>
      <c r="H4787" s="2">
        <v>15007</v>
      </c>
      <c r="I4787" s="2">
        <v>3471</v>
      </c>
    </row>
    <row r="4788" spans="1:9" x14ac:dyDescent="0.3">
      <c r="A4788" t="s">
        <v>71</v>
      </c>
      <c r="B4788" s="1">
        <v>45139</v>
      </c>
      <c r="C4788" s="2">
        <v>111989</v>
      </c>
      <c r="D4788" s="2">
        <v>3064</v>
      </c>
      <c r="E4788" s="2">
        <v>100453</v>
      </c>
      <c r="F4788" s="2">
        <v>-231</v>
      </c>
      <c r="G4788" s="2">
        <v>899</v>
      </c>
      <c r="H4788" s="2">
        <v>11536</v>
      </c>
      <c r="I4788" s="2">
        <v>3295</v>
      </c>
    </row>
    <row r="4789" spans="1:9" x14ac:dyDescent="0.3">
      <c r="A4789" t="s">
        <v>71</v>
      </c>
      <c r="B4789" s="1">
        <v>45108</v>
      </c>
      <c r="C4789" s="2">
        <v>109228</v>
      </c>
      <c r="D4789" s="2">
        <v>-1938</v>
      </c>
      <c r="E4789" s="2">
        <v>100987</v>
      </c>
      <c r="F4789" s="2">
        <v>184</v>
      </c>
      <c r="G4789" s="2">
        <v>-558</v>
      </c>
      <c r="H4789" s="2">
        <v>8241</v>
      </c>
      <c r="I4789" s="2">
        <v>-2122</v>
      </c>
    </row>
    <row r="4790" spans="1:9" x14ac:dyDescent="0.3">
      <c r="A4790" t="s">
        <v>71</v>
      </c>
      <c r="B4790" s="1">
        <v>45078</v>
      </c>
      <c r="C4790" s="2">
        <v>110664</v>
      </c>
      <c r="D4790" s="2">
        <v>90</v>
      </c>
      <c r="E4790" s="2">
        <v>100301</v>
      </c>
      <c r="F4790" s="2">
        <v>1611</v>
      </c>
      <c r="G4790" s="2">
        <v>-217</v>
      </c>
      <c r="H4790" s="2">
        <v>10363</v>
      </c>
      <c r="I4790" s="2">
        <v>-1521</v>
      </c>
    </row>
    <row r="4791" spans="1:9" x14ac:dyDescent="0.3">
      <c r="A4791" t="s">
        <v>71</v>
      </c>
      <c r="B4791" s="1">
        <v>45047</v>
      </c>
      <c r="C4791" s="2">
        <v>111316</v>
      </c>
      <c r="D4791" s="2">
        <v>-362</v>
      </c>
      <c r="E4791" s="2">
        <v>99432</v>
      </c>
      <c r="F4791" s="2">
        <v>676</v>
      </c>
      <c r="G4791" s="2">
        <v>-2863</v>
      </c>
      <c r="H4791" s="2">
        <v>11884</v>
      </c>
      <c r="I4791" s="2">
        <v>-1038</v>
      </c>
    </row>
    <row r="4792" spans="1:9" x14ac:dyDescent="0.3">
      <c r="A4792" t="s">
        <v>71</v>
      </c>
      <c r="B4792" s="1">
        <v>45017</v>
      </c>
      <c r="C4792" s="2">
        <v>113344</v>
      </c>
      <c r="D4792" s="2">
        <v>-3408</v>
      </c>
      <c r="E4792" s="2">
        <v>100422</v>
      </c>
      <c r="F4792" s="2">
        <v>-3333</v>
      </c>
      <c r="G4792" s="2">
        <v>83</v>
      </c>
      <c r="H4792" s="2">
        <v>12922</v>
      </c>
      <c r="I4792" s="2">
        <v>-75</v>
      </c>
    </row>
    <row r="4793" spans="1:9" x14ac:dyDescent="0.3">
      <c r="A4793" t="s">
        <v>71</v>
      </c>
      <c r="B4793" s="1">
        <v>44986</v>
      </c>
      <c r="C4793" s="2">
        <v>116200</v>
      </c>
      <c r="D4793" s="2">
        <v>3096</v>
      </c>
      <c r="E4793" s="2">
        <v>103203</v>
      </c>
      <c r="F4793" s="2">
        <v>1938</v>
      </c>
      <c r="G4793" s="2">
        <v>-1423</v>
      </c>
      <c r="H4793" s="2">
        <v>12997</v>
      </c>
      <c r="I4793" s="2">
        <v>1158</v>
      </c>
    </row>
    <row r="4794" spans="1:9" x14ac:dyDescent="0.3">
      <c r="A4794" t="s">
        <v>71</v>
      </c>
      <c r="B4794" s="1">
        <v>44958</v>
      </c>
      <c r="C4794" s="2">
        <v>111725</v>
      </c>
      <c r="D4794" s="2">
        <v>2411</v>
      </c>
      <c r="E4794" s="2">
        <v>99886</v>
      </c>
      <c r="F4794" s="2">
        <v>-462</v>
      </c>
      <c r="G4794" s="2">
        <v>930</v>
      </c>
      <c r="H4794" s="2">
        <v>11839</v>
      </c>
      <c r="I4794" s="2">
        <v>2873</v>
      </c>
    </row>
    <row r="4795" spans="1:9" hidden="1" x14ac:dyDescent="0.3">
      <c r="A4795" t="s">
        <v>71</v>
      </c>
      <c r="B4795" s="1">
        <v>44927</v>
      </c>
      <c r="C4795" s="2">
        <v>111016</v>
      </c>
      <c r="D4795" s="2" t="s">
        <v>3</v>
      </c>
      <c r="E4795" s="2">
        <v>102050</v>
      </c>
      <c r="F4795" s="2" t="s">
        <v>3</v>
      </c>
      <c r="G4795" s="2" t="s">
        <v>3</v>
      </c>
      <c r="H4795" s="2">
        <v>8966</v>
      </c>
      <c r="I4795" s="2">
        <v>-4237</v>
      </c>
    </row>
    <row r="4796" spans="1:9" hidden="1" x14ac:dyDescent="0.3">
      <c r="A4796" t="s">
        <v>71</v>
      </c>
      <c r="B4796" s="1">
        <v>44896</v>
      </c>
      <c r="C4796" s="2">
        <v>119697</v>
      </c>
      <c r="D4796" s="2" t="s">
        <v>3</v>
      </c>
      <c r="E4796" s="2">
        <v>106494</v>
      </c>
      <c r="F4796" s="2" t="s">
        <v>3</v>
      </c>
      <c r="G4796" s="2" t="s">
        <v>3</v>
      </c>
      <c r="H4796" s="2">
        <v>13203</v>
      </c>
      <c r="I4796" s="2">
        <v>-4789</v>
      </c>
    </row>
    <row r="4797" spans="1:9" hidden="1" x14ac:dyDescent="0.3">
      <c r="A4797" t="s">
        <v>71</v>
      </c>
      <c r="B4797" s="1">
        <v>44866</v>
      </c>
      <c r="C4797" s="2">
        <v>121454</v>
      </c>
      <c r="D4797" s="2" t="s">
        <v>3</v>
      </c>
      <c r="E4797" s="2">
        <v>103462</v>
      </c>
      <c r="F4797" s="2" t="s">
        <v>3</v>
      </c>
      <c r="G4797" s="2" t="s">
        <v>3</v>
      </c>
      <c r="H4797" s="2">
        <v>17992</v>
      </c>
      <c r="I4797" s="2">
        <v>0</v>
      </c>
    </row>
    <row r="4798" spans="1:9" hidden="1" x14ac:dyDescent="0.3">
      <c r="A4798" t="s">
        <v>71</v>
      </c>
      <c r="B4798" s="1">
        <v>44835</v>
      </c>
      <c r="C4798" s="2">
        <v>120673</v>
      </c>
      <c r="D4798" s="2" t="s">
        <v>3</v>
      </c>
      <c r="E4798" s="2">
        <v>102681</v>
      </c>
      <c r="F4798" s="2" t="s">
        <v>3</v>
      </c>
      <c r="G4798" s="2" t="s">
        <v>3</v>
      </c>
      <c r="H4798" s="2">
        <v>17992</v>
      </c>
      <c r="I4798" s="2">
        <v>-118</v>
      </c>
    </row>
    <row r="4799" spans="1:9" hidden="1" x14ac:dyDescent="0.3">
      <c r="A4799" t="s">
        <v>71</v>
      </c>
      <c r="B4799" s="1">
        <v>44805</v>
      </c>
      <c r="C4799" s="2">
        <v>121009</v>
      </c>
      <c r="D4799" s="2" t="s">
        <v>3</v>
      </c>
      <c r="E4799" s="2">
        <v>102899</v>
      </c>
      <c r="F4799" s="2" t="s">
        <v>3</v>
      </c>
      <c r="G4799" s="2" t="s">
        <v>3</v>
      </c>
      <c r="H4799" s="2">
        <v>18110</v>
      </c>
      <c r="I4799" s="2">
        <v>1055</v>
      </c>
    </row>
    <row r="4800" spans="1:9" hidden="1" x14ac:dyDescent="0.3">
      <c r="A4800" t="s">
        <v>71</v>
      </c>
      <c r="B4800" s="1">
        <v>44774</v>
      </c>
      <c r="C4800" s="2">
        <v>122103</v>
      </c>
      <c r="D4800" s="2" t="s">
        <v>3</v>
      </c>
      <c r="E4800" s="2">
        <v>105048</v>
      </c>
      <c r="F4800" s="2" t="s">
        <v>3</v>
      </c>
      <c r="G4800" s="2" t="s">
        <v>3</v>
      </c>
      <c r="H4800" s="2">
        <v>17055</v>
      </c>
      <c r="I4800" s="2">
        <v>1066</v>
      </c>
    </row>
    <row r="4801" spans="1:9" hidden="1" x14ac:dyDescent="0.3">
      <c r="A4801" t="s">
        <v>71</v>
      </c>
      <c r="B4801" s="1">
        <v>44743</v>
      </c>
      <c r="C4801" s="2">
        <v>121620</v>
      </c>
      <c r="D4801" s="2" t="s">
        <v>3</v>
      </c>
      <c r="E4801" s="2">
        <v>105631</v>
      </c>
      <c r="F4801" s="2" t="s">
        <v>3</v>
      </c>
      <c r="G4801" s="2" t="s">
        <v>3</v>
      </c>
      <c r="H4801" s="2">
        <v>15989</v>
      </c>
      <c r="I4801" s="2">
        <v>-1143</v>
      </c>
    </row>
    <row r="4802" spans="1:9" hidden="1" x14ac:dyDescent="0.3">
      <c r="A4802" t="s">
        <v>71</v>
      </c>
      <c r="B4802" s="1">
        <v>44713</v>
      </c>
      <c r="C4802" s="2">
        <v>119155</v>
      </c>
      <c r="D4802" s="2" t="s">
        <v>3</v>
      </c>
      <c r="E4802" s="2">
        <v>102023</v>
      </c>
      <c r="F4802" s="2" t="s">
        <v>3</v>
      </c>
      <c r="G4802" s="2" t="s">
        <v>3</v>
      </c>
      <c r="H4802" s="2">
        <v>17132</v>
      </c>
      <c r="I4802" s="2">
        <v>1801</v>
      </c>
    </row>
    <row r="4803" spans="1:9" hidden="1" x14ac:dyDescent="0.3">
      <c r="A4803" t="s">
        <v>71</v>
      </c>
      <c r="B4803" s="1">
        <v>44682</v>
      </c>
      <c r="C4803" s="2">
        <v>114651</v>
      </c>
      <c r="D4803" s="2" t="s">
        <v>3</v>
      </c>
      <c r="E4803" s="2">
        <v>99320</v>
      </c>
      <c r="F4803" s="2" t="s">
        <v>3</v>
      </c>
      <c r="G4803" s="2" t="s">
        <v>3</v>
      </c>
      <c r="H4803" s="2">
        <v>15331</v>
      </c>
      <c r="I4803" s="2">
        <v>-22</v>
      </c>
    </row>
    <row r="4804" spans="1:9" hidden="1" x14ac:dyDescent="0.3">
      <c r="A4804" t="s">
        <v>71</v>
      </c>
      <c r="B4804" s="1">
        <v>44652</v>
      </c>
      <c r="C4804" s="2">
        <v>115743</v>
      </c>
      <c r="D4804" s="2" t="s">
        <v>3</v>
      </c>
      <c r="E4804" s="2">
        <v>100390</v>
      </c>
      <c r="F4804" s="2" t="s">
        <v>3</v>
      </c>
      <c r="G4804" s="2" t="s">
        <v>3</v>
      </c>
      <c r="H4804" s="2">
        <v>15353</v>
      </c>
      <c r="I4804" s="2">
        <v>6</v>
      </c>
    </row>
    <row r="4805" spans="1:9" hidden="1" x14ac:dyDescent="0.3">
      <c r="A4805" t="s">
        <v>71</v>
      </c>
      <c r="B4805" s="1">
        <v>44621</v>
      </c>
      <c r="C4805" s="2">
        <v>115461</v>
      </c>
      <c r="D4805" s="2" t="s">
        <v>3</v>
      </c>
      <c r="E4805" s="2">
        <v>100114</v>
      </c>
      <c r="F4805" s="2" t="s">
        <v>3</v>
      </c>
      <c r="G4805" s="2" t="s">
        <v>3</v>
      </c>
      <c r="H4805" s="2">
        <v>15347</v>
      </c>
      <c r="I4805" s="2">
        <v>-108</v>
      </c>
    </row>
    <row r="4806" spans="1:9" hidden="1" x14ac:dyDescent="0.3">
      <c r="A4806" t="s">
        <v>71</v>
      </c>
      <c r="B4806" s="1">
        <v>44593</v>
      </c>
      <c r="C4806" s="2">
        <v>116722</v>
      </c>
      <c r="D4806" s="2" t="s">
        <v>3</v>
      </c>
      <c r="E4806" s="2">
        <v>101267</v>
      </c>
      <c r="F4806" s="2" t="s">
        <v>3</v>
      </c>
      <c r="G4806" s="2" t="s">
        <v>3</v>
      </c>
      <c r="H4806" s="2">
        <v>15455</v>
      </c>
      <c r="I4806" s="2">
        <v>-2967</v>
      </c>
    </row>
    <row r="4807" spans="1:9" hidden="1" x14ac:dyDescent="0.3">
      <c r="A4807" t="s">
        <v>71</v>
      </c>
      <c r="B4807" s="1">
        <v>44562</v>
      </c>
      <c r="C4807" s="2">
        <v>119402</v>
      </c>
      <c r="D4807" s="2" t="s">
        <v>3</v>
      </c>
      <c r="E4807" s="2">
        <v>100980</v>
      </c>
      <c r="F4807" s="2" t="s">
        <v>3</v>
      </c>
      <c r="G4807" s="2" t="s">
        <v>3</v>
      </c>
      <c r="H4807" s="2">
        <v>18422</v>
      </c>
      <c r="I4807" s="2">
        <v>-42</v>
      </c>
    </row>
    <row r="4808" spans="1:9" hidden="1" x14ac:dyDescent="0.3">
      <c r="A4808" t="s">
        <v>71</v>
      </c>
      <c r="B4808" s="1">
        <v>44531</v>
      </c>
      <c r="C4808" s="2">
        <v>118988</v>
      </c>
      <c r="D4808" s="2" t="s">
        <v>3</v>
      </c>
      <c r="E4808" s="2">
        <v>100524</v>
      </c>
      <c r="F4808" s="2" t="s">
        <v>3</v>
      </c>
      <c r="G4808" s="2" t="s">
        <v>3</v>
      </c>
      <c r="H4808" s="2">
        <v>18464</v>
      </c>
      <c r="I4808" s="2">
        <v>134</v>
      </c>
    </row>
    <row r="4809" spans="1:9" hidden="1" x14ac:dyDescent="0.3">
      <c r="A4809" t="s">
        <v>71</v>
      </c>
      <c r="B4809" s="1">
        <v>44501</v>
      </c>
      <c r="C4809" s="2">
        <v>116516</v>
      </c>
      <c r="D4809" s="2" t="s">
        <v>3</v>
      </c>
      <c r="E4809" s="2">
        <v>98186</v>
      </c>
      <c r="F4809" s="2" t="s">
        <v>3</v>
      </c>
      <c r="G4809" s="2" t="s">
        <v>3</v>
      </c>
      <c r="H4809" s="2">
        <v>18330</v>
      </c>
      <c r="I4809" s="2">
        <v>1249</v>
      </c>
    </row>
    <row r="4810" spans="1:9" hidden="1" x14ac:dyDescent="0.3">
      <c r="A4810" t="s">
        <v>71</v>
      </c>
      <c r="B4810" s="1">
        <v>44470</v>
      </c>
      <c r="C4810" s="2">
        <v>116484</v>
      </c>
      <c r="D4810" s="2" t="s">
        <v>3</v>
      </c>
      <c r="E4810" s="2">
        <v>99403</v>
      </c>
      <c r="F4810" s="2" t="s">
        <v>3</v>
      </c>
      <c r="G4810" s="2" t="s">
        <v>3</v>
      </c>
      <c r="H4810" s="2">
        <v>17081</v>
      </c>
      <c r="I4810" s="2">
        <v>-6268</v>
      </c>
    </row>
    <row r="4811" spans="1:9" hidden="1" x14ac:dyDescent="0.3">
      <c r="A4811" t="s">
        <v>71</v>
      </c>
      <c r="B4811" s="1">
        <v>44440</v>
      </c>
      <c r="C4811" s="2">
        <v>123793</v>
      </c>
      <c r="D4811" s="2" t="s">
        <v>3</v>
      </c>
      <c r="E4811" s="2">
        <v>100444</v>
      </c>
      <c r="F4811" s="2" t="s">
        <v>3</v>
      </c>
      <c r="G4811" s="2" t="s">
        <v>3</v>
      </c>
      <c r="H4811" s="2">
        <v>23349</v>
      </c>
      <c r="I4811" s="2">
        <v>884</v>
      </c>
    </row>
    <row r="4812" spans="1:9" hidden="1" x14ac:dyDescent="0.3">
      <c r="A4812" t="s">
        <v>71</v>
      </c>
      <c r="B4812" s="1">
        <v>44409</v>
      </c>
      <c r="C4812" s="2">
        <v>124100</v>
      </c>
      <c r="D4812" s="2" t="s">
        <v>3</v>
      </c>
      <c r="E4812" s="2">
        <v>101635</v>
      </c>
      <c r="F4812" s="2" t="s">
        <v>3</v>
      </c>
      <c r="G4812" s="2" t="s">
        <v>3</v>
      </c>
      <c r="H4812" s="2">
        <v>22465</v>
      </c>
      <c r="I4812" s="2">
        <v>-3399</v>
      </c>
    </row>
    <row r="4813" spans="1:9" hidden="1" x14ac:dyDescent="0.3">
      <c r="A4813" t="s">
        <v>71</v>
      </c>
      <c r="B4813" s="1">
        <v>44378</v>
      </c>
      <c r="C4813" s="2">
        <v>128109</v>
      </c>
      <c r="D4813" s="2" t="s">
        <v>3</v>
      </c>
      <c r="E4813" s="2">
        <v>102245</v>
      </c>
      <c r="F4813" s="2" t="s">
        <v>3</v>
      </c>
      <c r="G4813" s="2" t="s">
        <v>3</v>
      </c>
      <c r="H4813" s="2">
        <v>25864</v>
      </c>
      <c r="I4813" s="2">
        <v>1918</v>
      </c>
    </row>
    <row r="4814" spans="1:9" hidden="1" x14ac:dyDescent="0.3">
      <c r="A4814" t="s">
        <v>71</v>
      </c>
      <c r="B4814" s="1">
        <v>44348</v>
      </c>
      <c r="C4814" s="2">
        <v>127648</v>
      </c>
      <c r="D4814" s="2" t="s">
        <v>3</v>
      </c>
      <c r="E4814" s="2">
        <v>103702</v>
      </c>
      <c r="F4814" s="2" t="s">
        <v>3</v>
      </c>
      <c r="G4814" s="2" t="s">
        <v>3</v>
      </c>
      <c r="H4814" s="2">
        <v>23946</v>
      </c>
      <c r="I4814" s="2">
        <v>548</v>
      </c>
    </row>
    <row r="4815" spans="1:9" hidden="1" x14ac:dyDescent="0.3">
      <c r="A4815" t="s">
        <v>71</v>
      </c>
      <c r="B4815" s="1">
        <v>44317</v>
      </c>
      <c r="C4815" s="2">
        <v>127304</v>
      </c>
      <c r="D4815" s="2" t="s">
        <v>3</v>
      </c>
      <c r="E4815" s="2">
        <v>103906</v>
      </c>
      <c r="F4815" s="2" t="s">
        <v>3</v>
      </c>
      <c r="G4815" s="2" t="s">
        <v>3</v>
      </c>
      <c r="H4815" s="2">
        <v>23398</v>
      </c>
      <c r="I4815" s="2">
        <v>-2419</v>
      </c>
    </row>
    <row r="4816" spans="1:9" hidden="1" x14ac:dyDescent="0.3">
      <c r="A4816" t="s">
        <v>71</v>
      </c>
      <c r="B4816" s="1">
        <v>44287</v>
      </c>
      <c r="C4816" s="2">
        <v>130256</v>
      </c>
      <c r="D4816" s="2" t="s">
        <v>3</v>
      </c>
      <c r="E4816" s="2">
        <v>104439</v>
      </c>
      <c r="F4816" s="2" t="s">
        <v>3</v>
      </c>
      <c r="G4816" s="2" t="s">
        <v>3</v>
      </c>
      <c r="H4816" s="2">
        <v>25817</v>
      </c>
      <c r="I4816" s="2">
        <v>364</v>
      </c>
    </row>
    <row r="4817" spans="1:9" hidden="1" x14ac:dyDescent="0.3">
      <c r="A4817" t="s">
        <v>71</v>
      </c>
      <c r="B4817" s="1">
        <v>44256</v>
      </c>
      <c r="C4817" s="2">
        <v>130817</v>
      </c>
      <c r="D4817" s="2" t="s">
        <v>3</v>
      </c>
      <c r="E4817" s="2">
        <v>105364</v>
      </c>
      <c r="F4817" s="2" t="s">
        <v>3</v>
      </c>
      <c r="G4817" s="2" t="s">
        <v>3</v>
      </c>
      <c r="H4817" s="2">
        <v>25453</v>
      </c>
      <c r="I4817" s="2">
        <v>-1469</v>
      </c>
    </row>
    <row r="4818" spans="1:9" hidden="1" x14ac:dyDescent="0.3">
      <c r="A4818" t="s">
        <v>71</v>
      </c>
      <c r="B4818" s="1">
        <v>44228</v>
      </c>
      <c r="C4818" s="2">
        <v>132899</v>
      </c>
      <c r="D4818" s="2" t="s">
        <v>3</v>
      </c>
      <c r="E4818" s="2">
        <v>105977</v>
      </c>
      <c r="F4818" s="2" t="s">
        <v>3</v>
      </c>
      <c r="G4818" s="2" t="s">
        <v>3</v>
      </c>
      <c r="H4818" s="2">
        <v>26922</v>
      </c>
      <c r="I4818" s="2">
        <v>-958</v>
      </c>
    </row>
    <row r="4819" spans="1:9" hidden="1" x14ac:dyDescent="0.3">
      <c r="A4819" t="s">
        <v>71</v>
      </c>
      <c r="B4819" s="1">
        <v>44197</v>
      </c>
      <c r="C4819" s="2">
        <v>135122</v>
      </c>
      <c r="D4819" s="2" t="s">
        <v>3</v>
      </c>
      <c r="E4819" s="2">
        <v>107242</v>
      </c>
      <c r="F4819" s="2" t="s">
        <v>3</v>
      </c>
      <c r="G4819" s="2" t="s">
        <v>3</v>
      </c>
      <c r="H4819" s="2">
        <v>27880</v>
      </c>
      <c r="I4819" s="2">
        <v>-1549</v>
      </c>
    </row>
    <row r="4820" spans="1:9" hidden="1" x14ac:dyDescent="0.3">
      <c r="A4820" t="s">
        <v>71</v>
      </c>
      <c r="B4820" s="1">
        <v>44166</v>
      </c>
      <c r="C4820" s="2">
        <v>136382</v>
      </c>
      <c r="D4820" s="2" t="s">
        <v>3</v>
      </c>
      <c r="E4820" s="2">
        <v>106953</v>
      </c>
      <c r="F4820" s="2" t="s">
        <v>3</v>
      </c>
      <c r="G4820" s="2" t="s">
        <v>3</v>
      </c>
      <c r="H4820" s="2">
        <v>29429</v>
      </c>
      <c r="I4820" s="2">
        <v>-2588</v>
      </c>
    </row>
    <row r="4821" spans="1:9" hidden="1" x14ac:dyDescent="0.3">
      <c r="A4821" t="s">
        <v>71</v>
      </c>
      <c r="B4821" s="1">
        <v>44136</v>
      </c>
      <c r="C4821" s="2">
        <v>137596</v>
      </c>
      <c r="D4821" s="2" t="s">
        <v>3</v>
      </c>
      <c r="E4821" s="2">
        <v>105579</v>
      </c>
      <c r="F4821" s="2" t="s">
        <v>3</v>
      </c>
      <c r="G4821" s="2" t="s">
        <v>3</v>
      </c>
      <c r="H4821" s="2">
        <v>32017</v>
      </c>
      <c r="I4821" s="2">
        <v>-3529</v>
      </c>
    </row>
    <row r="4822" spans="1:9" hidden="1" x14ac:dyDescent="0.3">
      <c r="A4822" t="s">
        <v>71</v>
      </c>
      <c r="B4822" s="1">
        <v>44105</v>
      </c>
      <c r="C4822" s="2">
        <v>134193</v>
      </c>
      <c r="D4822" s="2" t="s">
        <v>3</v>
      </c>
      <c r="E4822" s="2">
        <v>98647</v>
      </c>
      <c r="F4822" s="2" t="s">
        <v>3</v>
      </c>
      <c r="G4822" s="2" t="s">
        <v>3</v>
      </c>
      <c r="H4822" s="2">
        <v>35546</v>
      </c>
      <c r="I4822" s="2">
        <v>-913</v>
      </c>
    </row>
    <row r="4823" spans="1:9" hidden="1" x14ac:dyDescent="0.3">
      <c r="A4823" t="s">
        <v>71</v>
      </c>
      <c r="B4823" s="1">
        <v>44075</v>
      </c>
      <c r="C4823" s="2">
        <v>131161</v>
      </c>
      <c r="D4823" s="2" t="s">
        <v>3</v>
      </c>
      <c r="E4823" s="2">
        <v>94702</v>
      </c>
      <c r="F4823" s="2" t="s">
        <v>3</v>
      </c>
      <c r="G4823" s="2" t="s">
        <v>3</v>
      </c>
      <c r="H4823" s="2">
        <v>36459</v>
      </c>
      <c r="I4823" s="2">
        <v>-631</v>
      </c>
    </row>
    <row r="4824" spans="1:9" hidden="1" x14ac:dyDescent="0.3">
      <c r="A4824" t="s">
        <v>71</v>
      </c>
      <c r="B4824" s="1">
        <v>44044</v>
      </c>
      <c r="C4824" s="2">
        <v>129992</v>
      </c>
      <c r="D4824" s="2" t="s">
        <v>3</v>
      </c>
      <c r="E4824" s="2">
        <v>92902</v>
      </c>
      <c r="F4824" s="2" t="s">
        <v>3</v>
      </c>
      <c r="G4824" s="2" t="s">
        <v>3</v>
      </c>
      <c r="H4824" s="2">
        <v>37090</v>
      </c>
      <c r="I4824" s="2">
        <v>3385</v>
      </c>
    </row>
    <row r="4825" spans="1:9" hidden="1" x14ac:dyDescent="0.3">
      <c r="A4825" t="s">
        <v>71</v>
      </c>
      <c r="B4825" s="1">
        <v>44013</v>
      </c>
      <c r="C4825" s="2">
        <v>124570</v>
      </c>
      <c r="D4825" s="2" t="s">
        <v>3</v>
      </c>
      <c r="E4825" s="2">
        <v>90865</v>
      </c>
      <c r="F4825" s="2" t="s">
        <v>3</v>
      </c>
      <c r="G4825" s="2" t="s">
        <v>3</v>
      </c>
      <c r="H4825" s="2">
        <v>33705</v>
      </c>
      <c r="I4825" s="2">
        <v>-1418</v>
      </c>
    </row>
    <row r="4826" spans="1:9" hidden="1" x14ac:dyDescent="0.3">
      <c r="A4826" t="s">
        <v>71</v>
      </c>
      <c r="B4826" s="1">
        <v>43983</v>
      </c>
      <c r="C4826" s="2">
        <v>124931</v>
      </c>
      <c r="D4826" s="2" t="s">
        <v>3</v>
      </c>
      <c r="E4826" s="2">
        <v>89808</v>
      </c>
      <c r="F4826" s="2" t="s">
        <v>3</v>
      </c>
      <c r="G4826" s="2" t="s">
        <v>3</v>
      </c>
      <c r="H4826" s="2">
        <v>35123</v>
      </c>
      <c r="I4826" s="2">
        <v>1605</v>
      </c>
    </row>
    <row r="4827" spans="1:9" hidden="1" x14ac:dyDescent="0.3">
      <c r="A4827" t="s">
        <v>71</v>
      </c>
      <c r="B4827" s="1">
        <v>43952</v>
      </c>
      <c r="C4827" s="2">
        <v>123528</v>
      </c>
      <c r="D4827" s="2" t="s">
        <v>3</v>
      </c>
      <c r="E4827" s="2">
        <v>90010</v>
      </c>
      <c r="F4827" s="2" t="s">
        <v>3</v>
      </c>
      <c r="G4827" s="2" t="s">
        <v>3</v>
      </c>
      <c r="H4827" s="2">
        <v>33518</v>
      </c>
      <c r="I4827" s="2">
        <v>351</v>
      </c>
    </row>
    <row r="4828" spans="1:9" hidden="1" x14ac:dyDescent="0.3">
      <c r="A4828" t="s">
        <v>71</v>
      </c>
      <c r="B4828" s="1">
        <v>43922</v>
      </c>
      <c r="C4828" s="2">
        <v>125257</v>
      </c>
      <c r="D4828" s="2" t="s">
        <v>3</v>
      </c>
      <c r="E4828" s="2">
        <v>92090</v>
      </c>
      <c r="F4828" s="2" t="s">
        <v>3</v>
      </c>
      <c r="G4828" s="2" t="s">
        <v>3</v>
      </c>
      <c r="H4828" s="2">
        <v>33167</v>
      </c>
      <c r="I4828" s="2">
        <v>-4229</v>
      </c>
    </row>
    <row r="4829" spans="1:9" hidden="1" x14ac:dyDescent="0.3">
      <c r="A4829" t="s">
        <v>71</v>
      </c>
      <c r="B4829" s="1">
        <v>43891</v>
      </c>
      <c r="C4829" s="2">
        <v>159108</v>
      </c>
      <c r="D4829" s="2" t="s">
        <v>3</v>
      </c>
      <c r="E4829" s="2">
        <v>121712</v>
      </c>
      <c r="F4829" s="2" t="s">
        <v>3</v>
      </c>
      <c r="G4829" s="2" t="s">
        <v>3</v>
      </c>
      <c r="H4829" s="2">
        <v>37396</v>
      </c>
      <c r="I4829" s="2">
        <v>-5661</v>
      </c>
    </row>
    <row r="4830" spans="1:9" hidden="1" x14ac:dyDescent="0.3">
      <c r="A4830" t="s">
        <v>71</v>
      </c>
      <c r="B4830" s="1">
        <v>43862</v>
      </c>
      <c r="C4830" s="2">
        <v>184434</v>
      </c>
      <c r="D4830" s="2" t="s">
        <v>3</v>
      </c>
      <c r="E4830" s="2">
        <v>141377</v>
      </c>
      <c r="F4830" s="2" t="s">
        <v>3</v>
      </c>
      <c r="G4830" s="2" t="s">
        <v>3</v>
      </c>
      <c r="H4830" s="2">
        <v>43057</v>
      </c>
      <c r="I4830" s="2">
        <v>-1309</v>
      </c>
    </row>
    <row r="4831" spans="1:9" hidden="1" x14ac:dyDescent="0.3">
      <c r="A4831" t="s">
        <v>71</v>
      </c>
      <c r="B4831" s="1">
        <v>43831</v>
      </c>
      <c r="C4831" s="2">
        <v>182850</v>
      </c>
      <c r="D4831" s="2" t="s">
        <v>3</v>
      </c>
      <c r="E4831" s="2">
        <v>138484</v>
      </c>
      <c r="F4831" s="2" t="s">
        <v>3</v>
      </c>
      <c r="G4831" s="2" t="s">
        <v>3</v>
      </c>
      <c r="H4831" s="2">
        <v>44366</v>
      </c>
      <c r="I4831" s="2">
        <v>-121</v>
      </c>
    </row>
    <row r="4832" spans="1:9" x14ac:dyDescent="0.3">
      <c r="A4832" t="s">
        <v>72</v>
      </c>
      <c r="B4832" s="1">
        <v>45931</v>
      </c>
      <c r="C4832" s="2">
        <v>273684</v>
      </c>
      <c r="D4832" s="2">
        <v>11607</v>
      </c>
      <c r="E4832" s="2">
        <v>259496</v>
      </c>
      <c r="F4832" s="2">
        <v>13056</v>
      </c>
      <c r="G4832" s="2">
        <v>5636</v>
      </c>
      <c r="H4832" s="2">
        <v>14188</v>
      </c>
      <c r="I4832" s="2">
        <v>-1449</v>
      </c>
    </row>
    <row r="4833" spans="1:9" x14ac:dyDescent="0.3">
      <c r="A4833" t="s">
        <v>72</v>
      </c>
      <c r="B4833" s="1">
        <v>45901</v>
      </c>
      <c r="C4833" s="2">
        <v>259852</v>
      </c>
      <c r="D4833" s="2">
        <v>-6074</v>
      </c>
      <c r="E4833" s="2">
        <v>244215</v>
      </c>
      <c r="F4833" s="2">
        <v>-7148</v>
      </c>
      <c r="G4833" s="2">
        <v>3363</v>
      </c>
      <c r="H4833" s="2">
        <v>15637</v>
      </c>
      <c r="I4833" s="2">
        <v>1074</v>
      </c>
    </row>
    <row r="4834" spans="1:9" x14ac:dyDescent="0.3">
      <c r="A4834" t="s">
        <v>72</v>
      </c>
      <c r="B4834" s="1">
        <v>45870</v>
      </c>
      <c r="C4834" s="2">
        <v>261922</v>
      </c>
      <c r="D4834" s="2">
        <v>4094</v>
      </c>
      <c r="E4834" s="2">
        <v>247359</v>
      </c>
      <c r="F4834" s="2">
        <v>3533</v>
      </c>
      <c r="G4834" s="2">
        <v>2124</v>
      </c>
      <c r="H4834" s="2">
        <v>14563</v>
      </c>
      <c r="I4834" s="2">
        <v>561</v>
      </c>
    </row>
    <row r="4835" spans="1:9" x14ac:dyDescent="0.3">
      <c r="A4835" t="s">
        <v>72</v>
      </c>
      <c r="B4835" s="1">
        <v>45839</v>
      </c>
      <c r="C4835" s="2">
        <v>253305</v>
      </c>
      <c r="D4835" s="2">
        <v>-517</v>
      </c>
      <c r="E4835" s="2">
        <v>239303</v>
      </c>
      <c r="F4835" s="2">
        <v>-902</v>
      </c>
      <c r="G4835" s="2">
        <v>445</v>
      </c>
      <c r="H4835" s="2">
        <v>14002</v>
      </c>
      <c r="I4835" s="2">
        <v>385</v>
      </c>
    </row>
    <row r="4836" spans="1:9" x14ac:dyDescent="0.3">
      <c r="A4836" t="s">
        <v>72</v>
      </c>
      <c r="B4836" s="1">
        <v>45809</v>
      </c>
      <c r="C4836" s="2">
        <v>254401</v>
      </c>
      <c r="D4836" s="2">
        <v>2586</v>
      </c>
      <c r="E4836" s="2">
        <v>240784</v>
      </c>
      <c r="F4836" s="2">
        <v>4662</v>
      </c>
      <c r="G4836" s="2">
        <v>3461</v>
      </c>
      <c r="H4836" s="2">
        <v>13617</v>
      </c>
      <c r="I4836" s="2">
        <v>-2076</v>
      </c>
    </row>
    <row r="4837" spans="1:9" x14ac:dyDescent="0.3">
      <c r="A4837" t="s">
        <v>72</v>
      </c>
      <c r="B4837" s="1">
        <v>45778</v>
      </c>
      <c r="C4837" s="2">
        <v>249323</v>
      </c>
      <c r="D4837" s="2">
        <v>4873</v>
      </c>
      <c r="E4837" s="2">
        <v>233630</v>
      </c>
      <c r="F4837" s="2">
        <v>4213</v>
      </c>
      <c r="G4837" s="2">
        <v>-3940</v>
      </c>
      <c r="H4837" s="2">
        <v>15693</v>
      </c>
      <c r="I4837" s="2">
        <v>660</v>
      </c>
    </row>
    <row r="4838" spans="1:9" x14ac:dyDescent="0.3">
      <c r="A4838" t="s">
        <v>72</v>
      </c>
      <c r="B4838" s="1">
        <v>45748</v>
      </c>
      <c r="C4838" s="2">
        <v>247682</v>
      </c>
      <c r="D4838" s="2">
        <v>-11442</v>
      </c>
      <c r="E4838" s="2">
        <v>232649</v>
      </c>
      <c r="F4838" s="2">
        <v>-6405</v>
      </c>
      <c r="G4838" s="2">
        <v>703</v>
      </c>
      <c r="H4838" s="2">
        <v>15033</v>
      </c>
      <c r="I4838" s="2">
        <v>-5037</v>
      </c>
    </row>
    <row r="4839" spans="1:9" x14ac:dyDescent="0.3">
      <c r="A4839" t="s">
        <v>72</v>
      </c>
      <c r="B4839" s="1">
        <v>45717</v>
      </c>
      <c r="C4839" s="2">
        <v>262724</v>
      </c>
      <c r="D4839" s="2">
        <v>720</v>
      </c>
      <c r="E4839" s="2">
        <v>242654</v>
      </c>
      <c r="F4839" s="2">
        <v>2374</v>
      </c>
      <c r="G4839" s="2">
        <v>849</v>
      </c>
      <c r="H4839" s="2">
        <v>20070</v>
      </c>
      <c r="I4839" s="2">
        <v>-1654</v>
      </c>
    </row>
    <row r="4840" spans="1:9" x14ac:dyDescent="0.3">
      <c r="A4840" t="s">
        <v>72</v>
      </c>
      <c r="B4840" s="1">
        <v>45689</v>
      </c>
      <c r="C4840" s="2">
        <v>259969</v>
      </c>
      <c r="D4840" s="2">
        <v>8066</v>
      </c>
      <c r="E4840" s="2">
        <v>238245</v>
      </c>
      <c r="F4840" s="2">
        <v>5787</v>
      </c>
      <c r="G4840" s="2">
        <v>2282</v>
      </c>
      <c r="H4840" s="2">
        <v>21724</v>
      </c>
      <c r="I4840" s="2">
        <v>2279</v>
      </c>
    </row>
    <row r="4841" spans="1:9" x14ac:dyDescent="0.3">
      <c r="A4841" t="s">
        <v>72</v>
      </c>
      <c r="B4841" s="1">
        <v>45658</v>
      </c>
      <c r="C4841" s="2">
        <v>247593</v>
      </c>
      <c r="D4841" s="2">
        <v>-1966</v>
      </c>
      <c r="E4841" s="2">
        <v>228148</v>
      </c>
      <c r="F4841" s="2">
        <v>121</v>
      </c>
      <c r="G4841" s="2">
        <v>2234</v>
      </c>
      <c r="H4841" s="2">
        <v>19445</v>
      </c>
      <c r="I4841" s="2">
        <v>-2087</v>
      </c>
    </row>
    <row r="4842" spans="1:9" x14ac:dyDescent="0.3">
      <c r="A4842" t="s">
        <v>72</v>
      </c>
      <c r="B4842" s="1">
        <v>45627</v>
      </c>
      <c r="C4842" s="2">
        <v>248976</v>
      </c>
      <c r="D4842" s="2">
        <v>1391</v>
      </c>
      <c r="E4842" s="2">
        <v>227444</v>
      </c>
      <c r="F4842" s="2">
        <v>1380</v>
      </c>
      <c r="G4842" s="2">
        <v>-3429</v>
      </c>
      <c r="H4842" s="2">
        <v>21532</v>
      </c>
      <c r="I4842" s="2">
        <v>11</v>
      </c>
    </row>
    <row r="4843" spans="1:9" x14ac:dyDescent="0.3">
      <c r="A4843" t="s">
        <v>72</v>
      </c>
      <c r="B4843" s="1">
        <v>45597</v>
      </c>
      <c r="C4843" s="2">
        <v>252243</v>
      </c>
      <c r="D4843" s="2">
        <v>7089</v>
      </c>
      <c r="E4843" s="2">
        <v>230722</v>
      </c>
      <c r="F4843" s="2">
        <v>8334</v>
      </c>
      <c r="G4843" s="2">
        <v>5150</v>
      </c>
      <c r="H4843" s="2">
        <v>21521</v>
      </c>
      <c r="I4843" s="2">
        <v>-1245</v>
      </c>
    </row>
    <row r="4844" spans="1:9" x14ac:dyDescent="0.3">
      <c r="A4844" t="s">
        <v>72</v>
      </c>
      <c r="B4844" s="1">
        <v>45566</v>
      </c>
      <c r="C4844" s="2">
        <v>244698</v>
      </c>
      <c r="D4844" s="2">
        <v>5940</v>
      </c>
      <c r="E4844" s="2">
        <v>221932</v>
      </c>
      <c r="F4844" s="2">
        <v>3250</v>
      </c>
      <c r="G4844" s="2">
        <v>-4507</v>
      </c>
      <c r="H4844" s="2">
        <v>22766</v>
      </c>
      <c r="I4844" s="2">
        <v>2690</v>
      </c>
    </row>
    <row r="4845" spans="1:9" x14ac:dyDescent="0.3">
      <c r="A4845" t="s">
        <v>72</v>
      </c>
      <c r="B4845" s="1">
        <v>45536</v>
      </c>
      <c r="C4845" s="2">
        <v>243809</v>
      </c>
      <c r="D4845" s="2">
        <v>8438</v>
      </c>
      <c r="E4845" s="2">
        <v>223733</v>
      </c>
      <c r="F4845" s="2">
        <v>6333</v>
      </c>
      <c r="G4845" s="2">
        <v>3047</v>
      </c>
      <c r="H4845" s="2">
        <v>20076</v>
      </c>
      <c r="I4845" s="2">
        <v>2105</v>
      </c>
    </row>
    <row r="4846" spans="1:9" x14ac:dyDescent="0.3">
      <c r="A4846" t="s">
        <v>72</v>
      </c>
      <c r="B4846" s="1">
        <v>45505</v>
      </c>
      <c r="C4846" s="2">
        <v>234762</v>
      </c>
      <c r="D4846" s="2">
        <v>3343</v>
      </c>
      <c r="E4846" s="2">
        <v>216791</v>
      </c>
      <c r="F4846" s="2">
        <v>2090</v>
      </c>
      <c r="G4846" s="2">
        <v>1089</v>
      </c>
      <c r="H4846" s="2">
        <v>17971</v>
      </c>
      <c r="I4846" s="2">
        <v>1253</v>
      </c>
    </row>
    <row r="4847" spans="1:9" x14ac:dyDescent="0.3">
      <c r="A4847" t="s">
        <v>72</v>
      </c>
      <c r="B4847" s="1">
        <v>45474</v>
      </c>
      <c r="C4847" s="2">
        <v>229780</v>
      </c>
      <c r="D4847" s="2">
        <v>14286</v>
      </c>
      <c r="E4847" s="2">
        <v>213062</v>
      </c>
      <c r="F4847" s="2">
        <v>8174</v>
      </c>
      <c r="G4847" s="2">
        <v>-534</v>
      </c>
      <c r="H4847" s="2">
        <v>16718</v>
      </c>
      <c r="I4847" s="2">
        <v>6112</v>
      </c>
    </row>
    <row r="4848" spans="1:9" x14ac:dyDescent="0.3">
      <c r="A4848" t="s">
        <v>72</v>
      </c>
      <c r="B4848" s="1">
        <v>45444</v>
      </c>
      <c r="C4848" s="2">
        <v>214995</v>
      </c>
      <c r="D4848" s="2">
        <v>2843</v>
      </c>
      <c r="E4848" s="2">
        <v>204389</v>
      </c>
      <c r="F4848" s="2">
        <v>2064</v>
      </c>
      <c r="G4848" s="2">
        <v>5254</v>
      </c>
      <c r="H4848" s="2">
        <v>10606</v>
      </c>
      <c r="I4848" s="2">
        <v>779</v>
      </c>
    </row>
    <row r="4849" spans="1:9" x14ac:dyDescent="0.3">
      <c r="A4849" t="s">
        <v>72</v>
      </c>
      <c r="B4849" s="1">
        <v>45413</v>
      </c>
      <c r="C4849" s="2">
        <v>209847</v>
      </c>
      <c r="D4849" s="2">
        <v>3157</v>
      </c>
      <c r="E4849" s="2">
        <v>200020</v>
      </c>
      <c r="F4849" s="2">
        <v>4185</v>
      </c>
      <c r="G4849" s="2">
        <v>2167</v>
      </c>
      <c r="H4849" s="2">
        <v>9827</v>
      </c>
      <c r="I4849" s="2">
        <v>-1028</v>
      </c>
    </row>
    <row r="4850" spans="1:9" x14ac:dyDescent="0.3">
      <c r="A4850" t="s">
        <v>72</v>
      </c>
      <c r="B4850" s="1">
        <v>45383</v>
      </c>
      <c r="C4850" s="2">
        <v>203295</v>
      </c>
      <c r="D4850" s="2">
        <v>7074</v>
      </c>
      <c r="E4850" s="2">
        <v>192440</v>
      </c>
      <c r="F4850" s="2">
        <v>6193</v>
      </c>
      <c r="G4850" s="2">
        <v>82</v>
      </c>
      <c r="H4850" s="2">
        <v>10855</v>
      </c>
      <c r="I4850" s="2">
        <v>881</v>
      </c>
    </row>
    <row r="4851" spans="1:9" x14ac:dyDescent="0.3">
      <c r="A4851" t="s">
        <v>72</v>
      </c>
      <c r="B4851" s="1">
        <v>45352</v>
      </c>
      <c r="C4851" s="2">
        <v>202382</v>
      </c>
      <c r="D4851" s="2">
        <v>724</v>
      </c>
      <c r="E4851" s="2">
        <v>192408</v>
      </c>
      <c r="F4851" s="2">
        <v>1846</v>
      </c>
      <c r="G4851" s="2">
        <v>2864</v>
      </c>
      <c r="H4851" s="2">
        <v>9974</v>
      </c>
      <c r="I4851" s="2">
        <v>-1122</v>
      </c>
    </row>
    <row r="4852" spans="1:9" x14ac:dyDescent="0.3">
      <c r="A4852" t="s">
        <v>72</v>
      </c>
      <c r="B4852" s="1">
        <v>45323</v>
      </c>
      <c r="C4852" s="2">
        <v>199328</v>
      </c>
      <c r="D4852" s="2">
        <v>3327</v>
      </c>
      <c r="E4852" s="2">
        <v>188232</v>
      </c>
      <c r="F4852" s="2">
        <v>2587</v>
      </c>
      <c r="G4852" s="2">
        <v>-2998</v>
      </c>
      <c r="H4852" s="2">
        <v>11096</v>
      </c>
      <c r="I4852" s="2">
        <v>740</v>
      </c>
    </row>
    <row r="4853" spans="1:9" x14ac:dyDescent="0.3">
      <c r="A4853" t="s">
        <v>72</v>
      </c>
      <c r="B4853" s="1">
        <v>45292</v>
      </c>
      <c r="C4853" s="2">
        <v>199102</v>
      </c>
      <c r="D4853" s="2">
        <v>2244</v>
      </c>
      <c r="E4853" s="2">
        <v>188746</v>
      </c>
      <c r="F4853" s="2">
        <v>2275</v>
      </c>
      <c r="G4853" s="2">
        <v>1708</v>
      </c>
      <c r="H4853" s="2">
        <v>10356</v>
      </c>
      <c r="I4853" s="2">
        <v>-31</v>
      </c>
    </row>
    <row r="4854" spans="1:9" x14ac:dyDescent="0.3">
      <c r="A4854" t="s">
        <v>72</v>
      </c>
      <c r="B4854" s="1">
        <v>45261</v>
      </c>
      <c r="C4854" s="2">
        <v>195977</v>
      </c>
      <c r="D4854" s="2">
        <v>-1688</v>
      </c>
      <c r="E4854" s="2">
        <v>185590</v>
      </c>
      <c r="F4854" s="2">
        <v>-2850</v>
      </c>
      <c r="G4854" s="2">
        <v>6013</v>
      </c>
      <c r="H4854" s="2">
        <v>10387</v>
      </c>
      <c r="I4854" s="2">
        <v>1162</v>
      </c>
    </row>
    <row r="4855" spans="1:9" x14ac:dyDescent="0.3">
      <c r="A4855" t="s">
        <v>72</v>
      </c>
      <c r="B4855" s="1">
        <v>45231</v>
      </c>
      <c r="C4855" s="2">
        <v>196169</v>
      </c>
      <c r="D4855" s="2">
        <v>-375</v>
      </c>
      <c r="E4855" s="2">
        <v>186944</v>
      </c>
      <c r="F4855" s="2">
        <v>-2489</v>
      </c>
      <c r="G4855" s="2">
        <v>3971</v>
      </c>
      <c r="H4855" s="2">
        <v>9225</v>
      </c>
      <c r="I4855" s="2">
        <v>2114</v>
      </c>
    </row>
    <row r="4856" spans="1:9" x14ac:dyDescent="0.3">
      <c r="A4856" t="s">
        <v>72</v>
      </c>
      <c r="B4856" s="1">
        <v>45200</v>
      </c>
      <c r="C4856" s="2">
        <v>190514</v>
      </c>
      <c r="D4856" s="2">
        <v>6369</v>
      </c>
      <c r="E4856" s="2">
        <v>183403</v>
      </c>
      <c r="F4856" s="2">
        <v>7131</v>
      </c>
      <c r="G4856" s="2">
        <v>-2717</v>
      </c>
      <c r="H4856" s="2">
        <v>7111</v>
      </c>
      <c r="I4856" s="2">
        <v>-762</v>
      </c>
    </row>
    <row r="4857" spans="1:9" x14ac:dyDescent="0.3">
      <c r="A4857" t="s">
        <v>72</v>
      </c>
      <c r="B4857" s="1">
        <v>45170</v>
      </c>
      <c r="C4857" s="2">
        <v>187348</v>
      </c>
      <c r="D4857" s="2">
        <v>6305</v>
      </c>
      <c r="E4857" s="2">
        <v>179475</v>
      </c>
      <c r="F4857" s="2">
        <v>8115</v>
      </c>
      <c r="G4857" s="2">
        <v>309</v>
      </c>
      <c r="H4857" s="2">
        <v>7873</v>
      </c>
      <c r="I4857" s="2">
        <v>-1810</v>
      </c>
    </row>
    <row r="4858" spans="1:9" x14ac:dyDescent="0.3">
      <c r="A4858" t="s">
        <v>72</v>
      </c>
      <c r="B4858" s="1">
        <v>45139</v>
      </c>
      <c r="C4858" s="2">
        <v>184210</v>
      </c>
      <c r="D4858" s="2">
        <v>-535</v>
      </c>
      <c r="E4858" s="2">
        <v>174527</v>
      </c>
      <c r="F4858" s="2">
        <v>-182</v>
      </c>
      <c r="G4858" s="2">
        <v>-2644</v>
      </c>
      <c r="H4858" s="2">
        <v>9683</v>
      </c>
      <c r="I4858" s="2">
        <v>-353</v>
      </c>
    </row>
    <row r="4859" spans="1:9" x14ac:dyDescent="0.3">
      <c r="A4859" t="s">
        <v>72</v>
      </c>
      <c r="B4859" s="1">
        <v>45108</v>
      </c>
      <c r="C4859" s="2">
        <v>186618</v>
      </c>
      <c r="D4859" s="2">
        <v>545</v>
      </c>
      <c r="E4859" s="2">
        <v>176582</v>
      </c>
      <c r="F4859" s="2">
        <v>-1394</v>
      </c>
      <c r="G4859" s="2">
        <v>-641</v>
      </c>
      <c r="H4859" s="2">
        <v>10036</v>
      </c>
      <c r="I4859" s="2">
        <v>1939</v>
      </c>
    </row>
    <row r="4860" spans="1:9" x14ac:dyDescent="0.3">
      <c r="A4860" t="s">
        <v>72</v>
      </c>
      <c r="B4860" s="1">
        <v>45078</v>
      </c>
      <c r="C4860" s="2">
        <v>187254</v>
      </c>
      <c r="D4860" s="2">
        <v>-15394</v>
      </c>
      <c r="E4860" s="2">
        <v>179157</v>
      </c>
      <c r="F4860" s="2">
        <v>-10464</v>
      </c>
      <c r="G4860" s="2">
        <v>-2956</v>
      </c>
      <c r="H4860" s="2">
        <v>8097</v>
      </c>
      <c r="I4860" s="2">
        <v>-4930</v>
      </c>
    </row>
    <row r="4861" spans="1:9" x14ac:dyDescent="0.3">
      <c r="A4861" t="s">
        <v>72</v>
      </c>
      <c r="B4861" s="1">
        <v>45047</v>
      </c>
      <c r="C4861" s="2">
        <v>203161</v>
      </c>
      <c r="D4861" s="2">
        <v>3154</v>
      </c>
      <c r="E4861" s="2">
        <v>190134</v>
      </c>
      <c r="F4861" s="2">
        <v>3505</v>
      </c>
      <c r="G4861" s="2">
        <v>-1629</v>
      </c>
      <c r="H4861" s="2">
        <v>13027</v>
      </c>
      <c r="I4861" s="2">
        <v>-351</v>
      </c>
    </row>
    <row r="4862" spans="1:9" x14ac:dyDescent="0.3">
      <c r="A4862" t="s">
        <v>72</v>
      </c>
      <c r="B4862" s="1">
        <v>45017</v>
      </c>
      <c r="C4862" s="2">
        <v>201067</v>
      </c>
      <c r="D4862" s="2">
        <v>6111</v>
      </c>
      <c r="E4862" s="2">
        <v>187689</v>
      </c>
      <c r="F4862" s="2">
        <v>5597</v>
      </c>
      <c r="G4862" s="2">
        <v>1760</v>
      </c>
      <c r="H4862" s="2">
        <v>13378</v>
      </c>
      <c r="I4862" s="2">
        <v>514</v>
      </c>
    </row>
    <row r="4863" spans="1:9" x14ac:dyDescent="0.3">
      <c r="A4863" t="s">
        <v>72</v>
      </c>
      <c r="B4863" s="1">
        <v>44986</v>
      </c>
      <c r="C4863" s="2">
        <v>194906</v>
      </c>
      <c r="D4863" s="2">
        <v>34</v>
      </c>
      <c r="E4863" s="2">
        <v>182042</v>
      </c>
      <c r="F4863" s="2">
        <v>208</v>
      </c>
      <c r="G4863" s="2">
        <v>5503</v>
      </c>
      <c r="H4863" s="2">
        <v>12864</v>
      </c>
      <c r="I4863" s="2">
        <v>-174</v>
      </c>
    </row>
    <row r="4864" spans="1:9" x14ac:dyDescent="0.3">
      <c r="A4864" t="s">
        <v>72</v>
      </c>
      <c r="B4864" s="1">
        <v>44958</v>
      </c>
      <c r="C4864" s="2">
        <v>189860</v>
      </c>
      <c r="D4864" s="2">
        <v>6942</v>
      </c>
      <c r="E4864" s="2">
        <v>176822</v>
      </c>
      <c r="F4864" s="2">
        <v>6731</v>
      </c>
      <c r="G4864" s="2">
        <v>-4914</v>
      </c>
      <c r="H4864" s="2">
        <v>13038</v>
      </c>
      <c r="I4864" s="2">
        <v>211</v>
      </c>
    </row>
    <row r="4865" spans="1:9" hidden="1" x14ac:dyDescent="0.3">
      <c r="A4865" t="s">
        <v>72</v>
      </c>
      <c r="B4865" s="1">
        <v>44927</v>
      </c>
      <c r="C4865" s="2">
        <v>187641</v>
      </c>
      <c r="D4865" s="2" t="s">
        <v>3</v>
      </c>
      <c r="E4865" s="2">
        <v>174814</v>
      </c>
      <c r="F4865" s="2" t="s">
        <v>3</v>
      </c>
      <c r="G4865" s="2" t="s">
        <v>3</v>
      </c>
      <c r="H4865" s="2">
        <v>12827</v>
      </c>
      <c r="I4865" s="2">
        <v>918</v>
      </c>
    </row>
    <row r="4866" spans="1:9" hidden="1" x14ac:dyDescent="0.3">
      <c r="A4866" t="s">
        <v>72</v>
      </c>
      <c r="B4866" s="1">
        <v>44896</v>
      </c>
      <c r="C4866" s="2">
        <v>182857</v>
      </c>
      <c r="D4866" s="2" t="s">
        <v>3</v>
      </c>
      <c r="E4866" s="2">
        <v>170948</v>
      </c>
      <c r="F4866" s="2" t="s">
        <v>3</v>
      </c>
      <c r="G4866" s="2" t="s">
        <v>3</v>
      </c>
      <c r="H4866" s="2">
        <v>11909</v>
      </c>
      <c r="I4866" s="2">
        <v>-881</v>
      </c>
    </row>
    <row r="4867" spans="1:9" hidden="1" x14ac:dyDescent="0.3">
      <c r="A4867" t="s">
        <v>72</v>
      </c>
      <c r="B4867" s="1">
        <v>44866</v>
      </c>
      <c r="C4867" s="2">
        <v>186307</v>
      </c>
      <c r="D4867" s="2" t="s">
        <v>3</v>
      </c>
      <c r="E4867" s="2">
        <v>173517</v>
      </c>
      <c r="F4867" s="2" t="s">
        <v>3</v>
      </c>
      <c r="G4867" s="2" t="s">
        <v>3</v>
      </c>
      <c r="H4867" s="2">
        <v>12790</v>
      </c>
      <c r="I4867" s="2">
        <v>47</v>
      </c>
    </row>
    <row r="4868" spans="1:9" hidden="1" x14ac:dyDescent="0.3">
      <c r="A4868" t="s">
        <v>72</v>
      </c>
      <c r="B4868" s="1">
        <v>44835</v>
      </c>
      <c r="C4868" s="2">
        <v>175762</v>
      </c>
      <c r="D4868" s="2" t="s">
        <v>3</v>
      </c>
      <c r="E4868" s="2">
        <v>163019</v>
      </c>
      <c r="F4868" s="2" t="s">
        <v>3</v>
      </c>
      <c r="G4868" s="2" t="s">
        <v>3</v>
      </c>
      <c r="H4868" s="2">
        <v>12743</v>
      </c>
      <c r="I4868" s="2">
        <v>2863</v>
      </c>
    </row>
    <row r="4869" spans="1:9" hidden="1" x14ac:dyDescent="0.3">
      <c r="A4869" t="s">
        <v>72</v>
      </c>
      <c r="B4869" s="1">
        <v>44805</v>
      </c>
      <c r="C4869" s="2">
        <v>176364</v>
      </c>
      <c r="D4869" s="2" t="s">
        <v>3</v>
      </c>
      <c r="E4869" s="2">
        <v>166484</v>
      </c>
      <c r="F4869" s="2" t="s">
        <v>3</v>
      </c>
      <c r="G4869" s="2" t="s">
        <v>3</v>
      </c>
      <c r="H4869" s="2">
        <v>9880</v>
      </c>
      <c r="I4869" s="2">
        <v>-289</v>
      </c>
    </row>
    <row r="4870" spans="1:9" hidden="1" x14ac:dyDescent="0.3">
      <c r="A4870" t="s">
        <v>72</v>
      </c>
      <c r="B4870" s="1">
        <v>44774</v>
      </c>
      <c r="C4870" s="2">
        <v>188321</v>
      </c>
      <c r="D4870" s="2" t="s">
        <v>3</v>
      </c>
      <c r="E4870" s="2">
        <v>178152</v>
      </c>
      <c r="F4870" s="2" t="s">
        <v>3</v>
      </c>
      <c r="G4870" s="2" t="s">
        <v>3</v>
      </c>
      <c r="H4870" s="2">
        <v>10169</v>
      </c>
      <c r="I4870" s="2">
        <v>-1025</v>
      </c>
    </row>
    <row r="4871" spans="1:9" hidden="1" x14ac:dyDescent="0.3">
      <c r="A4871" t="s">
        <v>72</v>
      </c>
      <c r="B4871" s="1">
        <v>44743</v>
      </c>
      <c r="C4871" s="2">
        <v>187206</v>
      </c>
      <c r="D4871" s="2" t="s">
        <v>3</v>
      </c>
      <c r="E4871" s="2">
        <v>176012</v>
      </c>
      <c r="F4871" s="2" t="s">
        <v>3</v>
      </c>
      <c r="G4871" s="2" t="s">
        <v>3</v>
      </c>
      <c r="H4871" s="2">
        <v>11194</v>
      </c>
      <c r="I4871" s="2">
        <v>1004</v>
      </c>
    </row>
    <row r="4872" spans="1:9" hidden="1" x14ac:dyDescent="0.3">
      <c r="A4872" t="s">
        <v>72</v>
      </c>
      <c r="B4872" s="1">
        <v>44713</v>
      </c>
      <c r="C4872" s="2">
        <v>180876</v>
      </c>
      <c r="D4872" s="2" t="s">
        <v>3</v>
      </c>
      <c r="E4872" s="2">
        <v>170686</v>
      </c>
      <c r="F4872" s="2" t="s">
        <v>3</v>
      </c>
      <c r="G4872" s="2" t="s">
        <v>3</v>
      </c>
      <c r="H4872" s="2">
        <v>10190</v>
      </c>
      <c r="I4872" s="2">
        <v>1269</v>
      </c>
    </row>
    <row r="4873" spans="1:9" hidden="1" x14ac:dyDescent="0.3">
      <c r="A4873" t="s">
        <v>72</v>
      </c>
      <c r="B4873" s="1">
        <v>44682</v>
      </c>
      <c r="C4873" s="2">
        <v>177084</v>
      </c>
      <c r="D4873" s="2" t="s">
        <v>3</v>
      </c>
      <c r="E4873" s="2">
        <v>168163</v>
      </c>
      <c r="F4873" s="2" t="s">
        <v>3</v>
      </c>
      <c r="G4873" s="2" t="s">
        <v>3</v>
      </c>
      <c r="H4873" s="2">
        <v>8921</v>
      </c>
      <c r="I4873" s="2">
        <v>-279</v>
      </c>
    </row>
    <row r="4874" spans="1:9" hidden="1" x14ac:dyDescent="0.3">
      <c r="A4874" t="s">
        <v>72</v>
      </c>
      <c r="B4874" s="1">
        <v>44652</v>
      </c>
      <c r="C4874" s="2">
        <v>182080</v>
      </c>
      <c r="D4874" s="2" t="s">
        <v>3</v>
      </c>
      <c r="E4874" s="2">
        <v>172880</v>
      </c>
      <c r="F4874" s="2" t="s">
        <v>3</v>
      </c>
      <c r="G4874" s="2" t="s">
        <v>3</v>
      </c>
      <c r="H4874" s="2">
        <v>9200</v>
      </c>
      <c r="I4874" s="2">
        <v>-1234</v>
      </c>
    </row>
    <row r="4875" spans="1:9" hidden="1" x14ac:dyDescent="0.3">
      <c r="A4875" t="s">
        <v>72</v>
      </c>
      <c r="B4875" s="1">
        <v>44621</v>
      </c>
      <c r="C4875" s="2">
        <v>190896</v>
      </c>
      <c r="D4875" s="2" t="s">
        <v>3</v>
      </c>
      <c r="E4875" s="2">
        <v>180462</v>
      </c>
      <c r="F4875" s="2" t="s">
        <v>3</v>
      </c>
      <c r="G4875" s="2" t="s">
        <v>3</v>
      </c>
      <c r="H4875" s="2">
        <v>10434</v>
      </c>
      <c r="I4875" s="2">
        <v>-571</v>
      </c>
    </row>
    <row r="4876" spans="1:9" hidden="1" x14ac:dyDescent="0.3">
      <c r="A4876" t="s">
        <v>72</v>
      </c>
      <c r="B4876" s="1">
        <v>44593</v>
      </c>
      <c r="C4876" s="2">
        <v>191951</v>
      </c>
      <c r="D4876" s="2" t="s">
        <v>3</v>
      </c>
      <c r="E4876" s="2">
        <v>180946</v>
      </c>
      <c r="F4876" s="2" t="s">
        <v>3</v>
      </c>
      <c r="G4876" s="2" t="s">
        <v>3</v>
      </c>
      <c r="H4876" s="2">
        <v>11005</v>
      </c>
      <c r="I4876" s="2">
        <v>-881</v>
      </c>
    </row>
    <row r="4877" spans="1:9" hidden="1" x14ac:dyDescent="0.3">
      <c r="A4877" t="s">
        <v>72</v>
      </c>
      <c r="B4877" s="1">
        <v>44562</v>
      </c>
      <c r="C4877" s="2">
        <v>191607</v>
      </c>
      <c r="D4877" s="2" t="s">
        <v>3</v>
      </c>
      <c r="E4877" s="2">
        <v>179721</v>
      </c>
      <c r="F4877" s="2" t="s">
        <v>3</v>
      </c>
      <c r="G4877" s="2" t="s">
        <v>3</v>
      </c>
      <c r="H4877" s="2">
        <v>11886</v>
      </c>
      <c r="I4877" s="2">
        <v>1600</v>
      </c>
    </row>
    <row r="4878" spans="1:9" hidden="1" x14ac:dyDescent="0.3">
      <c r="A4878" t="s">
        <v>72</v>
      </c>
      <c r="B4878" s="1">
        <v>44531</v>
      </c>
      <c r="C4878" s="2">
        <v>193614</v>
      </c>
      <c r="D4878" s="2" t="s">
        <v>3</v>
      </c>
      <c r="E4878" s="2">
        <v>183328</v>
      </c>
      <c r="F4878" s="2" t="s">
        <v>3</v>
      </c>
      <c r="G4878" s="2" t="s">
        <v>3</v>
      </c>
      <c r="H4878" s="2">
        <v>10286</v>
      </c>
      <c r="I4878" s="2">
        <v>-921</v>
      </c>
    </row>
    <row r="4879" spans="1:9" hidden="1" x14ac:dyDescent="0.3">
      <c r="A4879" t="s">
        <v>72</v>
      </c>
      <c r="B4879" s="1">
        <v>44501</v>
      </c>
      <c r="C4879" s="2">
        <v>189375</v>
      </c>
      <c r="D4879" s="2" t="s">
        <v>3</v>
      </c>
      <c r="E4879" s="2">
        <v>178168</v>
      </c>
      <c r="F4879" s="2" t="s">
        <v>3</v>
      </c>
      <c r="G4879" s="2" t="s">
        <v>3</v>
      </c>
      <c r="H4879" s="2">
        <v>11207</v>
      </c>
      <c r="I4879" s="2">
        <v>225</v>
      </c>
    </row>
    <row r="4880" spans="1:9" hidden="1" x14ac:dyDescent="0.3">
      <c r="A4880" t="s">
        <v>72</v>
      </c>
      <c r="B4880" s="1">
        <v>44470</v>
      </c>
      <c r="C4880" s="2">
        <v>188521</v>
      </c>
      <c r="D4880" s="2" t="s">
        <v>3</v>
      </c>
      <c r="E4880" s="2">
        <v>177539</v>
      </c>
      <c r="F4880" s="2" t="s">
        <v>3</v>
      </c>
      <c r="G4880" s="2" t="s">
        <v>3</v>
      </c>
      <c r="H4880" s="2">
        <v>10982</v>
      </c>
      <c r="I4880" s="2">
        <v>-993</v>
      </c>
    </row>
    <row r="4881" spans="1:9" hidden="1" x14ac:dyDescent="0.3">
      <c r="A4881" t="s">
        <v>72</v>
      </c>
      <c r="B4881" s="1">
        <v>44440</v>
      </c>
      <c r="C4881" s="2">
        <v>189312</v>
      </c>
      <c r="D4881" s="2" t="s">
        <v>3</v>
      </c>
      <c r="E4881" s="2">
        <v>177337</v>
      </c>
      <c r="F4881" s="2" t="s">
        <v>3</v>
      </c>
      <c r="G4881" s="2" t="s">
        <v>3</v>
      </c>
      <c r="H4881" s="2">
        <v>11975</v>
      </c>
      <c r="I4881" s="2">
        <v>2113</v>
      </c>
    </row>
    <row r="4882" spans="1:9" hidden="1" x14ac:dyDescent="0.3">
      <c r="A4882" t="s">
        <v>72</v>
      </c>
      <c r="B4882" s="1">
        <v>44409</v>
      </c>
      <c r="C4882" s="2">
        <v>191455</v>
      </c>
      <c r="D4882" s="2" t="s">
        <v>3</v>
      </c>
      <c r="E4882" s="2">
        <v>181593</v>
      </c>
      <c r="F4882" s="2" t="s">
        <v>3</v>
      </c>
      <c r="G4882" s="2" t="s">
        <v>3</v>
      </c>
      <c r="H4882" s="2">
        <v>9862</v>
      </c>
      <c r="I4882" s="2">
        <v>678</v>
      </c>
    </row>
    <row r="4883" spans="1:9" hidden="1" x14ac:dyDescent="0.3">
      <c r="A4883" t="s">
        <v>72</v>
      </c>
      <c r="B4883" s="1">
        <v>44378</v>
      </c>
      <c r="C4883" s="2">
        <v>192644</v>
      </c>
      <c r="D4883" s="2" t="s">
        <v>3</v>
      </c>
      <c r="E4883" s="2">
        <v>183460</v>
      </c>
      <c r="F4883" s="2" t="s">
        <v>3</v>
      </c>
      <c r="G4883" s="2" t="s">
        <v>3</v>
      </c>
      <c r="H4883" s="2">
        <v>9184</v>
      </c>
      <c r="I4883" s="2">
        <v>-17</v>
      </c>
    </row>
    <row r="4884" spans="1:9" hidden="1" x14ac:dyDescent="0.3">
      <c r="A4884" t="s">
        <v>72</v>
      </c>
      <c r="B4884" s="1">
        <v>44348</v>
      </c>
      <c r="C4884" s="2">
        <v>187965</v>
      </c>
      <c r="D4884" s="2" t="s">
        <v>3</v>
      </c>
      <c r="E4884" s="2">
        <v>178764</v>
      </c>
      <c r="F4884" s="2" t="s">
        <v>3</v>
      </c>
      <c r="G4884" s="2" t="s">
        <v>3</v>
      </c>
      <c r="H4884" s="2">
        <v>9201</v>
      </c>
      <c r="I4884" s="2">
        <v>490</v>
      </c>
    </row>
    <row r="4885" spans="1:9" hidden="1" x14ac:dyDescent="0.3">
      <c r="A4885" t="s">
        <v>72</v>
      </c>
      <c r="B4885" s="1">
        <v>44317</v>
      </c>
      <c r="C4885" s="2">
        <v>176298</v>
      </c>
      <c r="D4885" s="2" t="s">
        <v>3</v>
      </c>
      <c r="E4885" s="2">
        <v>167587</v>
      </c>
      <c r="F4885" s="2" t="s">
        <v>3</v>
      </c>
      <c r="G4885" s="2" t="s">
        <v>3</v>
      </c>
      <c r="H4885" s="2">
        <v>8711</v>
      </c>
      <c r="I4885" s="2">
        <v>134</v>
      </c>
    </row>
    <row r="4886" spans="1:9" hidden="1" x14ac:dyDescent="0.3">
      <c r="A4886" t="s">
        <v>72</v>
      </c>
      <c r="B4886" s="1">
        <v>44287</v>
      </c>
      <c r="C4886" s="2">
        <v>171136</v>
      </c>
      <c r="D4886" s="2" t="s">
        <v>3</v>
      </c>
      <c r="E4886" s="2">
        <v>162559</v>
      </c>
      <c r="F4886" s="2" t="s">
        <v>3</v>
      </c>
      <c r="G4886" s="2" t="s">
        <v>3</v>
      </c>
      <c r="H4886" s="2">
        <v>8577</v>
      </c>
      <c r="I4886" s="2">
        <v>-1055</v>
      </c>
    </row>
    <row r="4887" spans="1:9" hidden="1" x14ac:dyDescent="0.3">
      <c r="A4887" t="s">
        <v>72</v>
      </c>
      <c r="B4887" s="1">
        <v>44256</v>
      </c>
      <c r="C4887" s="2">
        <v>170198</v>
      </c>
      <c r="D4887" s="2" t="s">
        <v>3</v>
      </c>
      <c r="E4887" s="2">
        <v>160566</v>
      </c>
      <c r="F4887" s="2" t="s">
        <v>3</v>
      </c>
      <c r="G4887" s="2" t="s">
        <v>3</v>
      </c>
      <c r="H4887" s="2">
        <v>9632</v>
      </c>
      <c r="I4887" s="2">
        <v>262</v>
      </c>
    </row>
    <row r="4888" spans="1:9" hidden="1" x14ac:dyDescent="0.3">
      <c r="A4888" t="s">
        <v>72</v>
      </c>
      <c r="B4888" s="1">
        <v>44228</v>
      </c>
      <c r="C4888" s="2">
        <v>161365</v>
      </c>
      <c r="D4888" s="2" t="s">
        <v>3</v>
      </c>
      <c r="E4888" s="2">
        <v>151995</v>
      </c>
      <c r="F4888" s="2" t="s">
        <v>3</v>
      </c>
      <c r="G4888" s="2" t="s">
        <v>3</v>
      </c>
      <c r="H4888" s="2">
        <v>9370</v>
      </c>
      <c r="I4888" s="2">
        <v>-220</v>
      </c>
    </row>
    <row r="4889" spans="1:9" hidden="1" x14ac:dyDescent="0.3">
      <c r="A4889" t="s">
        <v>72</v>
      </c>
      <c r="B4889" s="1">
        <v>44197</v>
      </c>
      <c r="C4889" s="2">
        <v>164272</v>
      </c>
      <c r="D4889" s="2" t="s">
        <v>3</v>
      </c>
      <c r="E4889" s="2">
        <v>154682</v>
      </c>
      <c r="F4889" s="2" t="s">
        <v>3</v>
      </c>
      <c r="G4889" s="2" t="s">
        <v>3</v>
      </c>
      <c r="H4889" s="2">
        <v>9590</v>
      </c>
      <c r="I4889" s="2">
        <v>-3380</v>
      </c>
    </row>
    <row r="4890" spans="1:9" hidden="1" x14ac:dyDescent="0.3">
      <c r="A4890" t="s">
        <v>72</v>
      </c>
      <c r="B4890" s="1">
        <v>44166</v>
      </c>
      <c r="C4890" s="2">
        <v>168070</v>
      </c>
      <c r="D4890" s="2" t="s">
        <v>3</v>
      </c>
      <c r="E4890" s="2">
        <v>155100</v>
      </c>
      <c r="F4890" s="2" t="s">
        <v>3</v>
      </c>
      <c r="G4890" s="2" t="s">
        <v>3</v>
      </c>
      <c r="H4890" s="2">
        <v>12970</v>
      </c>
      <c r="I4890" s="2">
        <v>791</v>
      </c>
    </row>
    <row r="4891" spans="1:9" hidden="1" x14ac:dyDescent="0.3">
      <c r="A4891" t="s">
        <v>72</v>
      </c>
      <c r="B4891" s="1">
        <v>44136</v>
      </c>
      <c r="C4891" s="2">
        <v>163819</v>
      </c>
      <c r="D4891" s="2" t="s">
        <v>3</v>
      </c>
      <c r="E4891" s="2">
        <v>151640</v>
      </c>
      <c r="F4891" s="2" t="s">
        <v>3</v>
      </c>
      <c r="G4891" s="2" t="s">
        <v>3</v>
      </c>
      <c r="H4891" s="2">
        <v>12179</v>
      </c>
      <c r="I4891" s="2">
        <v>2039</v>
      </c>
    </row>
    <row r="4892" spans="1:9" hidden="1" x14ac:dyDescent="0.3">
      <c r="A4892" t="s">
        <v>72</v>
      </c>
      <c r="B4892" s="1">
        <v>44105</v>
      </c>
      <c r="C4892" s="2">
        <v>161983</v>
      </c>
      <c r="D4892" s="2" t="s">
        <v>3</v>
      </c>
      <c r="E4892" s="2">
        <v>151843</v>
      </c>
      <c r="F4892" s="2" t="s">
        <v>3</v>
      </c>
      <c r="G4892" s="2" t="s">
        <v>3</v>
      </c>
      <c r="H4892" s="2">
        <v>10140</v>
      </c>
      <c r="I4892" s="2">
        <v>-6083</v>
      </c>
    </row>
    <row r="4893" spans="1:9" hidden="1" x14ac:dyDescent="0.3">
      <c r="A4893" t="s">
        <v>72</v>
      </c>
      <c r="B4893" s="1">
        <v>44075</v>
      </c>
      <c r="C4893" s="2">
        <v>158990</v>
      </c>
      <c r="D4893" s="2" t="s">
        <v>3</v>
      </c>
      <c r="E4893" s="2">
        <v>142767</v>
      </c>
      <c r="F4893" s="2" t="s">
        <v>3</v>
      </c>
      <c r="G4893" s="2" t="s">
        <v>3</v>
      </c>
      <c r="H4893" s="2">
        <v>16223</v>
      </c>
      <c r="I4893" s="2">
        <v>-6694</v>
      </c>
    </row>
    <row r="4894" spans="1:9" hidden="1" x14ac:dyDescent="0.3">
      <c r="A4894" t="s">
        <v>72</v>
      </c>
      <c r="B4894" s="1">
        <v>44044</v>
      </c>
      <c r="C4894" s="2">
        <v>160271</v>
      </c>
      <c r="D4894" s="2" t="s">
        <v>3</v>
      </c>
      <c r="E4894" s="2">
        <v>137354</v>
      </c>
      <c r="F4894" s="2" t="s">
        <v>3</v>
      </c>
      <c r="G4894" s="2" t="s">
        <v>3</v>
      </c>
      <c r="H4894" s="2">
        <v>22917</v>
      </c>
      <c r="I4894" s="2">
        <v>1499</v>
      </c>
    </row>
    <row r="4895" spans="1:9" hidden="1" x14ac:dyDescent="0.3">
      <c r="A4895" t="s">
        <v>72</v>
      </c>
      <c r="B4895" s="1">
        <v>44013</v>
      </c>
      <c r="C4895" s="2">
        <v>158635</v>
      </c>
      <c r="D4895" s="2" t="s">
        <v>3</v>
      </c>
      <c r="E4895" s="2">
        <v>137217</v>
      </c>
      <c r="F4895" s="2" t="s">
        <v>3</v>
      </c>
      <c r="G4895" s="2" t="s">
        <v>3</v>
      </c>
      <c r="H4895" s="2">
        <v>21418</v>
      </c>
      <c r="I4895" s="2">
        <v>10225</v>
      </c>
    </row>
    <row r="4896" spans="1:9" hidden="1" x14ac:dyDescent="0.3">
      <c r="A4896" t="s">
        <v>72</v>
      </c>
      <c r="B4896" s="1">
        <v>43983</v>
      </c>
      <c r="C4896" s="2">
        <v>150522</v>
      </c>
      <c r="D4896" s="2" t="s">
        <v>3</v>
      </c>
      <c r="E4896" s="2">
        <v>139329</v>
      </c>
      <c r="F4896" s="2" t="s">
        <v>3</v>
      </c>
      <c r="G4896" s="2" t="s">
        <v>3</v>
      </c>
      <c r="H4896" s="2">
        <v>11193</v>
      </c>
      <c r="I4896" s="2">
        <v>670</v>
      </c>
    </row>
    <row r="4897" spans="1:9" hidden="1" x14ac:dyDescent="0.3">
      <c r="A4897" t="s">
        <v>72</v>
      </c>
      <c r="B4897" s="1">
        <v>43952</v>
      </c>
      <c r="C4897" s="2">
        <v>142103</v>
      </c>
      <c r="D4897" s="2" t="s">
        <v>3</v>
      </c>
      <c r="E4897" s="2">
        <v>131580</v>
      </c>
      <c r="F4897" s="2" t="s">
        <v>3</v>
      </c>
      <c r="G4897" s="2" t="s">
        <v>3</v>
      </c>
      <c r="H4897" s="2">
        <v>10523</v>
      </c>
      <c r="I4897" s="2">
        <v>-1461</v>
      </c>
    </row>
    <row r="4898" spans="1:9" hidden="1" x14ac:dyDescent="0.3">
      <c r="A4898" t="s">
        <v>72</v>
      </c>
      <c r="B4898" s="1">
        <v>43922</v>
      </c>
      <c r="C4898" s="2">
        <v>146100</v>
      </c>
      <c r="D4898" s="2" t="s">
        <v>3</v>
      </c>
      <c r="E4898" s="2">
        <v>134116</v>
      </c>
      <c r="F4898" s="2" t="s">
        <v>3</v>
      </c>
      <c r="G4898" s="2" t="s">
        <v>3</v>
      </c>
      <c r="H4898" s="2">
        <v>11984</v>
      </c>
      <c r="I4898" s="2">
        <v>3755</v>
      </c>
    </row>
    <row r="4899" spans="1:9" hidden="1" x14ac:dyDescent="0.3">
      <c r="A4899" t="s">
        <v>72</v>
      </c>
      <c r="B4899" s="1">
        <v>43891</v>
      </c>
      <c r="C4899" s="2">
        <v>151457</v>
      </c>
      <c r="D4899" s="2" t="s">
        <v>3</v>
      </c>
      <c r="E4899" s="2">
        <v>143228</v>
      </c>
      <c r="F4899" s="2" t="s">
        <v>3</v>
      </c>
      <c r="G4899" s="2" t="s">
        <v>3</v>
      </c>
      <c r="H4899" s="2">
        <v>8229</v>
      </c>
      <c r="I4899" s="2">
        <v>-864</v>
      </c>
    </row>
    <row r="4900" spans="1:9" hidden="1" x14ac:dyDescent="0.3">
      <c r="A4900" t="s">
        <v>72</v>
      </c>
      <c r="B4900" s="1">
        <v>43862</v>
      </c>
      <c r="C4900" s="2">
        <v>165389</v>
      </c>
      <c r="D4900" s="2" t="s">
        <v>3</v>
      </c>
      <c r="E4900" s="2">
        <v>156296</v>
      </c>
      <c r="F4900" s="2" t="s">
        <v>3</v>
      </c>
      <c r="G4900" s="2" t="s">
        <v>3</v>
      </c>
      <c r="H4900" s="2">
        <v>9093</v>
      </c>
      <c r="I4900" s="2">
        <v>1109</v>
      </c>
    </row>
    <row r="4901" spans="1:9" hidden="1" x14ac:dyDescent="0.3">
      <c r="A4901" t="s">
        <v>72</v>
      </c>
      <c r="B4901" s="1">
        <v>43831</v>
      </c>
      <c r="C4901" s="2">
        <v>160730</v>
      </c>
      <c r="D4901" s="2" t="s">
        <v>3</v>
      </c>
      <c r="E4901" s="2">
        <v>152746</v>
      </c>
      <c r="F4901" s="2" t="s">
        <v>3</v>
      </c>
      <c r="G4901" s="2" t="s">
        <v>3</v>
      </c>
      <c r="H4901" s="2">
        <v>7984</v>
      </c>
      <c r="I4901" s="2">
        <v>-725</v>
      </c>
    </row>
    <row r="4902" spans="1:9" x14ac:dyDescent="0.3">
      <c r="A4902" t="s">
        <v>73</v>
      </c>
      <c r="B4902" s="1">
        <v>45931</v>
      </c>
      <c r="C4902" s="2" t="s">
        <v>3</v>
      </c>
      <c r="D4902" s="2" t="s">
        <v>3</v>
      </c>
      <c r="E4902" s="2">
        <v>0</v>
      </c>
      <c r="F4902" s="2">
        <v>0</v>
      </c>
      <c r="G4902" s="2">
        <v>0</v>
      </c>
      <c r="H4902" s="2" t="s">
        <v>3</v>
      </c>
      <c r="I4902" s="2" t="s">
        <v>3</v>
      </c>
    </row>
    <row r="4903" spans="1:9" x14ac:dyDescent="0.3">
      <c r="A4903" t="s">
        <v>73</v>
      </c>
      <c r="B4903" s="1">
        <v>45901</v>
      </c>
      <c r="C4903" s="2" t="s">
        <v>3</v>
      </c>
      <c r="D4903" s="2" t="s">
        <v>3</v>
      </c>
      <c r="E4903" s="2">
        <v>0</v>
      </c>
      <c r="F4903" s="2">
        <v>0</v>
      </c>
      <c r="G4903" s="2">
        <v>0</v>
      </c>
      <c r="H4903" s="2" t="s">
        <v>3</v>
      </c>
      <c r="I4903" s="2" t="s">
        <v>3</v>
      </c>
    </row>
    <row r="4904" spans="1:9" x14ac:dyDescent="0.3">
      <c r="A4904" t="s">
        <v>73</v>
      </c>
      <c r="B4904" s="1">
        <v>45870</v>
      </c>
      <c r="C4904" s="2" t="s">
        <v>3</v>
      </c>
      <c r="D4904" s="2" t="s">
        <v>3</v>
      </c>
      <c r="E4904" s="2">
        <v>0</v>
      </c>
      <c r="F4904" s="2">
        <v>0</v>
      </c>
      <c r="G4904" s="2">
        <v>0</v>
      </c>
      <c r="H4904" s="2" t="s">
        <v>3</v>
      </c>
      <c r="I4904" s="2" t="s">
        <v>3</v>
      </c>
    </row>
    <row r="4905" spans="1:9" x14ac:dyDescent="0.3">
      <c r="A4905" t="s">
        <v>73</v>
      </c>
      <c r="B4905" s="1">
        <v>45839</v>
      </c>
      <c r="C4905" s="2" t="s">
        <v>3</v>
      </c>
      <c r="D4905" s="2" t="s">
        <v>3</v>
      </c>
      <c r="E4905" s="2">
        <v>0</v>
      </c>
      <c r="F4905" s="2">
        <v>0</v>
      </c>
      <c r="G4905" s="2">
        <v>0</v>
      </c>
      <c r="H4905" s="2" t="s">
        <v>3</v>
      </c>
      <c r="I4905" s="2" t="s">
        <v>3</v>
      </c>
    </row>
    <row r="4906" spans="1:9" x14ac:dyDescent="0.3">
      <c r="A4906" t="s">
        <v>73</v>
      </c>
      <c r="B4906" s="1">
        <v>45809</v>
      </c>
      <c r="C4906" s="2" t="s">
        <v>3</v>
      </c>
      <c r="D4906" s="2" t="s">
        <v>3</v>
      </c>
      <c r="E4906" s="2">
        <v>0</v>
      </c>
      <c r="F4906" s="2">
        <v>0</v>
      </c>
      <c r="G4906" s="2">
        <v>0</v>
      </c>
      <c r="H4906" s="2" t="s">
        <v>3</v>
      </c>
      <c r="I4906" s="2" t="s">
        <v>3</v>
      </c>
    </row>
    <row r="4907" spans="1:9" x14ac:dyDescent="0.3">
      <c r="A4907" t="s">
        <v>73</v>
      </c>
      <c r="B4907" s="1">
        <v>45778</v>
      </c>
      <c r="C4907" s="2" t="s">
        <v>3</v>
      </c>
      <c r="D4907" s="2" t="s">
        <v>3</v>
      </c>
      <c r="E4907" s="2">
        <v>0</v>
      </c>
      <c r="F4907" s="2">
        <v>0</v>
      </c>
      <c r="G4907" s="2">
        <v>0</v>
      </c>
      <c r="H4907" s="2" t="s">
        <v>3</v>
      </c>
      <c r="I4907" s="2" t="s">
        <v>3</v>
      </c>
    </row>
    <row r="4908" spans="1:9" x14ac:dyDescent="0.3">
      <c r="A4908" t="s">
        <v>73</v>
      </c>
      <c r="B4908" s="1">
        <v>45748</v>
      </c>
      <c r="C4908" s="2" t="s">
        <v>3</v>
      </c>
      <c r="D4908" s="2" t="s">
        <v>3</v>
      </c>
      <c r="E4908" s="2">
        <v>0</v>
      </c>
      <c r="F4908" s="2">
        <v>0</v>
      </c>
      <c r="G4908" s="2">
        <v>0</v>
      </c>
      <c r="H4908" s="2" t="s">
        <v>3</v>
      </c>
      <c r="I4908" s="2" t="s">
        <v>3</v>
      </c>
    </row>
    <row r="4909" spans="1:9" x14ac:dyDescent="0.3">
      <c r="A4909" t="s">
        <v>73</v>
      </c>
      <c r="B4909" s="1">
        <v>45717</v>
      </c>
      <c r="C4909" s="2" t="s">
        <v>3</v>
      </c>
      <c r="D4909" s="2" t="s">
        <v>3</v>
      </c>
      <c r="E4909" s="2">
        <v>0</v>
      </c>
      <c r="F4909" s="2">
        <v>0</v>
      </c>
      <c r="G4909" s="2">
        <v>0</v>
      </c>
      <c r="H4909" s="2" t="s">
        <v>3</v>
      </c>
      <c r="I4909" s="2" t="s">
        <v>3</v>
      </c>
    </row>
    <row r="4910" spans="1:9" x14ac:dyDescent="0.3">
      <c r="A4910" t="s">
        <v>73</v>
      </c>
      <c r="B4910" s="1">
        <v>45689</v>
      </c>
      <c r="C4910" s="2" t="s">
        <v>3</v>
      </c>
      <c r="D4910" s="2" t="s">
        <v>3</v>
      </c>
      <c r="E4910" s="2">
        <v>0</v>
      </c>
      <c r="F4910" s="2">
        <v>0</v>
      </c>
      <c r="G4910" s="2">
        <v>0</v>
      </c>
      <c r="H4910" s="2" t="s">
        <v>3</v>
      </c>
      <c r="I4910" s="2" t="s">
        <v>3</v>
      </c>
    </row>
    <row r="4911" spans="1:9" x14ac:dyDescent="0.3">
      <c r="A4911" t="s">
        <v>73</v>
      </c>
      <c r="B4911" s="1">
        <v>45658</v>
      </c>
      <c r="C4911" s="2" t="s">
        <v>3</v>
      </c>
      <c r="D4911" s="2" t="s">
        <v>3</v>
      </c>
      <c r="E4911" s="2">
        <v>0</v>
      </c>
      <c r="F4911" s="2">
        <v>0</v>
      </c>
      <c r="G4911" s="2">
        <v>0</v>
      </c>
      <c r="H4911" s="2" t="s">
        <v>3</v>
      </c>
      <c r="I4911" s="2" t="s">
        <v>3</v>
      </c>
    </row>
    <row r="4912" spans="1:9" x14ac:dyDescent="0.3">
      <c r="A4912" t="s">
        <v>73</v>
      </c>
      <c r="B4912" s="1">
        <v>45627</v>
      </c>
      <c r="C4912" s="2" t="s">
        <v>3</v>
      </c>
      <c r="D4912" s="2" t="s">
        <v>3</v>
      </c>
      <c r="E4912" s="2">
        <v>0</v>
      </c>
      <c r="F4912" s="2">
        <v>0</v>
      </c>
      <c r="G4912" s="2">
        <v>0</v>
      </c>
      <c r="H4912" s="2" t="s">
        <v>3</v>
      </c>
      <c r="I4912" s="2" t="s">
        <v>3</v>
      </c>
    </row>
    <row r="4913" spans="1:9" x14ac:dyDescent="0.3">
      <c r="A4913" t="s">
        <v>73</v>
      </c>
      <c r="B4913" s="1">
        <v>45597</v>
      </c>
      <c r="C4913" s="2" t="s">
        <v>3</v>
      </c>
      <c r="D4913" s="2" t="s">
        <v>3</v>
      </c>
      <c r="E4913" s="2">
        <v>0</v>
      </c>
      <c r="F4913" s="2">
        <v>0</v>
      </c>
      <c r="G4913" s="2">
        <v>0</v>
      </c>
      <c r="H4913" s="2" t="s">
        <v>3</v>
      </c>
      <c r="I4913" s="2" t="s">
        <v>3</v>
      </c>
    </row>
    <row r="4914" spans="1:9" x14ac:dyDescent="0.3">
      <c r="A4914" t="s">
        <v>73</v>
      </c>
      <c r="B4914" s="1">
        <v>45566</v>
      </c>
      <c r="C4914" s="2" t="s">
        <v>3</v>
      </c>
      <c r="D4914" s="2" t="s">
        <v>3</v>
      </c>
      <c r="E4914" s="2">
        <v>0</v>
      </c>
      <c r="F4914" s="2">
        <v>0</v>
      </c>
      <c r="G4914" s="2">
        <v>0</v>
      </c>
      <c r="H4914" s="2" t="s">
        <v>3</v>
      </c>
      <c r="I4914" s="2" t="s">
        <v>3</v>
      </c>
    </row>
    <row r="4915" spans="1:9" x14ac:dyDescent="0.3">
      <c r="A4915" t="s">
        <v>73</v>
      </c>
      <c r="B4915" s="1">
        <v>45536</v>
      </c>
      <c r="C4915" s="2" t="s">
        <v>3</v>
      </c>
      <c r="D4915" s="2" t="s">
        <v>3</v>
      </c>
      <c r="E4915" s="2">
        <v>0</v>
      </c>
      <c r="F4915" s="2">
        <v>0</v>
      </c>
      <c r="G4915" s="2">
        <v>0</v>
      </c>
      <c r="H4915" s="2" t="s">
        <v>3</v>
      </c>
      <c r="I4915" s="2" t="s">
        <v>3</v>
      </c>
    </row>
    <row r="4916" spans="1:9" x14ac:dyDescent="0.3">
      <c r="A4916" t="s">
        <v>73</v>
      </c>
      <c r="B4916" s="1">
        <v>45505</v>
      </c>
      <c r="C4916" s="2" t="s">
        <v>3</v>
      </c>
      <c r="D4916" s="2" t="s">
        <v>3</v>
      </c>
      <c r="E4916" s="2">
        <v>0</v>
      </c>
      <c r="F4916" s="2">
        <v>0</v>
      </c>
      <c r="G4916" s="2">
        <v>0</v>
      </c>
      <c r="H4916" s="2" t="s">
        <v>3</v>
      </c>
      <c r="I4916" s="2" t="s">
        <v>3</v>
      </c>
    </row>
    <row r="4917" spans="1:9" x14ac:dyDescent="0.3">
      <c r="A4917" t="s">
        <v>73</v>
      </c>
      <c r="B4917" s="1">
        <v>45474</v>
      </c>
      <c r="C4917" s="2" t="s">
        <v>3</v>
      </c>
      <c r="D4917" s="2" t="s">
        <v>3</v>
      </c>
      <c r="E4917" s="2">
        <v>0</v>
      </c>
      <c r="F4917" s="2">
        <v>0</v>
      </c>
      <c r="G4917" s="2">
        <v>0</v>
      </c>
      <c r="H4917" s="2" t="s">
        <v>3</v>
      </c>
      <c r="I4917" s="2" t="s">
        <v>3</v>
      </c>
    </row>
    <row r="4918" spans="1:9" x14ac:dyDescent="0.3">
      <c r="A4918" t="s">
        <v>73</v>
      </c>
      <c r="B4918" s="1">
        <v>45444</v>
      </c>
      <c r="C4918" s="2" t="s">
        <v>3</v>
      </c>
      <c r="D4918" s="2" t="s">
        <v>3</v>
      </c>
      <c r="E4918" s="2">
        <v>0</v>
      </c>
      <c r="F4918" s="2">
        <v>0</v>
      </c>
      <c r="G4918" s="2">
        <v>0</v>
      </c>
      <c r="H4918" s="2" t="s">
        <v>3</v>
      </c>
      <c r="I4918" s="2" t="s">
        <v>3</v>
      </c>
    </row>
    <row r="4919" spans="1:9" x14ac:dyDescent="0.3">
      <c r="A4919" t="s">
        <v>73</v>
      </c>
      <c r="B4919" s="1">
        <v>45413</v>
      </c>
      <c r="C4919" s="2" t="s">
        <v>3</v>
      </c>
      <c r="D4919" s="2" t="s">
        <v>3</v>
      </c>
      <c r="E4919" s="2">
        <v>0</v>
      </c>
      <c r="F4919" s="2">
        <v>0</v>
      </c>
      <c r="G4919" s="2">
        <v>0</v>
      </c>
      <c r="H4919" s="2" t="s">
        <v>3</v>
      </c>
      <c r="I4919" s="2" t="s">
        <v>3</v>
      </c>
    </row>
    <row r="4920" spans="1:9" x14ac:dyDescent="0.3">
      <c r="A4920" t="s">
        <v>73</v>
      </c>
      <c r="B4920" s="1">
        <v>45383</v>
      </c>
      <c r="C4920" s="2" t="s">
        <v>3</v>
      </c>
      <c r="D4920" s="2" t="s">
        <v>3</v>
      </c>
      <c r="E4920" s="2">
        <v>0</v>
      </c>
      <c r="F4920" s="2">
        <v>0</v>
      </c>
      <c r="G4920" s="2">
        <v>0</v>
      </c>
      <c r="H4920" s="2" t="s">
        <v>3</v>
      </c>
      <c r="I4920" s="2" t="s">
        <v>3</v>
      </c>
    </row>
    <row r="4921" spans="1:9" x14ac:dyDescent="0.3">
      <c r="A4921" t="s">
        <v>73</v>
      </c>
      <c r="B4921" s="1">
        <v>45352</v>
      </c>
      <c r="C4921" s="2" t="s">
        <v>3</v>
      </c>
      <c r="D4921" s="2" t="s">
        <v>3</v>
      </c>
      <c r="E4921" s="2">
        <v>0</v>
      </c>
      <c r="F4921" s="2">
        <v>0</v>
      </c>
      <c r="G4921" s="2">
        <v>0</v>
      </c>
      <c r="H4921" s="2" t="s">
        <v>3</v>
      </c>
      <c r="I4921" s="2" t="s">
        <v>3</v>
      </c>
    </row>
    <row r="4922" spans="1:9" x14ac:dyDescent="0.3">
      <c r="A4922" t="s">
        <v>73</v>
      </c>
      <c r="B4922" s="1">
        <v>45323</v>
      </c>
      <c r="C4922" s="2" t="s">
        <v>3</v>
      </c>
      <c r="D4922" s="2" t="s">
        <v>3</v>
      </c>
      <c r="E4922" s="2">
        <v>0</v>
      </c>
      <c r="F4922" s="2">
        <v>0</v>
      </c>
      <c r="G4922" s="2">
        <v>0</v>
      </c>
      <c r="H4922" s="2" t="s">
        <v>3</v>
      </c>
      <c r="I4922" s="2" t="s">
        <v>3</v>
      </c>
    </row>
    <row r="4923" spans="1:9" x14ac:dyDescent="0.3">
      <c r="A4923" t="s">
        <v>73</v>
      </c>
      <c r="B4923" s="1">
        <v>45292</v>
      </c>
      <c r="C4923" s="2" t="s">
        <v>3</v>
      </c>
      <c r="D4923" s="2" t="s">
        <v>3</v>
      </c>
      <c r="E4923" s="2">
        <v>0</v>
      </c>
      <c r="F4923" s="2">
        <v>0</v>
      </c>
      <c r="G4923" s="2">
        <v>0</v>
      </c>
      <c r="H4923" s="2" t="s">
        <v>3</v>
      </c>
      <c r="I4923" s="2" t="s">
        <v>3</v>
      </c>
    </row>
    <row r="4924" spans="1:9" x14ac:dyDescent="0.3">
      <c r="A4924" t="s">
        <v>73</v>
      </c>
      <c r="B4924" s="1">
        <v>45261</v>
      </c>
      <c r="C4924" s="2" t="s">
        <v>3</v>
      </c>
      <c r="D4924" s="2" t="s">
        <v>3</v>
      </c>
      <c r="E4924" s="2">
        <v>0</v>
      </c>
      <c r="F4924" s="2">
        <v>0</v>
      </c>
      <c r="G4924" s="2">
        <v>0</v>
      </c>
      <c r="H4924" s="2" t="s">
        <v>3</v>
      </c>
      <c r="I4924" s="2" t="s">
        <v>3</v>
      </c>
    </row>
    <row r="4925" spans="1:9" x14ac:dyDescent="0.3">
      <c r="A4925" t="s">
        <v>73</v>
      </c>
      <c r="B4925" s="1">
        <v>45231</v>
      </c>
      <c r="C4925" s="2" t="s">
        <v>3</v>
      </c>
      <c r="D4925" s="2" t="s">
        <v>3</v>
      </c>
      <c r="E4925" s="2">
        <v>0</v>
      </c>
      <c r="F4925" s="2">
        <v>0</v>
      </c>
      <c r="G4925" s="2">
        <v>0</v>
      </c>
      <c r="H4925" s="2" t="s">
        <v>3</v>
      </c>
      <c r="I4925" s="2" t="s">
        <v>3</v>
      </c>
    </row>
    <row r="4926" spans="1:9" x14ac:dyDescent="0.3">
      <c r="A4926" t="s">
        <v>73</v>
      </c>
      <c r="B4926" s="1">
        <v>45200</v>
      </c>
      <c r="C4926" s="2" t="s">
        <v>3</v>
      </c>
      <c r="D4926" s="2" t="s">
        <v>3</v>
      </c>
      <c r="E4926" s="2">
        <v>0</v>
      </c>
      <c r="F4926" s="2">
        <v>0</v>
      </c>
      <c r="G4926" s="2">
        <v>0</v>
      </c>
      <c r="H4926" s="2" t="s">
        <v>3</v>
      </c>
      <c r="I4926" s="2" t="s">
        <v>3</v>
      </c>
    </row>
    <row r="4927" spans="1:9" x14ac:dyDescent="0.3">
      <c r="A4927" t="s">
        <v>73</v>
      </c>
      <c r="B4927" s="1">
        <v>45170</v>
      </c>
      <c r="C4927" s="2" t="s">
        <v>3</v>
      </c>
      <c r="D4927" s="2" t="s">
        <v>3</v>
      </c>
      <c r="E4927" s="2">
        <v>0</v>
      </c>
      <c r="F4927" s="2">
        <v>0</v>
      </c>
      <c r="G4927" s="2">
        <v>0</v>
      </c>
      <c r="H4927" s="2" t="s">
        <v>3</v>
      </c>
      <c r="I4927" s="2" t="s">
        <v>3</v>
      </c>
    </row>
    <row r="4928" spans="1:9" x14ac:dyDescent="0.3">
      <c r="A4928" t="s">
        <v>73</v>
      </c>
      <c r="B4928" s="1">
        <v>45139</v>
      </c>
      <c r="C4928" s="2" t="s">
        <v>3</v>
      </c>
      <c r="D4928" s="2" t="s">
        <v>3</v>
      </c>
      <c r="E4928" s="2">
        <v>0</v>
      </c>
      <c r="F4928" s="2">
        <v>0</v>
      </c>
      <c r="G4928" s="2">
        <v>0</v>
      </c>
      <c r="H4928" s="2" t="s">
        <v>3</v>
      </c>
      <c r="I4928" s="2" t="s">
        <v>3</v>
      </c>
    </row>
    <row r="4929" spans="1:9" x14ac:dyDescent="0.3">
      <c r="A4929" t="s">
        <v>73</v>
      </c>
      <c r="B4929" s="1">
        <v>45108</v>
      </c>
      <c r="C4929" s="2" t="s">
        <v>3</v>
      </c>
      <c r="D4929" s="2" t="s">
        <v>3</v>
      </c>
      <c r="E4929" s="2">
        <v>0</v>
      </c>
      <c r="F4929" s="2">
        <v>0</v>
      </c>
      <c r="G4929" s="2">
        <v>0</v>
      </c>
      <c r="H4929" s="2" t="s">
        <v>3</v>
      </c>
      <c r="I4929" s="2" t="s">
        <v>3</v>
      </c>
    </row>
    <row r="4930" spans="1:9" x14ac:dyDescent="0.3">
      <c r="A4930" t="s">
        <v>73</v>
      </c>
      <c r="B4930" s="1">
        <v>45078</v>
      </c>
      <c r="C4930" s="2" t="s">
        <v>3</v>
      </c>
      <c r="D4930" s="2" t="s">
        <v>3</v>
      </c>
      <c r="E4930" s="2">
        <v>0</v>
      </c>
      <c r="F4930" s="2">
        <v>0</v>
      </c>
      <c r="G4930" s="2">
        <v>0</v>
      </c>
      <c r="H4930" s="2" t="s">
        <v>3</v>
      </c>
      <c r="I4930" s="2" t="s">
        <v>3</v>
      </c>
    </row>
    <row r="4931" spans="1:9" x14ac:dyDescent="0.3">
      <c r="A4931" t="s">
        <v>73</v>
      </c>
      <c r="B4931" s="1">
        <v>45047</v>
      </c>
      <c r="C4931" s="2" t="s">
        <v>3</v>
      </c>
      <c r="D4931" s="2" t="s">
        <v>3</v>
      </c>
      <c r="E4931" s="2">
        <v>0</v>
      </c>
      <c r="F4931" s="2">
        <v>0</v>
      </c>
      <c r="G4931" s="2">
        <v>0</v>
      </c>
      <c r="H4931" s="2" t="s">
        <v>3</v>
      </c>
      <c r="I4931" s="2" t="s">
        <v>3</v>
      </c>
    </row>
    <row r="4932" spans="1:9" x14ac:dyDescent="0.3">
      <c r="A4932" t="s">
        <v>73</v>
      </c>
      <c r="B4932" s="1">
        <v>45017</v>
      </c>
      <c r="C4932" s="2" t="s">
        <v>3</v>
      </c>
      <c r="D4932" s="2" t="s">
        <v>3</v>
      </c>
      <c r="E4932" s="2">
        <v>0</v>
      </c>
      <c r="F4932" s="2">
        <v>0</v>
      </c>
      <c r="G4932" s="2">
        <v>0</v>
      </c>
      <c r="H4932" s="2" t="s">
        <v>3</v>
      </c>
      <c r="I4932" s="2" t="s">
        <v>3</v>
      </c>
    </row>
    <row r="4933" spans="1:9" x14ac:dyDescent="0.3">
      <c r="A4933" t="s">
        <v>73</v>
      </c>
      <c r="B4933" s="1">
        <v>44986</v>
      </c>
      <c r="C4933" s="2" t="s">
        <v>3</v>
      </c>
      <c r="D4933" s="2" t="s">
        <v>3</v>
      </c>
      <c r="E4933" s="2">
        <v>0</v>
      </c>
      <c r="F4933" s="2">
        <v>0</v>
      </c>
      <c r="G4933" s="2">
        <v>0</v>
      </c>
      <c r="H4933" s="2" t="s">
        <v>3</v>
      </c>
      <c r="I4933" s="2" t="s">
        <v>3</v>
      </c>
    </row>
    <row r="4934" spans="1:9" x14ac:dyDescent="0.3">
      <c r="A4934" t="s">
        <v>73</v>
      </c>
      <c r="B4934" s="1">
        <v>44958</v>
      </c>
      <c r="C4934" s="2" t="s">
        <v>3</v>
      </c>
      <c r="D4934" s="2" t="s">
        <v>3</v>
      </c>
      <c r="E4934" s="2">
        <v>0</v>
      </c>
      <c r="F4934" s="2">
        <v>0</v>
      </c>
      <c r="G4934" s="2">
        <v>0</v>
      </c>
      <c r="H4934" s="2" t="s">
        <v>3</v>
      </c>
      <c r="I4934" s="2" t="s">
        <v>3</v>
      </c>
    </row>
    <row r="4935" spans="1:9" hidden="1" x14ac:dyDescent="0.3">
      <c r="A4935" t="s">
        <v>73</v>
      </c>
      <c r="B4935" s="1">
        <v>44927</v>
      </c>
      <c r="C4935" s="2" t="s">
        <v>3</v>
      </c>
      <c r="D4935" s="2" t="s">
        <v>3</v>
      </c>
      <c r="E4935" s="2">
        <v>0</v>
      </c>
      <c r="F4935" s="2" t="s">
        <v>3</v>
      </c>
      <c r="G4935" s="2" t="s">
        <v>3</v>
      </c>
      <c r="H4935" s="2" t="s">
        <v>3</v>
      </c>
      <c r="I4935" s="2" t="s">
        <v>3</v>
      </c>
    </row>
    <row r="4936" spans="1:9" hidden="1" x14ac:dyDescent="0.3">
      <c r="A4936" t="s">
        <v>73</v>
      </c>
      <c r="B4936" s="1">
        <v>44896</v>
      </c>
      <c r="C4936" s="2" t="s">
        <v>3</v>
      </c>
      <c r="D4936" s="2" t="s">
        <v>3</v>
      </c>
      <c r="E4936" s="2">
        <v>0</v>
      </c>
      <c r="F4936" s="2" t="s">
        <v>3</v>
      </c>
      <c r="G4936" s="2" t="s">
        <v>3</v>
      </c>
      <c r="H4936" s="2" t="s">
        <v>3</v>
      </c>
      <c r="I4936" s="2" t="s">
        <v>3</v>
      </c>
    </row>
    <row r="4937" spans="1:9" hidden="1" x14ac:dyDescent="0.3">
      <c r="A4937" t="s">
        <v>73</v>
      </c>
      <c r="B4937" s="1">
        <v>44866</v>
      </c>
      <c r="C4937" s="2" t="s">
        <v>3</v>
      </c>
      <c r="D4937" s="2" t="s">
        <v>3</v>
      </c>
      <c r="E4937" s="2">
        <v>1</v>
      </c>
      <c r="F4937" s="2" t="s">
        <v>3</v>
      </c>
      <c r="G4937" s="2" t="s">
        <v>3</v>
      </c>
      <c r="H4937" s="2" t="s">
        <v>3</v>
      </c>
      <c r="I4937" s="2" t="s">
        <v>3</v>
      </c>
    </row>
    <row r="4938" spans="1:9" hidden="1" x14ac:dyDescent="0.3">
      <c r="A4938" t="s">
        <v>73</v>
      </c>
      <c r="B4938" s="1">
        <v>44835</v>
      </c>
      <c r="C4938" s="2" t="s">
        <v>3</v>
      </c>
      <c r="D4938" s="2" t="s">
        <v>3</v>
      </c>
      <c r="E4938" s="2">
        <v>0</v>
      </c>
      <c r="F4938" s="2" t="s">
        <v>3</v>
      </c>
      <c r="G4938" s="2" t="s">
        <v>3</v>
      </c>
      <c r="H4938" s="2" t="s">
        <v>3</v>
      </c>
      <c r="I4938" s="2" t="s">
        <v>3</v>
      </c>
    </row>
    <row r="4939" spans="1:9" hidden="1" x14ac:dyDescent="0.3">
      <c r="A4939" t="s">
        <v>73</v>
      </c>
      <c r="B4939" s="1">
        <v>44805</v>
      </c>
      <c r="C4939" s="2" t="s">
        <v>3</v>
      </c>
      <c r="D4939" s="2" t="s">
        <v>3</v>
      </c>
      <c r="E4939" s="2">
        <v>0</v>
      </c>
      <c r="F4939" s="2" t="s">
        <v>3</v>
      </c>
      <c r="G4939" s="2" t="s">
        <v>3</v>
      </c>
      <c r="H4939" s="2" t="s">
        <v>3</v>
      </c>
      <c r="I4939" s="2" t="s">
        <v>3</v>
      </c>
    </row>
    <row r="4940" spans="1:9" hidden="1" x14ac:dyDescent="0.3">
      <c r="A4940" t="s">
        <v>73</v>
      </c>
      <c r="B4940" s="1">
        <v>44774</v>
      </c>
      <c r="C4940" s="2" t="s">
        <v>3</v>
      </c>
      <c r="D4940" s="2" t="s">
        <v>3</v>
      </c>
      <c r="E4940" s="2">
        <v>0</v>
      </c>
      <c r="F4940" s="2" t="s">
        <v>3</v>
      </c>
      <c r="G4940" s="2" t="s">
        <v>3</v>
      </c>
      <c r="H4940" s="2" t="s">
        <v>3</v>
      </c>
      <c r="I4940" s="2" t="s">
        <v>3</v>
      </c>
    </row>
    <row r="4941" spans="1:9" hidden="1" x14ac:dyDescent="0.3">
      <c r="A4941" t="s">
        <v>73</v>
      </c>
      <c r="B4941" s="1">
        <v>44743</v>
      </c>
      <c r="C4941" s="2" t="s">
        <v>3</v>
      </c>
      <c r="D4941" s="2" t="s">
        <v>3</v>
      </c>
      <c r="E4941" s="2">
        <v>0</v>
      </c>
      <c r="F4941" s="2" t="s">
        <v>3</v>
      </c>
      <c r="G4941" s="2" t="s">
        <v>3</v>
      </c>
      <c r="H4941" s="2" t="s">
        <v>3</v>
      </c>
      <c r="I4941" s="2" t="s">
        <v>3</v>
      </c>
    </row>
    <row r="4942" spans="1:9" hidden="1" x14ac:dyDescent="0.3">
      <c r="A4942" t="s">
        <v>73</v>
      </c>
      <c r="B4942" s="1">
        <v>44713</v>
      </c>
      <c r="C4942" s="2" t="s">
        <v>3</v>
      </c>
      <c r="D4942" s="2" t="s">
        <v>3</v>
      </c>
      <c r="E4942" s="2">
        <v>0</v>
      </c>
      <c r="F4942" s="2" t="s">
        <v>3</v>
      </c>
      <c r="G4942" s="2" t="s">
        <v>3</v>
      </c>
      <c r="H4942" s="2" t="s">
        <v>3</v>
      </c>
      <c r="I4942" s="2" t="s">
        <v>3</v>
      </c>
    </row>
    <row r="4943" spans="1:9" hidden="1" x14ac:dyDescent="0.3">
      <c r="A4943" t="s">
        <v>73</v>
      </c>
      <c r="B4943" s="1">
        <v>44682</v>
      </c>
      <c r="C4943" s="2" t="s">
        <v>3</v>
      </c>
      <c r="D4943" s="2" t="s">
        <v>3</v>
      </c>
      <c r="E4943" s="2">
        <v>0</v>
      </c>
      <c r="F4943" s="2" t="s">
        <v>3</v>
      </c>
      <c r="G4943" s="2" t="s">
        <v>3</v>
      </c>
      <c r="H4943" s="2" t="s">
        <v>3</v>
      </c>
      <c r="I4943" s="2" t="s">
        <v>3</v>
      </c>
    </row>
    <row r="4944" spans="1:9" hidden="1" x14ac:dyDescent="0.3">
      <c r="A4944" t="s">
        <v>73</v>
      </c>
      <c r="B4944" s="1">
        <v>44652</v>
      </c>
      <c r="C4944" s="2" t="s">
        <v>3</v>
      </c>
      <c r="D4944" s="2" t="s">
        <v>3</v>
      </c>
      <c r="E4944" s="2">
        <v>0</v>
      </c>
      <c r="F4944" s="2" t="s">
        <v>3</v>
      </c>
      <c r="G4944" s="2" t="s">
        <v>3</v>
      </c>
      <c r="H4944" s="2" t="s">
        <v>3</v>
      </c>
      <c r="I4944" s="2" t="s">
        <v>3</v>
      </c>
    </row>
    <row r="4945" spans="1:9" hidden="1" x14ac:dyDescent="0.3">
      <c r="A4945" t="s">
        <v>73</v>
      </c>
      <c r="B4945" s="1">
        <v>44621</v>
      </c>
      <c r="C4945" s="2" t="s">
        <v>3</v>
      </c>
      <c r="D4945" s="2" t="s">
        <v>3</v>
      </c>
      <c r="E4945" s="2">
        <v>0</v>
      </c>
      <c r="F4945" s="2" t="s">
        <v>3</v>
      </c>
      <c r="G4945" s="2" t="s">
        <v>3</v>
      </c>
      <c r="H4945" s="2" t="s">
        <v>3</v>
      </c>
      <c r="I4945" s="2" t="s">
        <v>3</v>
      </c>
    </row>
    <row r="4946" spans="1:9" hidden="1" x14ac:dyDescent="0.3">
      <c r="A4946" t="s">
        <v>73</v>
      </c>
      <c r="B4946" s="1">
        <v>44593</v>
      </c>
      <c r="C4946" s="2" t="s">
        <v>3</v>
      </c>
      <c r="D4946" s="2" t="s">
        <v>3</v>
      </c>
      <c r="E4946" s="2">
        <v>0</v>
      </c>
      <c r="F4946" s="2" t="s">
        <v>3</v>
      </c>
      <c r="G4946" s="2" t="s">
        <v>3</v>
      </c>
      <c r="H4946" s="2" t="s">
        <v>3</v>
      </c>
      <c r="I4946" s="2" t="s">
        <v>3</v>
      </c>
    </row>
    <row r="4947" spans="1:9" hidden="1" x14ac:dyDescent="0.3">
      <c r="A4947" t="s">
        <v>73</v>
      </c>
      <c r="B4947" s="1">
        <v>44562</v>
      </c>
      <c r="C4947" s="2" t="s">
        <v>3</v>
      </c>
      <c r="D4947" s="2" t="s">
        <v>3</v>
      </c>
      <c r="E4947" s="2">
        <v>0</v>
      </c>
      <c r="F4947" s="2" t="s">
        <v>3</v>
      </c>
      <c r="G4947" s="2" t="s">
        <v>3</v>
      </c>
      <c r="H4947" s="2" t="s">
        <v>3</v>
      </c>
      <c r="I4947" s="2" t="s">
        <v>3</v>
      </c>
    </row>
    <row r="4948" spans="1:9" hidden="1" x14ac:dyDescent="0.3">
      <c r="A4948" t="s">
        <v>73</v>
      </c>
      <c r="B4948" s="1">
        <v>44531</v>
      </c>
      <c r="C4948" s="2" t="s">
        <v>3</v>
      </c>
      <c r="D4948" s="2" t="s">
        <v>3</v>
      </c>
      <c r="E4948" s="2">
        <v>0</v>
      </c>
      <c r="F4948" s="2" t="s">
        <v>3</v>
      </c>
      <c r="G4948" s="2" t="s">
        <v>3</v>
      </c>
      <c r="H4948" s="2" t="s">
        <v>3</v>
      </c>
      <c r="I4948" s="2" t="s">
        <v>3</v>
      </c>
    </row>
    <row r="4949" spans="1:9" hidden="1" x14ac:dyDescent="0.3">
      <c r="A4949" t="s">
        <v>73</v>
      </c>
      <c r="B4949" s="1">
        <v>44501</v>
      </c>
      <c r="C4949" s="2" t="s">
        <v>3</v>
      </c>
      <c r="D4949" s="2" t="s">
        <v>3</v>
      </c>
      <c r="E4949" s="2">
        <v>0</v>
      </c>
      <c r="F4949" s="2" t="s">
        <v>3</v>
      </c>
      <c r="G4949" s="2" t="s">
        <v>3</v>
      </c>
      <c r="H4949" s="2" t="s">
        <v>3</v>
      </c>
      <c r="I4949" s="2" t="s">
        <v>3</v>
      </c>
    </row>
    <row r="4950" spans="1:9" hidden="1" x14ac:dyDescent="0.3">
      <c r="A4950" t="s">
        <v>73</v>
      </c>
      <c r="B4950" s="1">
        <v>44470</v>
      </c>
      <c r="C4950" s="2" t="s">
        <v>3</v>
      </c>
      <c r="D4950" s="2" t="s">
        <v>3</v>
      </c>
      <c r="E4950" s="2">
        <v>0</v>
      </c>
      <c r="F4950" s="2" t="s">
        <v>3</v>
      </c>
      <c r="G4950" s="2" t="s">
        <v>3</v>
      </c>
      <c r="H4950" s="2" t="s">
        <v>3</v>
      </c>
      <c r="I4950" s="2" t="s">
        <v>3</v>
      </c>
    </row>
    <row r="4951" spans="1:9" hidden="1" x14ac:dyDescent="0.3">
      <c r="A4951" t="s">
        <v>73</v>
      </c>
      <c r="B4951" s="1">
        <v>44440</v>
      </c>
      <c r="C4951" s="2" t="s">
        <v>3</v>
      </c>
      <c r="D4951" s="2" t="s">
        <v>3</v>
      </c>
      <c r="E4951" s="2">
        <v>0</v>
      </c>
      <c r="F4951" s="2" t="s">
        <v>3</v>
      </c>
      <c r="G4951" s="2" t="s">
        <v>3</v>
      </c>
      <c r="H4951" s="2" t="s">
        <v>3</v>
      </c>
      <c r="I4951" s="2" t="s">
        <v>3</v>
      </c>
    </row>
    <row r="4952" spans="1:9" hidden="1" x14ac:dyDescent="0.3">
      <c r="A4952" t="s">
        <v>73</v>
      </c>
      <c r="B4952" s="1">
        <v>44409</v>
      </c>
      <c r="C4952" s="2" t="s">
        <v>3</v>
      </c>
      <c r="D4952" s="2" t="s">
        <v>3</v>
      </c>
      <c r="E4952" s="2">
        <v>0</v>
      </c>
      <c r="F4952" s="2" t="s">
        <v>3</v>
      </c>
      <c r="G4952" s="2" t="s">
        <v>3</v>
      </c>
      <c r="H4952" s="2" t="s">
        <v>3</v>
      </c>
      <c r="I4952" s="2" t="s">
        <v>3</v>
      </c>
    </row>
    <row r="4953" spans="1:9" hidden="1" x14ac:dyDescent="0.3">
      <c r="A4953" t="s">
        <v>73</v>
      </c>
      <c r="B4953" s="1">
        <v>44378</v>
      </c>
      <c r="C4953" s="2" t="s">
        <v>3</v>
      </c>
      <c r="D4953" s="2" t="s">
        <v>3</v>
      </c>
      <c r="E4953" s="2">
        <v>0</v>
      </c>
      <c r="F4953" s="2" t="s">
        <v>3</v>
      </c>
      <c r="G4953" s="2" t="s">
        <v>3</v>
      </c>
      <c r="H4953" s="2" t="s">
        <v>3</v>
      </c>
      <c r="I4953" s="2" t="s">
        <v>3</v>
      </c>
    </row>
    <row r="4954" spans="1:9" hidden="1" x14ac:dyDescent="0.3">
      <c r="A4954" t="s">
        <v>73</v>
      </c>
      <c r="B4954" s="1">
        <v>44348</v>
      </c>
      <c r="C4954" s="2" t="s">
        <v>3</v>
      </c>
      <c r="D4954" s="2" t="s">
        <v>3</v>
      </c>
      <c r="E4954" s="2">
        <v>0</v>
      </c>
      <c r="F4954" s="2" t="s">
        <v>3</v>
      </c>
      <c r="G4954" s="2" t="s">
        <v>3</v>
      </c>
      <c r="H4954" s="2" t="s">
        <v>3</v>
      </c>
      <c r="I4954" s="2" t="s">
        <v>3</v>
      </c>
    </row>
    <row r="4955" spans="1:9" hidden="1" x14ac:dyDescent="0.3">
      <c r="A4955" t="s">
        <v>73</v>
      </c>
      <c r="B4955" s="1">
        <v>44317</v>
      </c>
      <c r="C4955" s="2" t="s">
        <v>3</v>
      </c>
      <c r="D4955" s="2" t="s">
        <v>3</v>
      </c>
      <c r="E4955" s="2">
        <v>0</v>
      </c>
      <c r="F4955" s="2" t="s">
        <v>3</v>
      </c>
      <c r="G4955" s="2" t="s">
        <v>3</v>
      </c>
      <c r="H4955" s="2" t="s">
        <v>3</v>
      </c>
      <c r="I4955" s="2" t="s">
        <v>3</v>
      </c>
    </row>
    <row r="4956" spans="1:9" hidden="1" x14ac:dyDescent="0.3">
      <c r="A4956" t="s">
        <v>73</v>
      </c>
      <c r="B4956" s="1">
        <v>44287</v>
      </c>
      <c r="C4956" s="2" t="s">
        <v>3</v>
      </c>
      <c r="D4956" s="2" t="s">
        <v>3</v>
      </c>
      <c r="E4956" s="2">
        <v>0</v>
      </c>
      <c r="F4956" s="2" t="s">
        <v>3</v>
      </c>
      <c r="G4956" s="2" t="s">
        <v>3</v>
      </c>
      <c r="H4956" s="2" t="s">
        <v>3</v>
      </c>
      <c r="I4956" s="2" t="s">
        <v>3</v>
      </c>
    </row>
    <row r="4957" spans="1:9" hidden="1" x14ac:dyDescent="0.3">
      <c r="A4957" t="s">
        <v>73</v>
      </c>
      <c r="B4957" s="1">
        <v>44256</v>
      </c>
      <c r="C4957" s="2" t="s">
        <v>3</v>
      </c>
      <c r="D4957" s="2" t="s">
        <v>3</v>
      </c>
      <c r="E4957" s="2">
        <v>0</v>
      </c>
      <c r="F4957" s="2" t="s">
        <v>3</v>
      </c>
      <c r="G4957" s="2" t="s">
        <v>3</v>
      </c>
      <c r="H4957" s="2" t="s">
        <v>3</v>
      </c>
      <c r="I4957" s="2" t="s">
        <v>3</v>
      </c>
    </row>
    <row r="4958" spans="1:9" hidden="1" x14ac:dyDescent="0.3">
      <c r="A4958" t="s">
        <v>73</v>
      </c>
      <c r="B4958" s="1">
        <v>44228</v>
      </c>
      <c r="C4958" s="2" t="s">
        <v>3</v>
      </c>
      <c r="D4958" s="2" t="s">
        <v>3</v>
      </c>
      <c r="E4958" s="2">
        <v>0</v>
      </c>
      <c r="F4958" s="2" t="s">
        <v>3</v>
      </c>
      <c r="G4958" s="2" t="s">
        <v>3</v>
      </c>
      <c r="H4958" s="2" t="s">
        <v>3</v>
      </c>
      <c r="I4958" s="2" t="s">
        <v>3</v>
      </c>
    </row>
    <row r="4959" spans="1:9" hidden="1" x14ac:dyDescent="0.3">
      <c r="A4959" t="s">
        <v>73</v>
      </c>
      <c r="B4959" s="1">
        <v>44197</v>
      </c>
      <c r="C4959" s="2" t="s">
        <v>3</v>
      </c>
      <c r="D4959" s="2" t="s">
        <v>3</v>
      </c>
      <c r="E4959" s="2">
        <v>0</v>
      </c>
      <c r="F4959" s="2" t="s">
        <v>3</v>
      </c>
      <c r="G4959" s="2" t="s">
        <v>3</v>
      </c>
      <c r="H4959" s="2" t="s">
        <v>3</v>
      </c>
      <c r="I4959" s="2" t="s">
        <v>3</v>
      </c>
    </row>
    <row r="4960" spans="1:9" hidden="1" x14ac:dyDescent="0.3">
      <c r="A4960" t="s">
        <v>73</v>
      </c>
      <c r="B4960" s="1">
        <v>44166</v>
      </c>
      <c r="C4960" s="2" t="s">
        <v>3</v>
      </c>
      <c r="D4960" s="2" t="s">
        <v>3</v>
      </c>
      <c r="E4960" s="2">
        <v>0</v>
      </c>
      <c r="F4960" s="2" t="s">
        <v>3</v>
      </c>
      <c r="G4960" s="2" t="s">
        <v>3</v>
      </c>
      <c r="H4960" s="2" t="s">
        <v>3</v>
      </c>
      <c r="I4960" s="2" t="s">
        <v>3</v>
      </c>
    </row>
    <row r="4961" spans="1:9" hidden="1" x14ac:dyDescent="0.3">
      <c r="A4961" t="s">
        <v>73</v>
      </c>
      <c r="B4961" s="1">
        <v>44136</v>
      </c>
      <c r="C4961" s="2" t="s">
        <v>3</v>
      </c>
      <c r="D4961" s="2" t="s">
        <v>3</v>
      </c>
      <c r="E4961" s="2">
        <v>0</v>
      </c>
      <c r="F4961" s="2" t="s">
        <v>3</v>
      </c>
      <c r="G4961" s="2" t="s">
        <v>3</v>
      </c>
      <c r="H4961" s="2" t="s">
        <v>3</v>
      </c>
      <c r="I4961" s="2" t="s">
        <v>3</v>
      </c>
    </row>
    <row r="4962" spans="1:9" hidden="1" x14ac:dyDescent="0.3">
      <c r="A4962" t="s">
        <v>73</v>
      </c>
      <c r="B4962" s="1">
        <v>44105</v>
      </c>
      <c r="C4962" s="2" t="s">
        <v>3</v>
      </c>
      <c r="D4962" s="2" t="s">
        <v>3</v>
      </c>
      <c r="E4962" s="2">
        <v>0</v>
      </c>
      <c r="F4962" s="2" t="s">
        <v>3</v>
      </c>
      <c r="G4962" s="2" t="s">
        <v>3</v>
      </c>
      <c r="H4962" s="2" t="s">
        <v>3</v>
      </c>
      <c r="I4962" s="2" t="s">
        <v>3</v>
      </c>
    </row>
    <row r="4963" spans="1:9" hidden="1" x14ac:dyDescent="0.3">
      <c r="A4963" t="s">
        <v>73</v>
      </c>
      <c r="B4963" s="1">
        <v>44075</v>
      </c>
      <c r="C4963" s="2" t="s">
        <v>3</v>
      </c>
      <c r="D4963" s="2" t="s">
        <v>3</v>
      </c>
      <c r="E4963" s="2">
        <v>0</v>
      </c>
      <c r="F4963" s="2" t="s">
        <v>3</v>
      </c>
      <c r="G4963" s="2" t="s">
        <v>3</v>
      </c>
      <c r="H4963" s="2" t="s">
        <v>3</v>
      </c>
      <c r="I4963" s="2" t="s">
        <v>3</v>
      </c>
    </row>
    <row r="4964" spans="1:9" hidden="1" x14ac:dyDescent="0.3">
      <c r="A4964" t="s">
        <v>73</v>
      </c>
      <c r="B4964" s="1">
        <v>44044</v>
      </c>
      <c r="C4964" s="2" t="s">
        <v>3</v>
      </c>
      <c r="D4964" s="2" t="s">
        <v>3</v>
      </c>
      <c r="E4964" s="2">
        <v>0</v>
      </c>
      <c r="F4964" s="2" t="s">
        <v>3</v>
      </c>
      <c r="G4964" s="2" t="s">
        <v>3</v>
      </c>
      <c r="H4964" s="2" t="s">
        <v>3</v>
      </c>
      <c r="I4964" s="2" t="s">
        <v>3</v>
      </c>
    </row>
    <row r="4965" spans="1:9" hidden="1" x14ac:dyDescent="0.3">
      <c r="A4965" t="s">
        <v>73</v>
      </c>
      <c r="B4965" s="1">
        <v>44013</v>
      </c>
      <c r="C4965" s="2" t="s">
        <v>3</v>
      </c>
      <c r="D4965" s="2" t="s">
        <v>3</v>
      </c>
      <c r="E4965" s="2">
        <v>0</v>
      </c>
      <c r="F4965" s="2" t="s">
        <v>3</v>
      </c>
      <c r="G4965" s="2" t="s">
        <v>3</v>
      </c>
      <c r="H4965" s="2" t="s">
        <v>3</v>
      </c>
      <c r="I4965" s="2" t="s">
        <v>3</v>
      </c>
    </row>
    <row r="4966" spans="1:9" hidden="1" x14ac:dyDescent="0.3">
      <c r="A4966" t="s">
        <v>73</v>
      </c>
      <c r="B4966" s="1">
        <v>43983</v>
      </c>
      <c r="C4966" s="2" t="s">
        <v>3</v>
      </c>
      <c r="D4966" s="2" t="s">
        <v>3</v>
      </c>
      <c r="E4966" s="2">
        <v>0</v>
      </c>
      <c r="F4966" s="2" t="s">
        <v>3</v>
      </c>
      <c r="G4966" s="2" t="s">
        <v>3</v>
      </c>
      <c r="H4966" s="2" t="s">
        <v>3</v>
      </c>
      <c r="I4966" s="2" t="s">
        <v>3</v>
      </c>
    </row>
    <row r="4967" spans="1:9" hidden="1" x14ac:dyDescent="0.3">
      <c r="A4967" t="s">
        <v>73</v>
      </c>
      <c r="B4967" s="1">
        <v>43952</v>
      </c>
      <c r="C4967" s="2" t="s">
        <v>3</v>
      </c>
      <c r="D4967" s="2" t="s">
        <v>3</v>
      </c>
      <c r="E4967" s="2">
        <v>0</v>
      </c>
      <c r="F4967" s="2" t="s">
        <v>3</v>
      </c>
      <c r="G4967" s="2" t="s">
        <v>3</v>
      </c>
      <c r="H4967" s="2" t="s">
        <v>3</v>
      </c>
      <c r="I4967" s="2" t="s">
        <v>3</v>
      </c>
    </row>
    <row r="4968" spans="1:9" hidden="1" x14ac:dyDescent="0.3">
      <c r="A4968" t="s">
        <v>73</v>
      </c>
      <c r="B4968" s="1">
        <v>43922</v>
      </c>
      <c r="C4968" s="2" t="s">
        <v>3</v>
      </c>
      <c r="D4968" s="2" t="s">
        <v>3</v>
      </c>
      <c r="E4968" s="2">
        <v>0</v>
      </c>
      <c r="F4968" s="2" t="s">
        <v>3</v>
      </c>
      <c r="G4968" s="2" t="s">
        <v>3</v>
      </c>
      <c r="H4968" s="2" t="s">
        <v>3</v>
      </c>
      <c r="I4968" s="2" t="s">
        <v>3</v>
      </c>
    </row>
    <row r="4969" spans="1:9" hidden="1" x14ac:dyDescent="0.3">
      <c r="A4969" t="s">
        <v>73</v>
      </c>
      <c r="B4969" s="1">
        <v>43891</v>
      </c>
      <c r="C4969" s="2" t="s">
        <v>3</v>
      </c>
      <c r="D4969" s="2" t="s">
        <v>3</v>
      </c>
      <c r="E4969" s="2">
        <v>0</v>
      </c>
      <c r="F4969" s="2" t="s">
        <v>3</v>
      </c>
      <c r="G4969" s="2" t="s">
        <v>3</v>
      </c>
      <c r="H4969" s="2" t="s">
        <v>3</v>
      </c>
      <c r="I4969" s="2" t="s">
        <v>3</v>
      </c>
    </row>
    <row r="4970" spans="1:9" hidden="1" x14ac:dyDescent="0.3">
      <c r="A4970" t="s">
        <v>73</v>
      </c>
      <c r="B4970" s="1">
        <v>43862</v>
      </c>
      <c r="C4970" s="2" t="s">
        <v>3</v>
      </c>
      <c r="D4970" s="2" t="s">
        <v>3</v>
      </c>
      <c r="E4970" s="2">
        <v>0</v>
      </c>
      <c r="F4970" s="2" t="s">
        <v>3</v>
      </c>
      <c r="G4970" s="2" t="s">
        <v>3</v>
      </c>
      <c r="H4970" s="2" t="s">
        <v>3</v>
      </c>
      <c r="I4970" s="2" t="s">
        <v>3</v>
      </c>
    </row>
    <row r="4971" spans="1:9" hidden="1" x14ac:dyDescent="0.3">
      <c r="A4971" t="s">
        <v>73</v>
      </c>
      <c r="B4971" s="1">
        <v>43831</v>
      </c>
      <c r="C4971" s="2" t="s">
        <v>3</v>
      </c>
      <c r="D4971" s="2" t="s">
        <v>3</v>
      </c>
      <c r="E4971" s="2">
        <v>0</v>
      </c>
      <c r="F4971" s="2" t="s">
        <v>3</v>
      </c>
      <c r="G4971" s="2" t="s">
        <v>3</v>
      </c>
      <c r="H4971" s="2" t="s">
        <v>3</v>
      </c>
      <c r="I4971" s="2" t="s">
        <v>3</v>
      </c>
    </row>
    <row r="4972" spans="1:9" x14ac:dyDescent="0.3">
      <c r="A4972" t="s">
        <v>74</v>
      </c>
      <c r="B4972" s="1">
        <v>45931</v>
      </c>
      <c r="C4972" s="2">
        <v>309543</v>
      </c>
      <c r="D4972" s="2">
        <v>-394</v>
      </c>
      <c r="E4972" s="2">
        <v>306035</v>
      </c>
      <c r="F4972" s="2">
        <v>-719</v>
      </c>
      <c r="G4972" s="2">
        <v>-2371</v>
      </c>
      <c r="H4972" s="2">
        <v>3508</v>
      </c>
      <c r="I4972" s="2">
        <v>325</v>
      </c>
    </row>
    <row r="4973" spans="1:9" x14ac:dyDescent="0.3">
      <c r="A4973" t="s">
        <v>74</v>
      </c>
      <c r="B4973" s="1">
        <v>45901</v>
      </c>
      <c r="C4973" s="2">
        <v>312647</v>
      </c>
      <c r="D4973" s="2">
        <v>1037</v>
      </c>
      <c r="E4973" s="2">
        <v>309464</v>
      </c>
      <c r="F4973" s="2">
        <v>1201</v>
      </c>
      <c r="G4973" s="2">
        <v>-1811</v>
      </c>
      <c r="H4973" s="2">
        <v>3183</v>
      </c>
      <c r="I4973" s="2">
        <v>-164</v>
      </c>
    </row>
    <row r="4974" spans="1:9" x14ac:dyDescent="0.3">
      <c r="A4974" t="s">
        <v>74</v>
      </c>
      <c r="B4974" s="1">
        <v>45870</v>
      </c>
      <c r="C4974" s="2">
        <v>313490</v>
      </c>
      <c r="D4974" s="2">
        <v>-1788</v>
      </c>
      <c r="E4974" s="2">
        <v>310143</v>
      </c>
      <c r="F4974" s="2">
        <v>-2156</v>
      </c>
      <c r="G4974" s="2">
        <v>3068</v>
      </c>
      <c r="H4974" s="2">
        <v>3347</v>
      </c>
      <c r="I4974" s="2">
        <v>368</v>
      </c>
    </row>
    <row r="4975" spans="1:9" x14ac:dyDescent="0.3">
      <c r="A4975" t="s">
        <v>74</v>
      </c>
      <c r="B4975" s="1">
        <v>45839</v>
      </c>
      <c r="C4975" s="2">
        <v>308907</v>
      </c>
      <c r="D4975" s="2">
        <v>3514</v>
      </c>
      <c r="E4975" s="2">
        <v>305928</v>
      </c>
      <c r="F4975" s="2">
        <v>4090</v>
      </c>
      <c r="G4975" s="2">
        <v>105</v>
      </c>
      <c r="H4975" s="2">
        <v>2979</v>
      </c>
      <c r="I4975" s="2">
        <v>-576</v>
      </c>
    </row>
    <row r="4976" spans="1:9" x14ac:dyDescent="0.3">
      <c r="A4976" t="s">
        <v>74</v>
      </c>
      <c r="B4976" s="1">
        <v>45809</v>
      </c>
      <c r="C4976" s="2">
        <v>307267</v>
      </c>
      <c r="D4976" s="2">
        <v>2177</v>
      </c>
      <c r="E4976" s="2">
        <v>303712</v>
      </c>
      <c r="F4976" s="2">
        <v>2587</v>
      </c>
      <c r="G4976" s="2">
        <v>96</v>
      </c>
      <c r="H4976" s="2">
        <v>3555</v>
      </c>
      <c r="I4976" s="2">
        <v>-410</v>
      </c>
    </row>
    <row r="4977" spans="1:9" x14ac:dyDescent="0.3">
      <c r="A4977" t="s">
        <v>74</v>
      </c>
      <c r="B4977" s="1">
        <v>45778</v>
      </c>
      <c r="C4977" s="2">
        <v>304840</v>
      </c>
      <c r="D4977" s="2">
        <v>-2469</v>
      </c>
      <c r="E4977" s="2">
        <v>300875</v>
      </c>
      <c r="F4977" s="2">
        <v>-2512</v>
      </c>
      <c r="G4977" s="2">
        <v>-4565</v>
      </c>
      <c r="H4977" s="2">
        <v>3965</v>
      </c>
      <c r="I4977" s="2">
        <v>43</v>
      </c>
    </row>
    <row r="4978" spans="1:9" x14ac:dyDescent="0.3">
      <c r="A4978" t="s">
        <v>74</v>
      </c>
      <c r="B4978" s="1">
        <v>45748</v>
      </c>
      <c r="C4978" s="2">
        <v>311504</v>
      </c>
      <c r="D4978" s="2">
        <v>1059</v>
      </c>
      <c r="E4978" s="2">
        <v>307582</v>
      </c>
      <c r="F4978" s="2">
        <v>829</v>
      </c>
      <c r="G4978" s="2">
        <v>2348</v>
      </c>
      <c r="H4978" s="2">
        <v>3922</v>
      </c>
      <c r="I4978" s="2">
        <v>230</v>
      </c>
    </row>
    <row r="4979" spans="1:9" x14ac:dyDescent="0.3">
      <c r="A4979" t="s">
        <v>74</v>
      </c>
      <c r="B4979" s="1">
        <v>45717</v>
      </c>
      <c r="C4979" s="2">
        <v>308183</v>
      </c>
      <c r="D4979" s="2">
        <v>3253</v>
      </c>
      <c r="E4979" s="2">
        <v>304491</v>
      </c>
      <c r="F4979" s="2">
        <v>2346</v>
      </c>
      <c r="G4979" s="2">
        <v>197</v>
      </c>
      <c r="H4979" s="2">
        <v>3692</v>
      </c>
      <c r="I4979" s="2">
        <v>907</v>
      </c>
    </row>
    <row r="4980" spans="1:9" x14ac:dyDescent="0.3">
      <c r="A4980" t="s">
        <v>74</v>
      </c>
      <c r="B4980" s="1">
        <v>45689</v>
      </c>
      <c r="C4980" s="2">
        <v>306215</v>
      </c>
      <c r="D4980" s="2">
        <v>-4020</v>
      </c>
      <c r="E4980" s="2">
        <v>303430</v>
      </c>
      <c r="F4980" s="2">
        <v>-3759</v>
      </c>
      <c r="G4980" s="2">
        <v>11340</v>
      </c>
      <c r="H4980" s="2">
        <v>2785</v>
      </c>
      <c r="I4980" s="2">
        <v>-261</v>
      </c>
    </row>
    <row r="4981" spans="1:9" x14ac:dyDescent="0.3">
      <c r="A4981" t="s">
        <v>74</v>
      </c>
      <c r="B4981" s="1">
        <v>45658</v>
      </c>
      <c r="C4981" s="2">
        <v>298638</v>
      </c>
      <c r="D4981" s="2">
        <v>6861</v>
      </c>
      <c r="E4981" s="2">
        <v>295592</v>
      </c>
      <c r="F4981" s="2">
        <v>6919</v>
      </c>
      <c r="G4981" s="2">
        <v>1916</v>
      </c>
      <c r="H4981" s="2">
        <v>3046</v>
      </c>
      <c r="I4981" s="2">
        <v>-58</v>
      </c>
    </row>
    <row r="4982" spans="1:9" x14ac:dyDescent="0.3">
      <c r="A4982" t="s">
        <v>74</v>
      </c>
      <c r="B4982" s="1">
        <v>45627</v>
      </c>
      <c r="C4982" s="2">
        <v>292303</v>
      </c>
      <c r="D4982" s="2">
        <v>4924</v>
      </c>
      <c r="E4982" s="2">
        <v>289199</v>
      </c>
      <c r="F4982" s="2">
        <v>5115</v>
      </c>
      <c r="G4982" s="2">
        <v>-6843</v>
      </c>
      <c r="H4982" s="2">
        <v>3104</v>
      </c>
      <c r="I4982" s="2">
        <v>-191</v>
      </c>
    </row>
    <row r="4983" spans="1:9" x14ac:dyDescent="0.3">
      <c r="A4983" t="s">
        <v>74</v>
      </c>
      <c r="B4983" s="1">
        <v>45597</v>
      </c>
      <c r="C4983" s="2">
        <v>285953</v>
      </c>
      <c r="D4983" s="2">
        <v>-2790</v>
      </c>
      <c r="E4983" s="2">
        <v>282658</v>
      </c>
      <c r="F4983" s="2">
        <v>-2090</v>
      </c>
      <c r="G4983" s="2">
        <v>1438</v>
      </c>
      <c r="H4983" s="2">
        <v>3295</v>
      </c>
      <c r="I4983" s="2">
        <v>-700</v>
      </c>
    </row>
    <row r="4984" spans="1:9" x14ac:dyDescent="0.3">
      <c r="A4984" t="s">
        <v>74</v>
      </c>
      <c r="B4984" s="1">
        <v>45566</v>
      </c>
      <c r="C4984" s="2">
        <v>287905</v>
      </c>
      <c r="D4984" s="2">
        <v>5752</v>
      </c>
      <c r="E4984" s="2">
        <v>283910</v>
      </c>
      <c r="F4984" s="2">
        <v>4588</v>
      </c>
      <c r="G4984" s="2">
        <v>-8426</v>
      </c>
      <c r="H4984" s="2">
        <v>3995</v>
      </c>
      <c r="I4984" s="2">
        <v>1164</v>
      </c>
    </row>
    <row r="4985" spans="1:9" x14ac:dyDescent="0.3">
      <c r="A4985" t="s">
        <v>74</v>
      </c>
      <c r="B4985" s="1">
        <v>45536</v>
      </c>
      <c r="C4985" s="2">
        <v>291087</v>
      </c>
      <c r="D4985" s="2">
        <v>1430</v>
      </c>
      <c r="E4985" s="2">
        <v>288256</v>
      </c>
      <c r="F4985" s="2">
        <v>1981</v>
      </c>
      <c r="G4985" s="2">
        <v>3018</v>
      </c>
      <c r="H4985" s="2">
        <v>2831</v>
      </c>
      <c r="I4985" s="2">
        <v>-551</v>
      </c>
    </row>
    <row r="4986" spans="1:9" x14ac:dyDescent="0.3">
      <c r="A4986" t="s">
        <v>74</v>
      </c>
      <c r="B4986" s="1">
        <v>45505</v>
      </c>
      <c r="C4986" s="2">
        <v>287091</v>
      </c>
      <c r="D4986" s="2">
        <v>5588</v>
      </c>
      <c r="E4986" s="2">
        <v>283709</v>
      </c>
      <c r="F4986" s="2">
        <v>5420</v>
      </c>
      <c r="G4986" s="2">
        <v>3456</v>
      </c>
      <c r="H4986" s="2">
        <v>3382</v>
      </c>
      <c r="I4986" s="2">
        <v>168</v>
      </c>
    </row>
    <row r="4987" spans="1:9" x14ac:dyDescent="0.3">
      <c r="A4987" t="s">
        <v>74</v>
      </c>
      <c r="B4987" s="1">
        <v>45474</v>
      </c>
      <c r="C4987" s="2">
        <v>277334</v>
      </c>
      <c r="D4987" s="2">
        <v>3658</v>
      </c>
      <c r="E4987" s="2">
        <v>274120</v>
      </c>
      <c r="F4987" s="2">
        <v>3652</v>
      </c>
      <c r="G4987" s="2">
        <v>6082</v>
      </c>
      <c r="H4987" s="2">
        <v>3214</v>
      </c>
      <c r="I4987" s="2">
        <v>6</v>
      </c>
    </row>
    <row r="4988" spans="1:9" x14ac:dyDescent="0.3">
      <c r="A4988" t="s">
        <v>74</v>
      </c>
      <c r="B4988" s="1">
        <v>45444</v>
      </c>
      <c r="C4988" s="2">
        <v>267891</v>
      </c>
      <c r="D4988" s="2">
        <v>479</v>
      </c>
      <c r="E4988" s="2">
        <v>264683</v>
      </c>
      <c r="F4988" s="2">
        <v>752</v>
      </c>
      <c r="G4988" s="2">
        <v>2107</v>
      </c>
      <c r="H4988" s="2">
        <v>3208</v>
      </c>
      <c r="I4988" s="2">
        <v>-273</v>
      </c>
    </row>
    <row r="4989" spans="1:9" x14ac:dyDescent="0.3">
      <c r="A4989" t="s">
        <v>74</v>
      </c>
      <c r="B4989" s="1">
        <v>45413</v>
      </c>
      <c r="C4989" s="2">
        <v>265377</v>
      </c>
      <c r="D4989" s="2">
        <v>1923</v>
      </c>
      <c r="E4989" s="2">
        <v>261896</v>
      </c>
      <c r="F4989" s="2">
        <v>2051</v>
      </c>
      <c r="G4989" s="2">
        <v>3884</v>
      </c>
      <c r="H4989" s="2">
        <v>3481</v>
      </c>
      <c r="I4989" s="2">
        <v>-128</v>
      </c>
    </row>
    <row r="4990" spans="1:9" x14ac:dyDescent="0.3">
      <c r="A4990" t="s">
        <v>74</v>
      </c>
      <c r="B4990" s="1">
        <v>45383</v>
      </c>
      <c r="C4990" s="2">
        <v>259311</v>
      </c>
      <c r="D4990" s="2">
        <v>6036</v>
      </c>
      <c r="E4990" s="2">
        <v>255702</v>
      </c>
      <c r="F4990" s="2">
        <v>5411</v>
      </c>
      <c r="G4990" s="2">
        <v>-7819</v>
      </c>
      <c r="H4990" s="2">
        <v>3609</v>
      </c>
      <c r="I4990" s="2">
        <v>625</v>
      </c>
    </row>
    <row r="4991" spans="1:9" x14ac:dyDescent="0.3">
      <c r="A4991" t="s">
        <v>74</v>
      </c>
      <c r="B4991" s="1">
        <v>45352</v>
      </c>
      <c r="C4991" s="2">
        <v>260990</v>
      </c>
      <c r="D4991" s="2">
        <v>2861</v>
      </c>
      <c r="E4991" s="2">
        <v>258006</v>
      </c>
      <c r="F4991" s="2">
        <v>3288</v>
      </c>
      <c r="G4991" s="2">
        <v>520</v>
      </c>
      <c r="H4991" s="2">
        <v>2984</v>
      </c>
      <c r="I4991" s="2">
        <v>-427</v>
      </c>
    </row>
    <row r="4992" spans="1:9" x14ac:dyDescent="0.3">
      <c r="A4992" t="s">
        <v>74</v>
      </c>
      <c r="B4992" s="1">
        <v>45323</v>
      </c>
      <c r="C4992" s="2">
        <v>257508</v>
      </c>
      <c r="D4992" s="2">
        <v>4262</v>
      </c>
      <c r="E4992" s="2">
        <v>254097</v>
      </c>
      <c r="F4992" s="2">
        <v>4557</v>
      </c>
      <c r="G4992" s="2">
        <v>-4710</v>
      </c>
      <c r="H4992" s="2">
        <v>3411</v>
      </c>
      <c r="I4992" s="2">
        <v>-295</v>
      </c>
    </row>
    <row r="4993" spans="1:9" x14ac:dyDescent="0.3">
      <c r="A4993" t="s">
        <v>74</v>
      </c>
      <c r="B4993" s="1">
        <v>45292</v>
      </c>
      <c r="C4993" s="2">
        <v>257648</v>
      </c>
      <c r="D4993" s="2">
        <v>4095</v>
      </c>
      <c r="E4993" s="2">
        <v>253942</v>
      </c>
      <c r="F4993" s="2">
        <v>5269</v>
      </c>
      <c r="G4993" s="2">
        <v>-574</v>
      </c>
      <c r="H4993" s="2">
        <v>3706</v>
      </c>
      <c r="I4993" s="2">
        <v>-1174</v>
      </c>
    </row>
    <row r="4994" spans="1:9" x14ac:dyDescent="0.3">
      <c r="A4994" t="s">
        <v>74</v>
      </c>
      <c r="B4994" s="1">
        <v>45261</v>
      </c>
      <c r="C4994" s="2">
        <v>253961</v>
      </c>
      <c r="D4994" s="2">
        <v>6206</v>
      </c>
      <c r="E4994" s="2">
        <v>249081</v>
      </c>
      <c r="F4994" s="2">
        <v>6615</v>
      </c>
      <c r="G4994" s="2">
        <v>7386</v>
      </c>
      <c r="H4994" s="2">
        <v>4880</v>
      </c>
      <c r="I4994" s="2">
        <v>-409</v>
      </c>
    </row>
    <row r="4995" spans="1:9" x14ac:dyDescent="0.3">
      <c r="A4995" t="s">
        <v>74</v>
      </c>
      <c r="B4995" s="1">
        <v>45231</v>
      </c>
      <c r="C4995" s="2">
        <v>238040</v>
      </c>
      <c r="D4995" s="2">
        <v>-1843</v>
      </c>
      <c r="E4995" s="2">
        <v>232751</v>
      </c>
      <c r="F4995" s="2">
        <v>-1002</v>
      </c>
      <c r="G4995" s="2">
        <v>8427</v>
      </c>
      <c r="H4995" s="2">
        <v>5289</v>
      </c>
      <c r="I4995" s="2">
        <v>-841</v>
      </c>
    </row>
    <row r="4996" spans="1:9" x14ac:dyDescent="0.3">
      <c r="A4996" t="s">
        <v>74</v>
      </c>
      <c r="B4996" s="1">
        <v>45200</v>
      </c>
      <c r="C4996" s="2">
        <v>231380</v>
      </c>
      <c r="D4996" s="2">
        <v>-361</v>
      </c>
      <c r="E4996" s="2">
        <v>225250</v>
      </c>
      <c r="F4996" s="2">
        <v>-1469</v>
      </c>
      <c r="G4996" s="2">
        <v>-3435</v>
      </c>
      <c r="H4996" s="2">
        <v>6130</v>
      </c>
      <c r="I4996" s="2">
        <v>1108</v>
      </c>
    </row>
    <row r="4997" spans="1:9" x14ac:dyDescent="0.3">
      <c r="A4997" t="s">
        <v>74</v>
      </c>
      <c r="B4997" s="1">
        <v>45170</v>
      </c>
      <c r="C4997" s="2">
        <v>236333</v>
      </c>
      <c r="D4997" s="2">
        <v>1585</v>
      </c>
      <c r="E4997" s="2">
        <v>231311</v>
      </c>
      <c r="F4997" s="2">
        <v>2023</v>
      </c>
      <c r="G4997" s="2">
        <v>-5753</v>
      </c>
      <c r="H4997" s="2">
        <v>5022</v>
      </c>
      <c r="I4997" s="2">
        <v>-438</v>
      </c>
    </row>
    <row r="4998" spans="1:9" x14ac:dyDescent="0.3">
      <c r="A4998" t="s">
        <v>74</v>
      </c>
      <c r="B4998" s="1">
        <v>45139</v>
      </c>
      <c r="C4998" s="2">
        <v>240965</v>
      </c>
      <c r="D4998" s="2">
        <v>-71</v>
      </c>
      <c r="E4998" s="2">
        <v>235505</v>
      </c>
      <c r="F4998" s="2">
        <v>646</v>
      </c>
      <c r="G4998" s="2">
        <v>-1949</v>
      </c>
      <c r="H4998" s="2">
        <v>5460</v>
      </c>
      <c r="I4998" s="2">
        <v>-717</v>
      </c>
    </row>
    <row r="4999" spans="1:9" x14ac:dyDescent="0.3">
      <c r="A4999" t="s">
        <v>74</v>
      </c>
      <c r="B4999" s="1">
        <v>45108</v>
      </c>
      <c r="C4999" s="2">
        <v>242981</v>
      </c>
      <c r="D4999" s="2">
        <v>3242</v>
      </c>
      <c r="E4999" s="2">
        <v>236804</v>
      </c>
      <c r="F4999" s="2">
        <v>2104</v>
      </c>
      <c r="G4999" s="2">
        <v>-1291</v>
      </c>
      <c r="H4999" s="2">
        <v>6177</v>
      </c>
      <c r="I4999" s="2">
        <v>1138</v>
      </c>
    </row>
    <row r="5000" spans="1:9" x14ac:dyDescent="0.3">
      <c r="A5000" t="s">
        <v>74</v>
      </c>
      <c r="B5000" s="1">
        <v>45078</v>
      </c>
      <c r="C5000" s="2">
        <v>241260</v>
      </c>
      <c r="D5000" s="2">
        <v>3324</v>
      </c>
      <c r="E5000" s="2">
        <v>236221</v>
      </c>
      <c r="F5000" s="2">
        <v>2477</v>
      </c>
      <c r="G5000" s="2">
        <v>-2017</v>
      </c>
      <c r="H5000" s="2">
        <v>5039</v>
      </c>
      <c r="I5000" s="2">
        <v>847</v>
      </c>
    </row>
    <row r="5001" spans="1:9" x14ac:dyDescent="0.3">
      <c r="A5001" t="s">
        <v>74</v>
      </c>
      <c r="B5001" s="1">
        <v>45047</v>
      </c>
      <c r="C5001" s="2">
        <v>239809</v>
      </c>
      <c r="D5001" s="2">
        <v>-1364</v>
      </c>
      <c r="E5001" s="2">
        <v>235617</v>
      </c>
      <c r="F5001" s="2">
        <v>851</v>
      </c>
      <c r="G5001" s="2">
        <v>-3288</v>
      </c>
      <c r="H5001" s="2">
        <v>4192</v>
      </c>
      <c r="I5001" s="2">
        <v>-2215</v>
      </c>
    </row>
    <row r="5002" spans="1:9" x14ac:dyDescent="0.3">
      <c r="A5002" t="s">
        <v>74</v>
      </c>
      <c r="B5002" s="1">
        <v>45017</v>
      </c>
      <c r="C5002" s="2">
        <v>244474</v>
      </c>
      <c r="D5002" s="2">
        <v>3344</v>
      </c>
      <c r="E5002" s="2">
        <v>238067</v>
      </c>
      <c r="F5002" s="2">
        <v>4375</v>
      </c>
      <c r="G5002" s="2">
        <v>1589</v>
      </c>
      <c r="H5002" s="2">
        <v>6407</v>
      </c>
      <c r="I5002" s="2">
        <v>-1031</v>
      </c>
    </row>
    <row r="5003" spans="1:9" x14ac:dyDescent="0.3">
      <c r="A5003" t="s">
        <v>74</v>
      </c>
      <c r="B5003" s="1">
        <v>44986</v>
      </c>
      <c r="C5003" s="2">
        <v>239461</v>
      </c>
      <c r="D5003" s="2">
        <v>1766</v>
      </c>
      <c r="E5003" s="2">
        <v>232023</v>
      </c>
      <c r="F5003" s="2">
        <v>1917</v>
      </c>
      <c r="G5003" s="2">
        <v>6444</v>
      </c>
      <c r="H5003" s="2">
        <v>7438</v>
      </c>
      <c r="I5003" s="2">
        <v>-151</v>
      </c>
    </row>
    <row r="5004" spans="1:9" x14ac:dyDescent="0.3">
      <c r="A5004" t="s">
        <v>74</v>
      </c>
      <c r="B5004" s="1">
        <v>44958</v>
      </c>
      <c r="C5004" s="2">
        <v>231613</v>
      </c>
      <c r="D5004" s="2">
        <v>2858</v>
      </c>
      <c r="E5004" s="2">
        <v>224024</v>
      </c>
      <c r="F5004" s="2">
        <v>3005</v>
      </c>
      <c r="G5004" s="2">
        <v>-5971</v>
      </c>
      <c r="H5004" s="2">
        <v>7589</v>
      </c>
      <c r="I5004" s="2">
        <v>-147</v>
      </c>
    </row>
    <row r="5005" spans="1:9" hidden="1" x14ac:dyDescent="0.3">
      <c r="A5005" t="s">
        <v>74</v>
      </c>
      <c r="B5005" s="1">
        <v>44927</v>
      </c>
      <c r="C5005" s="2">
        <v>234644</v>
      </c>
      <c r="D5005" s="2" t="s">
        <v>3</v>
      </c>
      <c r="E5005" s="2">
        <v>226908</v>
      </c>
      <c r="F5005" s="2" t="s">
        <v>3</v>
      </c>
      <c r="G5005" s="2" t="s">
        <v>3</v>
      </c>
      <c r="H5005" s="2">
        <v>7736</v>
      </c>
      <c r="I5005" s="2">
        <v>475</v>
      </c>
    </row>
    <row r="5006" spans="1:9" hidden="1" x14ac:dyDescent="0.3">
      <c r="A5006" t="s">
        <v>74</v>
      </c>
      <c r="B5006" s="1">
        <v>44896</v>
      </c>
      <c r="C5006" s="2">
        <v>225412</v>
      </c>
      <c r="D5006" s="2" t="s">
        <v>3</v>
      </c>
      <c r="E5006" s="2">
        <v>218151</v>
      </c>
      <c r="F5006" s="2" t="s">
        <v>3</v>
      </c>
      <c r="G5006" s="2" t="s">
        <v>3</v>
      </c>
      <c r="H5006" s="2">
        <v>7261</v>
      </c>
      <c r="I5006" s="2">
        <v>476</v>
      </c>
    </row>
    <row r="5007" spans="1:9" hidden="1" x14ac:dyDescent="0.3">
      <c r="A5007" t="s">
        <v>74</v>
      </c>
      <c r="B5007" s="1">
        <v>44866</v>
      </c>
      <c r="C5007" s="2">
        <v>224051</v>
      </c>
      <c r="D5007" s="2" t="s">
        <v>3</v>
      </c>
      <c r="E5007" s="2">
        <v>217266</v>
      </c>
      <c r="F5007" s="2" t="s">
        <v>3</v>
      </c>
      <c r="G5007" s="2" t="s">
        <v>3</v>
      </c>
      <c r="H5007" s="2">
        <v>6785</v>
      </c>
      <c r="I5007" s="2">
        <v>-244</v>
      </c>
    </row>
    <row r="5008" spans="1:9" hidden="1" x14ac:dyDescent="0.3">
      <c r="A5008" t="s">
        <v>74</v>
      </c>
      <c r="B5008" s="1">
        <v>44835</v>
      </c>
      <c r="C5008" s="2">
        <v>214625</v>
      </c>
      <c r="D5008" s="2" t="s">
        <v>3</v>
      </c>
      <c r="E5008" s="2">
        <v>207596</v>
      </c>
      <c r="F5008" s="2" t="s">
        <v>3</v>
      </c>
      <c r="G5008" s="2" t="s">
        <v>3</v>
      </c>
      <c r="H5008" s="2">
        <v>7029</v>
      </c>
      <c r="I5008" s="2">
        <v>1130</v>
      </c>
    </row>
    <row r="5009" spans="1:9" hidden="1" x14ac:dyDescent="0.3">
      <c r="A5009" t="s">
        <v>74</v>
      </c>
      <c r="B5009" s="1">
        <v>44805</v>
      </c>
      <c r="C5009" s="2">
        <v>215260</v>
      </c>
      <c r="D5009" s="2" t="s">
        <v>3</v>
      </c>
      <c r="E5009" s="2">
        <v>209361</v>
      </c>
      <c r="F5009" s="2" t="s">
        <v>3</v>
      </c>
      <c r="G5009" s="2" t="s">
        <v>3</v>
      </c>
      <c r="H5009" s="2">
        <v>5899</v>
      </c>
      <c r="I5009" s="2">
        <v>-186</v>
      </c>
    </row>
    <row r="5010" spans="1:9" hidden="1" x14ac:dyDescent="0.3">
      <c r="A5010" t="s">
        <v>74</v>
      </c>
      <c r="B5010" s="1">
        <v>44774</v>
      </c>
      <c r="C5010" s="2">
        <v>231463</v>
      </c>
      <c r="D5010" s="2" t="s">
        <v>3</v>
      </c>
      <c r="E5010" s="2">
        <v>225378</v>
      </c>
      <c r="F5010" s="2" t="s">
        <v>3</v>
      </c>
      <c r="G5010" s="2" t="s">
        <v>3</v>
      </c>
      <c r="H5010" s="2">
        <v>6085</v>
      </c>
      <c r="I5010" s="2">
        <v>137</v>
      </c>
    </row>
    <row r="5011" spans="1:9" hidden="1" x14ac:dyDescent="0.3">
      <c r="A5011" t="s">
        <v>74</v>
      </c>
      <c r="B5011" s="1">
        <v>44743</v>
      </c>
      <c r="C5011" s="2">
        <v>238236</v>
      </c>
      <c r="D5011" s="2" t="s">
        <v>3</v>
      </c>
      <c r="E5011" s="2">
        <v>232288</v>
      </c>
      <c r="F5011" s="2" t="s">
        <v>3</v>
      </c>
      <c r="G5011" s="2" t="s">
        <v>3</v>
      </c>
      <c r="H5011" s="2">
        <v>5948</v>
      </c>
      <c r="I5011" s="2">
        <v>323</v>
      </c>
    </row>
    <row r="5012" spans="1:9" hidden="1" x14ac:dyDescent="0.3">
      <c r="A5012" t="s">
        <v>74</v>
      </c>
      <c r="B5012" s="1">
        <v>44713</v>
      </c>
      <c r="C5012" s="2">
        <v>232338</v>
      </c>
      <c r="D5012" s="2" t="s">
        <v>3</v>
      </c>
      <c r="E5012" s="2">
        <v>226713</v>
      </c>
      <c r="F5012" s="2" t="s">
        <v>3</v>
      </c>
      <c r="G5012" s="2" t="s">
        <v>3</v>
      </c>
      <c r="H5012" s="2">
        <v>5625</v>
      </c>
      <c r="I5012" s="2">
        <v>-765</v>
      </c>
    </row>
    <row r="5013" spans="1:9" hidden="1" x14ac:dyDescent="0.3">
      <c r="A5013" t="s">
        <v>74</v>
      </c>
      <c r="B5013" s="1">
        <v>44682</v>
      </c>
      <c r="C5013" s="2">
        <v>229058</v>
      </c>
      <c r="D5013" s="2" t="s">
        <v>3</v>
      </c>
      <c r="E5013" s="2">
        <v>222668</v>
      </c>
      <c r="F5013" s="2" t="s">
        <v>3</v>
      </c>
      <c r="G5013" s="2" t="s">
        <v>3</v>
      </c>
      <c r="H5013" s="2">
        <v>6390</v>
      </c>
      <c r="I5013" s="2">
        <v>630</v>
      </c>
    </row>
    <row r="5014" spans="1:9" hidden="1" x14ac:dyDescent="0.3">
      <c r="A5014" t="s">
        <v>74</v>
      </c>
      <c r="B5014" s="1">
        <v>44652</v>
      </c>
      <c r="C5014" s="2">
        <v>226891</v>
      </c>
      <c r="D5014" s="2" t="s">
        <v>3</v>
      </c>
      <c r="E5014" s="2">
        <v>221131</v>
      </c>
      <c r="F5014" s="2" t="s">
        <v>3</v>
      </c>
      <c r="G5014" s="2" t="s">
        <v>3</v>
      </c>
      <c r="H5014" s="2">
        <v>5760</v>
      </c>
      <c r="I5014" s="2">
        <v>-1222</v>
      </c>
    </row>
    <row r="5015" spans="1:9" hidden="1" x14ac:dyDescent="0.3">
      <c r="A5015" t="s">
        <v>74</v>
      </c>
      <c r="B5015" s="1">
        <v>44621</v>
      </c>
      <c r="C5015" s="2">
        <v>236866</v>
      </c>
      <c r="D5015" s="2" t="s">
        <v>3</v>
      </c>
      <c r="E5015" s="2">
        <v>229884</v>
      </c>
      <c r="F5015" s="2" t="s">
        <v>3</v>
      </c>
      <c r="G5015" s="2" t="s">
        <v>3</v>
      </c>
      <c r="H5015" s="2">
        <v>6982</v>
      </c>
      <c r="I5015" s="2">
        <v>-616</v>
      </c>
    </row>
    <row r="5016" spans="1:9" hidden="1" x14ac:dyDescent="0.3">
      <c r="A5016" t="s">
        <v>74</v>
      </c>
      <c r="B5016" s="1">
        <v>44593</v>
      </c>
      <c r="C5016" s="2">
        <v>247037</v>
      </c>
      <c r="D5016" s="2" t="s">
        <v>3</v>
      </c>
      <c r="E5016" s="2">
        <v>239439</v>
      </c>
      <c r="F5016" s="2" t="s">
        <v>3</v>
      </c>
      <c r="G5016" s="2" t="s">
        <v>3</v>
      </c>
      <c r="H5016" s="2">
        <v>7598</v>
      </c>
      <c r="I5016" s="2">
        <v>-482</v>
      </c>
    </row>
    <row r="5017" spans="1:9" hidden="1" x14ac:dyDescent="0.3">
      <c r="A5017" t="s">
        <v>74</v>
      </c>
      <c r="B5017" s="1">
        <v>44562</v>
      </c>
      <c r="C5017" s="2">
        <v>247147</v>
      </c>
      <c r="D5017" s="2" t="s">
        <v>3</v>
      </c>
      <c r="E5017" s="2">
        <v>239067</v>
      </c>
      <c r="F5017" s="2" t="s">
        <v>3</v>
      </c>
      <c r="G5017" s="2" t="s">
        <v>3</v>
      </c>
      <c r="H5017" s="2">
        <v>8080</v>
      </c>
      <c r="I5017" s="2">
        <v>636</v>
      </c>
    </row>
    <row r="5018" spans="1:9" hidden="1" x14ac:dyDescent="0.3">
      <c r="A5018" t="s">
        <v>74</v>
      </c>
      <c r="B5018" s="1">
        <v>44531</v>
      </c>
      <c r="C5018" s="2">
        <v>249491</v>
      </c>
      <c r="D5018" s="2" t="s">
        <v>3</v>
      </c>
      <c r="E5018" s="2">
        <v>242047</v>
      </c>
      <c r="F5018" s="2" t="s">
        <v>3</v>
      </c>
      <c r="G5018" s="2" t="s">
        <v>3</v>
      </c>
      <c r="H5018" s="2">
        <v>7444</v>
      </c>
      <c r="I5018" s="2">
        <v>1408</v>
      </c>
    </row>
    <row r="5019" spans="1:9" hidden="1" x14ac:dyDescent="0.3">
      <c r="A5019" t="s">
        <v>74</v>
      </c>
      <c r="B5019" s="1">
        <v>44501</v>
      </c>
      <c r="C5019" s="2">
        <v>247191</v>
      </c>
      <c r="D5019" s="2" t="s">
        <v>3</v>
      </c>
      <c r="E5019" s="2">
        <v>241155</v>
      </c>
      <c r="F5019" s="2" t="s">
        <v>3</v>
      </c>
      <c r="G5019" s="2" t="s">
        <v>3</v>
      </c>
      <c r="H5019" s="2">
        <v>6036</v>
      </c>
      <c r="I5019" s="2">
        <v>811</v>
      </c>
    </row>
    <row r="5020" spans="1:9" hidden="1" x14ac:dyDescent="0.3">
      <c r="A5020" t="s">
        <v>74</v>
      </c>
      <c r="B5020" s="1">
        <v>44470</v>
      </c>
      <c r="C5020" s="2">
        <v>242357</v>
      </c>
      <c r="D5020" s="2" t="s">
        <v>3</v>
      </c>
      <c r="E5020" s="2">
        <v>237132</v>
      </c>
      <c r="F5020" s="2" t="s">
        <v>3</v>
      </c>
      <c r="G5020" s="2" t="s">
        <v>3</v>
      </c>
      <c r="H5020" s="2">
        <v>5225</v>
      </c>
      <c r="I5020" s="2">
        <v>763</v>
      </c>
    </row>
    <row r="5021" spans="1:9" hidden="1" x14ac:dyDescent="0.3">
      <c r="A5021" t="s">
        <v>74</v>
      </c>
      <c r="B5021" s="1">
        <v>44440</v>
      </c>
      <c r="C5021" s="2">
        <v>239405</v>
      </c>
      <c r="D5021" s="2" t="s">
        <v>3</v>
      </c>
      <c r="E5021" s="2">
        <v>234943</v>
      </c>
      <c r="F5021" s="2" t="s">
        <v>3</v>
      </c>
      <c r="G5021" s="2" t="s">
        <v>3</v>
      </c>
      <c r="H5021" s="2">
        <v>4462</v>
      </c>
      <c r="I5021" s="2">
        <v>350</v>
      </c>
    </row>
    <row r="5022" spans="1:9" hidden="1" x14ac:dyDescent="0.3">
      <c r="A5022" t="s">
        <v>74</v>
      </c>
      <c r="B5022" s="1">
        <v>44409</v>
      </c>
      <c r="C5022" s="2">
        <v>237194</v>
      </c>
      <c r="D5022" s="2" t="s">
        <v>3</v>
      </c>
      <c r="E5022" s="2">
        <v>233082</v>
      </c>
      <c r="F5022" s="2" t="s">
        <v>3</v>
      </c>
      <c r="G5022" s="2" t="s">
        <v>3</v>
      </c>
      <c r="H5022" s="2">
        <v>4112</v>
      </c>
      <c r="I5022" s="2">
        <v>-709</v>
      </c>
    </row>
    <row r="5023" spans="1:9" hidden="1" x14ac:dyDescent="0.3">
      <c r="A5023" t="s">
        <v>74</v>
      </c>
      <c r="B5023" s="1">
        <v>44378</v>
      </c>
      <c r="C5023" s="2">
        <v>242218</v>
      </c>
      <c r="D5023" s="2" t="s">
        <v>3</v>
      </c>
      <c r="E5023" s="2">
        <v>237397</v>
      </c>
      <c r="F5023" s="2" t="s">
        <v>3</v>
      </c>
      <c r="G5023" s="2" t="s">
        <v>3</v>
      </c>
      <c r="H5023" s="2">
        <v>4821</v>
      </c>
      <c r="I5023" s="2">
        <v>-279</v>
      </c>
    </row>
    <row r="5024" spans="1:9" hidden="1" x14ac:dyDescent="0.3">
      <c r="A5024" t="s">
        <v>74</v>
      </c>
      <c r="B5024" s="1">
        <v>44348</v>
      </c>
      <c r="C5024" s="2">
        <v>239338</v>
      </c>
      <c r="D5024" s="2" t="s">
        <v>3</v>
      </c>
      <c r="E5024" s="2">
        <v>234238</v>
      </c>
      <c r="F5024" s="2" t="s">
        <v>3</v>
      </c>
      <c r="G5024" s="2" t="s">
        <v>3</v>
      </c>
      <c r="H5024" s="2">
        <v>5100</v>
      </c>
      <c r="I5024" s="2">
        <v>216</v>
      </c>
    </row>
    <row r="5025" spans="1:9" hidden="1" x14ac:dyDescent="0.3">
      <c r="A5025" t="s">
        <v>74</v>
      </c>
      <c r="B5025" s="1">
        <v>44317</v>
      </c>
      <c r="C5025" s="2">
        <v>236292</v>
      </c>
      <c r="D5025" s="2" t="s">
        <v>3</v>
      </c>
      <c r="E5025" s="2">
        <v>231408</v>
      </c>
      <c r="F5025" s="2" t="s">
        <v>3</v>
      </c>
      <c r="G5025" s="2" t="s">
        <v>3</v>
      </c>
      <c r="H5025" s="2">
        <v>4884</v>
      </c>
      <c r="I5025" s="2">
        <v>-451</v>
      </c>
    </row>
    <row r="5026" spans="1:9" hidden="1" x14ac:dyDescent="0.3">
      <c r="A5026" t="s">
        <v>74</v>
      </c>
      <c r="B5026" s="1">
        <v>44287</v>
      </c>
      <c r="C5026" s="2">
        <v>233984</v>
      </c>
      <c r="D5026" s="2" t="s">
        <v>3</v>
      </c>
      <c r="E5026" s="2">
        <v>228649</v>
      </c>
      <c r="F5026" s="2" t="s">
        <v>3</v>
      </c>
      <c r="G5026" s="2" t="s">
        <v>3</v>
      </c>
      <c r="H5026" s="2">
        <v>5335</v>
      </c>
      <c r="I5026" s="2">
        <v>-401</v>
      </c>
    </row>
    <row r="5027" spans="1:9" hidden="1" x14ac:dyDescent="0.3">
      <c r="A5027" t="s">
        <v>74</v>
      </c>
      <c r="B5027" s="1">
        <v>44256</v>
      </c>
      <c r="C5027" s="2">
        <v>231515</v>
      </c>
      <c r="D5027" s="2" t="s">
        <v>3</v>
      </c>
      <c r="E5027" s="2">
        <v>225779</v>
      </c>
      <c r="F5027" s="2" t="s">
        <v>3</v>
      </c>
      <c r="G5027" s="2" t="s">
        <v>3</v>
      </c>
      <c r="H5027" s="2">
        <v>5736</v>
      </c>
      <c r="I5027" s="2">
        <v>276</v>
      </c>
    </row>
    <row r="5028" spans="1:9" hidden="1" x14ac:dyDescent="0.3">
      <c r="A5028" t="s">
        <v>74</v>
      </c>
      <c r="B5028" s="1">
        <v>44228</v>
      </c>
      <c r="C5028" s="2">
        <v>234470</v>
      </c>
      <c r="D5028" s="2" t="s">
        <v>3</v>
      </c>
      <c r="E5028" s="2">
        <v>229010</v>
      </c>
      <c r="F5028" s="2" t="s">
        <v>3</v>
      </c>
      <c r="G5028" s="2" t="s">
        <v>3</v>
      </c>
      <c r="H5028" s="2">
        <v>5460</v>
      </c>
      <c r="I5028" s="2">
        <v>-111</v>
      </c>
    </row>
    <row r="5029" spans="1:9" hidden="1" x14ac:dyDescent="0.3">
      <c r="A5029" t="s">
        <v>74</v>
      </c>
      <c r="B5029" s="1">
        <v>44197</v>
      </c>
      <c r="C5029" s="2">
        <v>239645</v>
      </c>
      <c r="D5029" s="2" t="s">
        <v>3</v>
      </c>
      <c r="E5029" s="2">
        <v>234074</v>
      </c>
      <c r="F5029" s="2" t="s">
        <v>3</v>
      </c>
      <c r="G5029" s="2" t="s">
        <v>3</v>
      </c>
      <c r="H5029" s="2">
        <v>5571</v>
      </c>
      <c r="I5029" s="2">
        <v>31</v>
      </c>
    </row>
    <row r="5030" spans="1:9" hidden="1" x14ac:dyDescent="0.3">
      <c r="A5030" t="s">
        <v>74</v>
      </c>
      <c r="B5030" s="1">
        <v>44166</v>
      </c>
      <c r="C5030" s="2">
        <v>235421</v>
      </c>
      <c r="D5030" s="2" t="s">
        <v>3</v>
      </c>
      <c r="E5030" s="2">
        <v>229881</v>
      </c>
      <c r="F5030" s="2" t="s">
        <v>3</v>
      </c>
      <c r="G5030" s="2" t="s">
        <v>3</v>
      </c>
      <c r="H5030" s="2">
        <v>5540</v>
      </c>
      <c r="I5030" s="2">
        <v>-158</v>
      </c>
    </row>
    <row r="5031" spans="1:9" hidden="1" x14ac:dyDescent="0.3">
      <c r="A5031" t="s">
        <v>74</v>
      </c>
      <c r="B5031" s="1">
        <v>44136</v>
      </c>
      <c r="C5031" s="2">
        <v>222321</v>
      </c>
      <c r="D5031" s="2" t="s">
        <v>3</v>
      </c>
      <c r="E5031" s="2">
        <v>216623</v>
      </c>
      <c r="F5031" s="2" t="s">
        <v>3</v>
      </c>
      <c r="G5031" s="2" t="s">
        <v>3</v>
      </c>
      <c r="H5031" s="2">
        <v>5698</v>
      </c>
      <c r="I5031" s="2">
        <v>775</v>
      </c>
    </row>
    <row r="5032" spans="1:9" hidden="1" x14ac:dyDescent="0.3">
      <c r="A5032" t="s">
        <v>74</v>
      </c>
      <c r="B5032" s="1">
        <v>44105</v>
      </c>
      <c r="C5032" s="2">
        <v>218160</v>
      </c>
      <c r="D5032" s="2" t="s">
        <v>3</v>
      </c>
      <c r="E5032" s="2">
        <v>213237</v>
      </c>
      <c r="F5032" s="2" t="s">
        <v>3</v>
      </c>
      <c r="G5032" s="2" t="s">
        <v>3</v>
      </c>
      <c r="H5032" s="2">
        <v>4923</v>
      </c>
      <c r="I5032" s="2">
        <v>355</v>
      </c>
    </row>
    <row r="5033" spans="1:9" hidden="1" x14ac:dyDescent="0.3">
      <c r="A5033" t="s">
        <v>74</v>
      </c>
      <c r="B5033" s="1">
        <v>44075</v>
      </c>
      <c r="C5033" s="2">
        <v>213503</v>
      </c>
      <c r="D5033" s="2" t="s">
        <v>3</v>
      </c>
      <c r="E5033" s="2">
        <v>208935</v>
      </c>
      <c r="F5033" s="2" t="s">
        <v>3</v>
      </c>
      <c r="G5033" s="2" t="s">
        <v>3</v>
      </c>
      <c r="H5033" s="2">
        <v>4568</v>
      </c>
      <c r="I5033" s="2">
        <v>-9</v>
      </c>
    </row>
    <row r="5034" spans="1:9" hidden="1" x14ac:dyDescent="0.3">
      <c r="A5034" t="s">
        <v>74</v>
      </c>
      <c r="B5034" s="1">
        <v>44044</v>
      </c>
      <c r="C5034" s="2">
        <v>211979</v>
      </c>
      <c r="D5034" s="2" t="s">
        <v>3</v>
      </c>
      <c r="E5034" s="2">
        <v>207402</v>
      </c>
      <c r="F5034" s="2" t="s">
        <v>3</v>
      </c>
      <c r="G5034" s="2" t="s">
        <v>3</v>
      </c>
      <c r="H5034" s="2">
        <v>4577</v>
      </c>
      <c r="I5034" s="2">
        <v>227</v>
      </c>
    </row>
    <row r="5035" spans="1:9" hidden="1" x14ac:dyDescent="0.3">
      <c r="A5035" t="s">
        <v>74</v>
      </c>
      <c r="B5035" s="1">
        <v>44013</v>
      </c>
      <c r="C5035" s="2">
        <v>209718</v>
      </c>
      <c r="D5035" s="2" t="s">
        <v>3</v>
      </c>
      <c r="E5035" s="2">
        <v>205368</v>
      </c>
      <c r="F5035" s="2" t="s">
        <v>3</v>
      </c>
      <c r="G5035" s="2" t="s">
        <v>3</v>
      </c>
      <c r="H5035" s="2">
        <v>4350</v>
      </c>
      <c r="I5035" s="2">
        <v>-322</v>
      </c>
    </row>
    <row r="5036" spans="1:9" hidden="1" x14ac:dyDescent="0.3">
      <c r="A5036" t="s">
        <v>74</v>
      </c>
      <c r="B5036" s="1">
        <v>43983</v>
      </c>
      <c r="C5036" s="2">
        <v>204587</v>
      </c>
      <c r="D5036" s="2" t="s">
        <v>3</v>
      </c>
      <c r="E5036" s="2">
        <v>199915</v>
      </c>
      <c r="F5036" s="2" t="s">
        <v>3</v>
      </c>
      <c r="G5036" s="2" t="s">
        <v>3</v>
      </c>
      <c r="H5036" s="2">
        <v>4672</v>
      </c>
      <c r="I5036" s="2">
        <v>552</v>
      </c>
    </row>
    <row r="5037" spans="1:9" hidden="1" x14ac:dyDescent="0.3">
      <c r="A5037" t="s">
        <v>74</v>
      </c>
      <c r="B5037" s="1">
        <v>43952</v>
      </c>
      <c r="C5037" s="2">
        <v>199241</v>
      </c>
      <c r="D5037" s="2" t="s">
        <v>3</v>
      </c>
      <c r="E5037" s="2">
        <v>195121</v>
      </c>
      <c r="F5037" s="2" t="s">
        <v>3</v>
      </c>
      <c r="G5037" s="2" t="s">
        <v>3</v>
      </c>
      <c r="H5037" s="2">
        <v>4120</v>
      </c>
      <c r="I5037" s="2">
        <v>353</v>
      </c>
    </row>
    <row r="5038" spans="1:9" hidden="1" x14ac:dyDescent="0.3">
      <c r="A5038" t="s">
        <v>74</v>
      </c>
      <c r="B5038" s="1">
        <v>43922</v>
      </c>
      <c r="C5038" s="2">
        <v>201667</v>
      </c>
      <c r="D5038" s="2" t="s">
        <v>3</v>
      </c>
      <c r="E5038" s="2">
        <v>197900</v>
      </c>
      <c r="F5038" s="2" t="s">
        <v>3</v>
      </c>
      <c r="G5038" s="2" t="s">
        <v>3</v>
      </c>
      <c r="H5038" s="2">
        <v>3767</v>
      </c>
      <c r="I5038" s="2">
        <v>-43</v>
      </c>
    </row>
    <row r="5039" spans="1:9" hidden="1" x14ac:dyDescent="0.3">
      <c r="A5039" t="s">
        <v>74</v>
      </c>
      <c r="B5039" s="1">
        <v>43891</v>
      </c>
      <c r="C5039" s="2">
        <v>204987</v>
      </c>
      <c r="D5039" s="2" t="s">
        <v>3</v>
      </c>
      <c r="E5039" s="2">
        <v>201177</v>
      </c>
      <c r="F5039" s="2" t="s">
        <v>3</v>
      </c>
      <c r="G5039" s="2" t="s">
        <v>3</v>
      </c>
      <c r="H5039" s="2">
        <v>3810</v>
      </c>
      <c r="I5039" s="2">
        <v>93</v>
      </c>
    </row>
    <row r="5040" spans="1:9" hidden="1" x14ac:dyDescent="0.3">
      <c r="A5040" t="s">
        <v>74</v>
      </c>
      <c r="B5040" s="1">
        <v>43862</v>
      </c>
      <c r="C5040" s="2">
        <v>201875</v>
      </c>
      <c r="D5040" s="2" t="s">
        <v>3</v>
      </c>
      <c r="E5040" s="2">
        <v>198158</v>
      </c>
      <c r="F5040" s="2" t="s">
        <v>3</v>
      </c>
      <c r="G5040" s="2" t="s">
        <v>3</v>
      </c>
      <c r="H5040" s="2">
        <v>3717</v>
      </c>
      <c r="I5040" s="2">
        <v>-18</v>
      </c>
    </row>
    <row r="5041" spans="1:9" hidden="1" x14ac:dyDescent="0.3">
      <c r="A5041" t="s">
        <v>74</v>
      </c>
      <c r="B5041" s="1">
        <v>43831</v>
      </c>
      <c r="C5041" s="2">
        <v>199229</v>
      </c>
      <c r="D5041" s="2" t="s">
        <v>3</v>
      </c>
      <c r="E5041" s="2">
        <v>195494</v>
      </c>
      <c r="F5041" s="2" t="s">
        <v>3</v>
      </c>
      <c r="G5041" s="2" t="s">
        <v>3</v>
      </c>
      <c r="H5041" s="2">
        <v>3735</v>
      </c>
      <c r="I5041" s="2">
        <v>1676</v>
      </c>
    </row>
    <row r="5042" spans="1:9" x14ac:dyDescent="0.3">
      <c r="A5042" t="s">
        <v>75</v>
      </c>
      <c r="B5042" s="1">
        <v>45931</v>
      </c>
      <c r="C5042" s="2">
        <v>85652</v>
      </c>
      <c r="D5042" s="2">
        <v>-4792</v>
      </c>
      <c r="E5042" s="2">
        <v>66003</v>
      </c>
      <c r="F5042" s="2">
        <v>421</v>
      </c>
      <c r="G5042" s="2">
        <v>59</v>
      </c>
      <c r="H5042" s="2">
        <v>19649</v>
      </c>
      <c r="I5042" s="2">
        <v>-5213</v>
      </c>
    </row>
    <row r="5043" spans="1:9" x14ac:dyDescent="0.3">
      <c r="A5043" t="s">
        <v>75</v>
      </c>
      <c r="B5043" s="1">
        <v>45901</v>
      </c>
      <c r="C5043" s="2">
        <v>90385</v>
      </c>
      <c r="D5043" s="2">
        <v>2256</v>
      </c>
      <c r="E5043" s="2">
        <v>65523</v>
      </c>
      <c r="F5043" s="2">
        <v>2554</v>
      </c>
      <c r="G5043" s="2">
        <v>-52</v>
      </c>
      <c r="H5043" s="2">
        <v>24862</v>
      </c>
      <c r="I5043" s="2">
        <v>-298</v>
      </c>
    </row>
    <row r="5044" spans="1:9" x14ac:dyDescent="0.3">
      <c r="A5044" t="s">
        <v>75</v>
      </c>
      <c r="B5044" s="1">
        <v>45870</v>
      </c>
      <c r="C5044" s="2">
        <v>88177</v>
      </c>
      <c r="D5044" s="2">
        <v>-197</v>
      </c>
      <c r="E5044" s="2">
        <v>63017</v>
      </c>
      <c r="F5044" s="2">
        <v>471</v>
      </c>
      <c r="G5044" s="2">
        <v>574</v>
      </c>
      <c r="H5044" s="2">
        <v>25160</v>
      </c>
      <c r="I5044" s="2">
        <v>-668</v>
      </c>
    </row>
    <row r="5045" spans="1:9" x14ac:dyDescent="0.3">
      <c r="A5045" t="s">
        <v>75</v>
      </c>
      <c r="B5045" s="1">
        <v>45839</v>
      </c>
      <c r="C5045" s="2">
        <v>87803</v>
      </c>
      <c r="D5045" s="2">
        <v>4755</v>
      </c>
      <c r="E5045" s="2">
        <v>61975</v>
      </c>
      <c r="F5045" s="2">
        <v>877</v>
      </c>
      <c r="G5045" s="2">
        <v>-308</v>
      </c>
      <c r="H5045" s="2">
        <v>25828</v>
      </c>
      <c r="I5045" s="2">
        <v>3878</v>
      </c>
    </row>
    <row r="5046" spans="1:9" x14ac:dyDescent="0.3">
      <c r="A5046" t="s">
        <v>75</v>
      </c>
      <c r="B5046" s="1">
        <v>45809</v>
      </c>
      <c r="C5046" s="2">
        <v>83353</v>
      </c>
      <c r="D5046" s="2">
        <v>6639</v>
      </c>
      <c r="E5046" s="2">
        <v>61403</v>
      </c>
      <c r="F5046" s="2">
        <v>3106</v>
      </c>
      <c r="G5046" s="2">
        <v>335</v>
      </c>
      <c r="H5046" s="2">
        <v>21950</v>
      </c>
      <c r="I5046" s="2">
        <v>3533</v>
      </c>
    </row>
    <row r="5047" spans="1:9" x14ac:dyDescent="0.3">
      <c r="A5047" t="s">
        <v>75</v>
      </c>
      <c r="B5047" s="1">
        <v>45778</v>
      </c>
      <c r="C5047" s="2">
        <v>76380</v>
      </c>
      <c r="D5047" s="2">
        <v>-1359</v>
      </c>
      <c r="E5047" s="2">
        <v>57963</v>
      </c>
      <c r="F5047" s="2">
        <v>-34</v>
      </c>
      <c r="G5047" s="2">
        <v>-548</v>
      </c>
      <c r="H5047" s="2">
        <v>18417</v>
      </c>
      <c r="I5047" s="2">
        <v>-1325</v>
      </c>
    </row>
    <row r="5048" spans="1:9" x14ac:dyDescent="0.3">
      <c r="A5048" t="s">
        <v>75</v>
      </c>
      <c r="B5048" s="1">
        <v>45748</v>
      </c>
      <c r="C5048" s="2">
        <v>78287</v>
      </c>
      <c r="D5048" s="2">
        <v>55</v>
      </c>
      <c r="E5048" s="2">
        <v>58545</v>
      </c>
      <c r="F5048" s="2">
        <v>-413</v>
      </c>
      <c r="G5048" s="2">
        <v>382</v>
      </c>
      <c r="H5048" s="2">
        <v>19742</v>
      </c>
      <c r="I5048" s="2">
        <v>468</v>
      </c>
    </row>
    <row r="5049" spans="1:9" x14ac:dyDescent="0.3">
      <c r="A5049" t="s">
        <v>75</v>
      </c>
      <c r="B5049" s="1">
        <v>45717</v>
      </c>
      <c r="C5049" s="2">
        <v>77854</v>
      </c>
      <c r="D5049" s="2">
        <v>-1835</v>
      </c>
      <c r="E5049" s="2">
        <v>58580</v>
      </c>
      <c r="F5049" s="2">
        <v>4438</v>
      </c>
      <c r="G5049" s="2">
        <v>110</v>
      </c>
      <c r="H5049" s="2">
        <v>19274</v>
      </c>
      <c r="I5049" s="2">
        <v>-6273</v>
      </c>
    </row>
    <row r="5050" spans="1:9" x14ac:dyDescent="0.3">
      <c r="A5050" t="s">
        <v>75</v>
      </c>
      <c r="B5050" s="1">
        <v>45689</v>
      </c>
      <c r="C5050" s="2">
        <v>79579</v>
      </c>
      <c r="D5050" s="2">
        <v>2793</v>
      </c>
      <c r="E5050" s="2">
        <v>54032</v>
      </c>
      <c r="F5050" s="2">
        <v>-59</v>
      </c>
      <c r="G5050" s="2">
        <v>634</v>
      </c>
      <c r="H5050" s="2">
        <v>25547</v>
      </c>
      <c r="I5050" s="2">
        <v>2852</v>
      </c>
    </row>
    <row r="5051" spans="1:9" x14ac:dyDescent="0.3">
      <c r="A5051" t="s">
        <v>75</v>
      </c>
      <c r="B5051" s="1">
        <v>45658</v>
      </c>
      <c r="C5051" s="2">
        <v>76164</v>
      </c>
      <c r="D5051" s="2">
        <v>6030</v>
      </c>
      <c r="E5051" s="2">
        <v>53469</v>
      </c>
      <c r="F5051" s="2">
        <v>489</v>
      </c>
      <c r="G5051" s="2">
        <v>148</v>
      </c>
      <c r="H5051" s="2">
        <v>22695</v>
      </c>
      <c r="I5051" s="2">
        <v>5541</v>
      </c>
    </row>
    <row r="5052" spans="1:9" x14ac:dyDescent="0.3">
      <c r="A5052" t="s">
        <v>75</v>
      </c>
      <c r="B5052" s="1">
        <v>45627</v>
      </c>
      <c r="C5052" s="2">
        <v>69992</v>
      </c>
      <c r="D5052" s="2">
        <v>-1286</v>
      </c>
      <c r="E5052" s="2">
        <v>52838</v>
      </c>
      <c r="F5052" s="2">
        <v>-530</v>
      </c>
      <c r="G5052" s="2">
        <v>-472</v>
      </c>
      <c r="H5052" s="2">
        <v>17154</v>
      </c>
      <c r="I5052" s="2">
        <v>-756</v>
      </c>
    </row>
    <row r="5053" spans="1:9" x14ac:dyDescent="0.3">
      <c r="A5053" t="s">
        <v>75</v>
      </c>
      <c r="B5053" s="1">
        <v>45597</v>
      </c>
      <c r="C5053" s="2">
        <v>71750</v>
      </c>
      <c r="D5053" s="2">
        <v>348</v>
      </c>
      <c r="E5053" s="2">
        <v>53840</v>
      </c>
      <c r="F5053" s="2">
        <v>-21</v>
      </c>
      <c r="G5053" s="2">
        <v>163</v>
      </c>
      <c r="H5053" s="2">
        <v>17910</v>
      </c>
      <c r="I5053" s="2">
        <v>369</v>
      </c>
    </row>
    <row r="5054" spans="1:9" x14ac:dyDescent="0.3">
      <c r="A5054" t="s">
        <v>75</v>
      </c>
      <c r="B5054" s="1">
        <v>45566</v>
      </c>
      <c r="C5054" s="2">
        <v>71239</v>
      </c>
      <c r="D5054" s="2">
        <v>-4132</v>
      </c>
      <c r="E5054" s="2">
        <v>53698</v>
      </c>
      <c r="F5054" s="2">
        <v>2716</v>
      </c>
      <c r="G5054" s="2">
        <v>-1060</v>
      </c>
      <c r="H5054" s="2">
        <v>17541</v>
      </c>
      <c r="I5054" s="2">
        <v>-6848</v>
      </c>
    </row>
    <row r="5055" spans="1:9" x14ac:dyDescent="0.3">
      <c r="A5055" t="s">
        <v>75</v>
      </c>
      <c r="B5055" s="1">
        <v>45536</v>
      </c>
      <c r="C5055" s="2">
        <v>76443</v>
      </c>
      <c r="D5055" s="2">
        <v>932</v>
      </c>
      <c r="E5055" s="2">
        <v>52054</v>
      </c>
      <c r="F5055" s="2">
        <v>4986</v>
      </c>
      <c r="G5055" s="2">
        <v>288</v>
      </c>
      <c r="H5055" s="2">
        <v>24389</v>
      </c>
      <c r="I5055" s="2">
        <v>-4054</v>
      </c>
    </row>
    <row r="5056" spans="1:9" x14ac:dyDescent="0.3">
      <c r="A5056" t="s">
        <v>75</v>
      </c>
      <c r="B5056" s="1">
        <v>45505</v>
      </c>
      <c r="C5056" s="2">
        <v>75223</v>
      </c>
      <c r="D5056" s="2">
        <v>2161</v>
      </c>
      <c r="E5056" s="2">
        <v>46780</v>
      </c>
      <c r="F5056" s="2">
        <v>288</v>
      </c>
      <c r="G5056" s="2">
        <v>375</v>
      </c>
      <c r="H5056" s="2">
        <v>28443</v>
      </c>
      <c r="I5056" s="2">
        <v>1873</v>
      </c>
    </row>
    <row r="5057" spans="1:9" x14ac:dyDescent="0.3">
      <c r="A5057" t="s">
        <v>75</v>
      </c>
      <c r="B5057" s="1">
        <v>45474</v>
      </c>
      <c r="C5057" s="2">
        <v>72685</v>
      </c>
      <c r="D5057" s="2">
        <v>-3837</v>
      </c>
      <c r="E5057" s="2">
        <v>46115</v>
      </c>
      <c r="F5057" s="2">
        <v>-245</v>
      </c>
      <c r="G5057" s="2">
        <v>738</v>
      </c>
      <c r="H5057" s="2">
        <v>26570</v>
      </c>
      <c r="I5057" s="2">
        <v>-3592</v>
      </c>
    </row>
    <row r="5058" spans="1:9" x14ac:dyDescent="0.3">
      <c r="A5058" t="s">
        <v>75</v>
      </c>
      <c r="B5058" s="1">
        <v>45444</v>
      </c>
      <c r="C5058" s="2">
        <v>75805</v>
      </c>
      <c r="D5058" s="2">
        <v>3981</v>
      </c>
      <c r="E5058" s="2">
        <v>45643</v>
      </c>
      <c r="F5058" s="2">
        <v>2320</v>
      </c>
      <c r="G5058" s="2">
        <v>250</v>
      </c>
      <c r="H5058" s="2">
        <v>30162</v>
      </c>
      <c r="I5058" s="2">
        <v>1661</v>
      </c>
    </row>
    <row r="5059" spans="1:9" x14ac:dyDescent="0.3">
      <c r="A5059" t="s">
        <v>75</v>
      </c>
      <c r="B5059" s="1">
        <v>45413</v>
      </c>
      <c r="C5059" s="2">
        <v>71574</v>
      </c>
      <c r="D5059" s="2">
        <v>4336</v>
      </c>
      <c r="E5059" s="2">
        <v>43073</v>
      </c>
      <c r="F5059" s="2">
        <v>43</v>
      </c>
      <c r="G5059" s="2">
        <v>246</v>
      </c>
      <c r="H5059" s="2">
        <v>28501</v>
      </c>
      <c r="I5059" s="2">
        <v>4293</v>
      </c>
    </row>
    <row r="5060" spans="1:9" x14ac:dyDescent="0.3">
      <c r="A5060" t="s">
        <v>75</v>
      </c>
      <c r="B5060" s="1">
        <v>45383</v>
      </c>
      <c r="C5060" s="2">
        <v>66968</v>
      </c>
      <c r="D5060" s="2">
        <v>2683</v>
      </c>
      <c r="E5060" s="2">
        <v>42760</v>
      </c>
      <c r="F5060" s="2">
        <v>-491</v>
      </c>
      <c r="G5060" s="2">
        <v>-613</v>
      </c>
      <c r="H5060" s="2">
        <v>24208</v>
      </c>
      <c r="I5060" s="2">
        <v>3174</v>
      </c>
    </row>
    <row r="5061" spans="1:9" x14ac:dyDescent="0.3">
      <c r="A5061" t="s">
        <v>75</v>
      </c>
      <c r="B5061" s="1">
        <v>45352</v>
      </c>
      <c r="C5061" s="2">
        <v>64924</v>
      </c>
      <c r="D5061" s="2">
        <v>1218</v>
      </c>
      <c r="E5061" s="2">
        <v>43890</v>
      </c>
      <c r="F5061" s="2">
        <v>3114</v>
      </c>
      <c r="G5061" s="2">
        <v>846</v>
      </c>
      <c r="H5061" s="2">
        <v>21034</v>
      </c>
      <c r="I5061" s="2">
        <v>-1896</v>
      </c>
    </row>
    <row r="5062" spans="1:9" x14ac:dyDescent="0.3">
      <c r="A5062" t="s">
        <v>75</v>
      </c>
      <c r="B5062" s="1">
        <v>45323</v>
      </c>
      <c r="C5062" s="2">
        <v>62814</v>
      </c>
      <c r="D5062" s="2">
        <v>1653</v>
      </c>
      <c r="E5062" s="2">
        <v>39884</v>
      </c>
      <c r="F5062" s="2">
        <v>246</v>
      </c>
      <c r="G5062" s="2">
        <v>-656</v>
      </c>
      <c r="H5062" s="2">
        <v>22930</v>
      </c>
      <c r="I5062" s="2">
        <v>1407</v>
      </c>
    </row>
    <row r="5063" spans="1:9" x14ac:dyDescent="0.3">
      <c r="A5063" t="s">
        <v>75</v>
      </c>
      <c r="B5063" s="1">
        <v>45292</v>
      </c>
      <c r="C5063" s="2">
        <v>61829</v>
      </c>
      <c r="D5063" s="2">
        <v>-369</v>
      </c>
      <c r="E5063" s="2">
        <v>40306</v>
      </c>
      <c r="F5063" s="2">
        <v>-1372</v>
      </c>
      <c r="G5063" s="2">
        <v>-72</v>
      </c>
      <c r="H5063" s="2">
        <v>21523</v>
      </c>
      <c r="I5063" s="2">
        <v>1003</v>
      </c>
    </row>
    <row r="5064" spans="1:9" x14ac:dyDescent="0.3">
      <c r="A5064" t="s">
        <v>75</v>
      </c>
      <c r="B5064" s="1">
        <v>45261</v>
      </c>
      <c r="C5064" s="2">
        <v>62307</v>
      </c>
      <c r="D5064" s="2">
        <v>-884</v>
      </c>
      <c r="E5064" s="2">
        <v>41787</v>
      </c>
      <c r="F5064" s="2">
        <v>-872</v>
      </c>
      <c r="G5064" s="2">
        <v>917</v>
      </c>
      <c r="H5064" s="2">
        <v>20520</v>
      </c>
      <c r="I5064" s="2">
        <v>-12</v>
      </c>
    </row>
    <row r="5065" spans="1:9" x14ac:dyDescent="0.3">
      <c r="A5065" t="s">
        <v>75</v>
      </c>
      <c r="B5065" s="1">
        <v>45231</v>
      </c>
      <c r="C5065" s="2">
        <v>62232</v>
      </c>
      <c r="D5065" s="2">
        <v>1605</v>
      </c>
      <c r="E5065" s="2">
        <v>41700</v>
      </c>
      <c r="F5065" s="2">
        <v>-917</v>
      </c>
      <c r="G5065" s="2">
        <v>1100</v>
      </c>
      <c r="H5065" s="2">
        <v>20532</v>
      </c>
      <c r="I5065" s="2">
        <v>2522</v>
      </c>
    </row>
    <row r="5066" spans="1:9" x14ac:dyDescent="0.3">
      <c r="A5066" t="s">
        <v>75</v>
      </c>
      <c r="B5066" s="1">
        <v>45200</v>
      </c>
      <c r="C5066" s="2">
        <v>59626</v>
      </c>
      <c r="D5066" s="2">
        <v>103</v>
      </c>
      <c r="E5066" s="2">
        <v>41616</v>
      </c>
      <c r="F5066" s="2">
        <v>-280</v>
      </c>
      <c r="G5066" s="2">
        <v>-412</v>
      </c>
      <c r="H5066" s="2">
        <v>18010</v>
      </c>
      <c r="I5066" s="2">
        <v>383</v>
      </c>
    </row>
    <row r="5067" spans="1:9" x14ac:dyDescent="0.3">
      <c r="A5067" t="s">
        <v>75</v>
      </c>
      <c r="B5067" s="1">
        <v>45170</v>
      </c>
      <c r="C5067" s="2">
        <v>59936</v>
      </c>
      <c r="D5067" s="2">
        <v>1181</v>
      </c>
      <c r="E5067" s="2">
        <v>42309</v>
      </c>
      <c r="F5067" s="2">
        <v>-1340</v>
      </c>
      <c r="G5067" s="2">
        <v>-606</v>
      </c>
      <c r="H5067" s="2">
        <v>17627</v>
      </c>
      <c r="I5067" s="2">
        <v>2521</v>
      </c>
    </row>
    <row r="5068" spans="1:9" x14ac:dyDescent="0.3">
      <c r="A5068" t="s">
        <v>75</v>
      </c>
      <c r="B5068" s="1">
        <v>45139</v>
      </c>
      <c r="C5068" s="2">
        <v>59392</v>
      </c>
      <c r="D5068" s="2">
        <v>-1833</v>
      </c>
      <c r="E5068" s="2">
        <v>44286</v>
      </c>
      <c r="F5068" s="2">
        <v>-1211</v>
      </c>
      <c r="G5068" s="2">
        <v>-246</v>
      </c>
      <c r="H5068" s="2">
        <v>15106</v>
      </c>
      <c r="I5068" s="2">
        <v>-622</v>
      </c>
    </row>
    <row r="5069" spans="1:9" x14ac:dyDescent="0.3">
      <c r="A5069" t="s">
        <v>75</v>
      </c>
      <c r="B5069" s="1">
        <v>45108</v>
      </c>
      <c r="C5069" s="2">
        <v>61473</v>
      </c>
      <c r="D5069" s="2">
        <v>-1202</v>
      </c>
      <c r="E5069" s="2">
        <v>45745</v>
      </c>
      <c r="F5069" s="2">
        <v>-505</v>
      </c>
      <c r="G5069" s="2">
        <v>-192</v>
      </c>
      <c r="H5069" s="2">
        <v>15728</v>
      </c>
      <c r="I5069" s="2">
        <v>-697</v>
      </c>
    </row>
    <row r="5070" spans="1:9" x14ac:dyDescent="0.3">
      <c r="A5070" t="s">
        <v>75</v>
      </c>
      <c r="B5070" s="1">
        <v>45078</v>
      </c>
      <c r="C5070" s="2">
        <v>62813</v>
      </c>
      <c r="D5070" s="2">
        <v>-790</v>
      </c>
      <c r="E5070" s="2">
        <v>46388</v>
      </c>
      <c r="F5070" s="2">
        <v>743</v>
      </c>
      <c r="G5070" s="2">
        <v>-378</v>
      </c>
      <c r="H5070" s="2">
        <v>16425</v>
      </c>
      <c r="I5070" s="2">
        <v>-1533</v>
      </c>
    </row>
    <row r="5071" spans="1:9" x14ac:dyDescent="0.3">
      <c r="A5071" t="s">
        <v>75</v>
      </c>
      <c r="B5071" s="1">
        <v>45047</v>
      </c>
      <c r="C5071" s="2">
        <v>63982</v>
      </c>
      <c r="D5071" s="2">
        <v>-560</v>
      </c>
      <c r="E5071" s="2">
        <v>46024</v>
      </c>
      <c r="F5071" s="2">
        <v>641</v>
      </c>
      <c r="G5071" s="2">
        <v>-568</v>
      </c>
      <c r="H5071" s="2">
        <v>17958</v>
      </c>
      <c r="I5071" s="2">
        <v>-1201</v>
      </c>
    </row>
    <row r="5072" spans="1:9" x14ac:dyDescent="0.3">
      <c r="A5072" t="s">
        <v>75</v>
      </c>
      <c r="B5072" s="1">
        <v>45017</v>
      </c>
      <c r="C5072" s="2">
        <v>65117</v>
      </c>
      <c r="D5072" s="2">
        <v>765</v>
      </c>
      <c r="E5072" s="2">
        <v>45958</v>
      </c>
      <c r="F5072" s="2">
        <v>2391</v>
      </c>
      <c r="G5072" s="2">
        <v>-98</v>
      </c>
      <c r="H5072" s="2">
        <v>19159</v>
      </c>
      <c r="I5072" s="2">
        <v>-1626</v>
      </c>
    </row>
    <row r="5073" spans="1:9" x14ac:dyDescent="0.3">
      <c r="A5073" t="s">
        <v>75</v>
      </c>
      <c r="B5073" s="1">
        <v>44986</v>
      </c>
      <c r="C5073" s="2">
        <v>64442</v>
      </c>
      <c r="D5073" s="2">
        <v>6370</v>
      </c>
      <c r="E5073" s="2">
        <v>43657</v>
      </c>
      <c r="F5073" s="2">
        <v>8877</v>
      </c>
      <c r="G5073" s="2">
        <v>926</v>
      </c>
      <c r="H5073" s="2">
        <v>20785</v>
      </c>
      <c r="I5073" s="2">
        <v>-2507</v>
      </c>
    </row>
    <row r="5074" spans="1:9" x14ac:dyDescent="0.3">
      <c r="A5074" t="s">
        <v>75</v>
      </c>
      <c r="B5074" s="1">
        <v>44958</v>
      </c>
      <c r="C5074" s="2">
        <v>57149</v>
      </c>
      <c r="D5074" s="2">
        <v>4902</v>
      </c>
      <c r="E5074" s="2">
        <v>33857</v>
      </c>
      <c r="F5074" s="2">
        <v>5477</v>
      </c>
      <c r="G5074" s="2">
        <v>-522</v>
      </c>
      <c r="H5074" s="2">
        <v>23292</v>
      </c>
      <c r="I5074" s="2">
        <v>-575</v>
      </c>
    </row>
    <row r="5075" spans="1:9" hidden="1" x14ac:dyDescent="0.3">
      <c r="A5075" t="s">
        <v>75</v>
      </c>
      <c r="B5075" s="1">
        <v>44927</v>
      </c>
      <c r="C5075" s="2">
        <v>52766</v>
      </c>
      <c r="D5075" s="2" t="s">
        <v>3</v>
      </c>
      <c r="E5075" s="2">
        <v>28899</v>
      </c>
      <c r="F5075" s="2" t="s">
        <v>3</v>
      </c>
      <c r="G5075" s="2" t="s">
        <v>3</v>
      </c>
      <c r="H5075" s="2">
        <v>23867</v>
      </c>
      <c r="I5075" s="2">
        <v>6469</v>
      </c>
    </row>
    <row r="5076" spans="1:9" hidden="1" x14ac:dyDescent="0.3">
      <c r="A5076" t="s">
        <v>75</v>
      </c>
      <c r="B5076" s="1">
        <v>44896</v>
      </c>
      <c r="C5076" s="2">
        <v>45969</v>
      </c>
      <c r="D5076" s="2" t="s">
        <v>3</v>
      </c>
      <c r="E5076" s="2">
        <v>28571</v>
      </c>
      <c r="F5076" s="2" t="s">
        <v>3</v>
      </c>
      <c r="G5076" s="2" t="s">
        <v>3</v>
      </c>
      <c r="H5076" s="2">
        <v>17398</v>
      </c>
      <c r="I5076" s="2">
        <v>3953</v>
      </c>
    </row>
    <row r="5077" spans="1:9" hidden="1" x14ac:dyDescent="0.3">
      <c r="A5077" t="s">
        <v>75</v>
      </c>
      <c r="B5077" s="1">
        <v>44866</v>
      </c>
      <c r="C5077" s="2">
        <v>41448</v>
      </c>
      <c r="D5077" s="2" t="s">
        <v>3</v>
      </c>
      <c r="E5077" s="2">
        <v>28003</v>
      </c>
      <c r="F5077" s="2" t="s">
        <v>3</v>
      </c>
      <c r="G5077" s="2" t="s">
        <v>3</v>
      </c>
      <c r="H5077" s="2">
        <v>13445</v>
      </c>
      <c r="I5077" s="2">
        <v>-1499</v>
      </c>
    </row>
    <row r="5078" spans="1:9" hidden="1" x14ac:dyDescent="0.3">
      <c r="A5078" t="s">
        <v>75</v>
      </c>
      <c r="B5078" s="1">
        <v>44835</v>
      </c>
      <c r="C5078" s="2">
        <v>43037</v>
      </c>
      <c r="D5078" s="2" t="s">
        <v>3</v>
      </c>
      <c r="E5078" s="2">
        <v>28093</v>
      </c>
      <c r="F5078" s="2" t="s">
        <v>3</v>
      </c>
      <c r="G5078" s="2" t="s">
        <v>3</v>
      </c>
      <c r="H5078" s="2">
        <v>14944</v>
      </c>
      <c r="I5078" s="2">
        <v>-197</v>
      </c>
    </row>
    <row r="5079" spans="1:9" hidden="1" x14ac:dyDescent="0.3">
      <c r="A5079" t="s">
        <v>75</v>
      </c>
      <c r="B5079" s="1">
        <v>44805</v>
      </c>
      <c r="C5079" s="2">
        <v>43341</v>
      </c>
      <c r="D5079" s="2" t="s">
        <v>3</v>
      </c>
      <c r="E5079" s="2">
        <v>28200</v>
      </c>
      <c r="F5079" s="2" t="s">
        <v>3</v>
      </c>
      <c r="G5079" s="2" t="s">
        <v>3</v>
      </c>
      <c r="H5079" s="2">
        <v>15141</v>
      </c>
      <c r="I5079" s="2">
        <v>-4181</v>
      </c>
    </row>
    <row r="5080" spans="1:9" hidden="1" x14ac:dyDescent="0.3">
      <c r="A5080" t="s">
        <v>75</v>
      </c>
      <c r="B5080" s="1">
        <v>44774</v>
      </c>
      <c r="C5080" s="2">
        <v>47465</v>
      </c>
      <c r="D5080" s="2" t="s">
        <v>3</v>
      </c>
      <c r="E5080" s="2">
        <v>28143</v>
      </c>
      <c r="F5080" s="2" t="s">
        <v>3</v>
      </c>
      <c r="G5080" s="2" t="s">
        <v>3</v>
      </c>
      <c r="H5080" s="2">
        <v>19322</v>
      </c>
      <c r="I5080" s="2">
        <v>-428</v>
      </c>
    </row>
    <row r="5081" spans="1:9" hidden="1" x14ac:dyDescent="0.3">
      <c r="A5081" t="s">
        <v>75</v>
      </c>
      <c r="B5081" s="1">
        <v>44743</v>
      </c>
      <c r="C5081" s="2">
        <v>48026</v>
      </c>
      <c r="D5081" s="2" t="s">
        <v>3</v>
      </c>
      <c r="E5081" s="2">
        <v>28276</v>
      </c>
      <c r="F5081" s="2" t="s">
        <v>3</v>
      </c>
      <c r="G5081" s="2" t="s">
        <v>3</v>
      </c>
      <c r="H5081" s="2">
        <v>19750</v>
      </c>
      <c r="I5081" s="2">
        <v>-611</v>
      </c>
    </row>
    <row r="5082" spans="1:9" hidden="1" x14ac:dyDescent="0.3">
      <c r="A5082" t="s">
        <v>75</v>
      </c>
      <c r="B5082" s="1">
        <v>44713</v>
      </c>
      <c r="C5082" s="2">
        <v>48973</v>
      </c>
      <c r="D5082" s="2" t="s">
        <v>3</v>
      </c>
      <c r="E5082" s="2">
        <v>28612</v>
      </c>
      <c r="F5082" s="2" t="s">
        <v>3</v>
      </c>
      <c r="G5082" s="2" t="s">
        <v>3</v>
      </c>
      <c r="H5082" s="2">
        <v>20361</v>
      </c>
      <c r="I5082" s="2">
        <v>490</v>
      </c>
    </row>
    <row r="5083" spans="1:9" hidden="1" x14ac:dyDescent="0.3">
      <c r="A5083" t="s">
        <v>75</v>
      </c>
      <c r="B5083" s="1">
        <v>44682</v>
      </c>
      <c r="C5083" s="2">
        <v>49367</v>
      </c>
      <c r="D5083" s="2" t="s">
        <v>3</v>
      </c>
      <c r="E5083" s="2">
        <v>29496</v>
      </c>
      <c r="F5083" s="2" t="s">
        <v>3</v>
      </c>
      <c r="G5083" s="2" t="s">
        <v>3</v>
      </c>
      <c r="H5083" s="2">
        <v>19871</v>
      </c>
      <c r="I5083" s="2">
        <v>2978</v>
      </c>
    </row>
    <row r="5084" spans="1:9" hidden="1" x14ac:dyDescent="0.3">
      <c r="A5084" t="s">
        <v>75</v>
      </c>
      <c r="B5084" s="1">
        <v>44652</v>
      </c>
      <c r="C5084" s="2">
        <v>57199</v>
      </c>
      <c r="D5084" s="2" t="s">
        <v>3</v>
      </c>
      <c r="E5084" s="2">
        <v>40306</v>
      </c>
      <c r="F5084" s="2" t="s">
        <v>3</v>
      </c>
      <c r="G5084" s="2" t="s">
        <v>3</v>
      </c>
      <c r="H5084" s="2">
        <v>16893</v>
      </c>
      <c r="I5084" s="2">
        <v>-2433</v>
      </c>
    </row>
    <row r="5085" spans="1:9" hidden="1" x14ac:dyDescent="0.3">
      <c r="A5085" t="s">
        <v>75</v>
      </c>
      <c r="B5085" s="1">
        <v>44621</v>
      </c>
      <c r="C5085" s="2">
        <v>63726</v>
      </c>
      <c r="D5085" s="2" t="s">
        <v>3</v>
      </c>
      <c r="E5085" s="2">
        <v>44400</v>
      </c>
      <c r="F5085" s="2" t="s">
        <v>3</v>
      </c>
      <c r="G5085" s="2" t="s">
        <v>3</v>
      </c>
      <c r="H5085" s="2">
        <v>19326</v>
      </c>
      <c r="I5085" s="2">
        <v>3102</v>
      </c>
    </row>
    <row r="5086" spans="1:9" hidden="1" x14ac:dyDescent="0.3">
      <c r="A5086" t="s">
        <v>75</v>
      </c>
      <c r="B5086" s="1">
        <v>44593</v>
      </c>
      <c r="C5086" s="2">
        <v>61586</v>
      </c>
      <c r="D5086" s="2" t="s">
        <v>3</v>
      </c>
      <c r="E5086" s="2">
        <v>45362</v>
      </c>
      <c r="F5086" s="2" t="s">
        <v>3</v>
      </c>
      <c r="G5086" s="2" t="s">
        <v>3</v>
      </c>
      <c r="H5086" s="2">
        <v>16224</v>
      </c>
      <c r="I5086" s="2">
        <v>-575</v>
      </c>
    </row>
    <row r="5087" spans="1:9" hidden="1" x14ac:dyDescent="0.3">
      <c r="A5087" t="s">
        <v>75</v>
      </c>
      <c r="B5087" s="1">
        <v>44562</v>
      </c>
      <c r="C5087" s="2">
        <v>62112</v>
      </c>
      <c r="D5087" s="2" t="s">
        <v>3</v>
      </c>
      <c r="E5087" s="2">
        <v>45313</v>
      </c>
      <c r="F5087" s="2" t="s">
        <v>3</v>
      </c>
      <c r="G5087" s="2" t="s">
        <v>3</v>
      </c>
      <c r="H5087" s="2">
        <v>16799</v>
      </c>
      <c r="I5087" s="2">
        <v>535</v>
      </c>
    </row>
    <row r="5088" spans="1:9" hidden="1" x14ac:dyDescent="0.3">
      <c r="A5088" t="s">
        <v>75</v>
      </c>
      <c r="B5088" s="1">
        <v>44531</v>
      </c>
      <c r="C5088" s="2">
        <v>61709</v>
      </c>
      <c r="D5088" s="2" t="s">
        <v>3</v>
      </c>
      <c r="E5088" s="2">
        <v>45445</v>
      </c>
      <c r="F5088" s="2" t="s">
        <v>3</v>
      </c>
      <c r="G5088" s="2" t="s">
        <v>3</v>
      </c>
      <c r="H5088" s="2">
        <v>16264</v>
      </c>
      <c r="I5088" s="2">
        <v>58</v>
      </c>
    </row>
    <row r="5089" spans="1:9" hidden="1" x14ac:dyDescent="0.3">
      <c r="A5089" t="s">
        <v>75</v>
      </c>
      <c r="B5089" s="1">
        <v>44501</v>
      </c>
      <c r="C5089" s="2">
        <v>62373</v>
      </c>
      <c r="D5089" s="2" t="s">
        <v>3</v>
      </c>
      <c r="E5089" s="2">
        <v>46167</v>
      </c>
      <c r="F5089" s="2" t="s">
        <v>3</v>
      </c>
      <c r="G5089" s="2" t="s">
        <v>3</v>
      </c>
      <c r="H5089" s="2">
        <v>16206</v>
      </c>
      <c r="I5089" s="2">
        <v>3156</v>
      </c>
    </row>
    <row r="5090" spans="1:9" hidden="1" x14ac:dyDescent="0.3">
      <c r="A5090" t="s">
        <v>75</v>
      </c>
      <c r="B5090" s="1">
        <v>44470</v>
      </c>
      <c r="C5090" s="2">
        <v>59230</v>
      </c>
      <c r="D5090" s="2" t="s">
        <v>3</v>
      </c>
      <c r="E5090" s="2">
        <v>46180</v>
      </c>
      <c r="F5090" s="2" t="s">
        <v>3</v>
      </c>
      <c r="G5090" s="2" t="s">
        <v>3</v>
      </c>
      <c r="H5090" s="2">
        <v>13050</v>
      </c>
      <c r="I5090" s="2">
        <v>1261</v>
      </c>
    </row>
    <row r="5091" spans="1:9" hidden="1" x14ac:dyDescent="0.3">
      <c r="A5091" t="s">
        <v>75</v>
      </c>
      <c r="B5091" s="1">
        <v>44440</v>
      </c>
      <c r="C5091" s="2">
        <v>60953</v>
      </c>
      <c r="D5091" s="2" t="s">
        <v>3</v>
      </c>
      <c r="E5091" s="2">
        <v>49164</v>
      </c>
      <c r="F5091" s="2" t="s">
        <v>3</v>
      </c>
      <c r="G5091" s="2" t="s">
        <v>3</v>
      </c>
      <c r="H5091" s="2">
        <v>11789</v>
      </c>
      <c r="I5091" s="2">
        <v>3212</v>
      </c>
    </row>
    <row r="5092" spans="1:9" hidden="1" x14ac:dyDescent="0.3">
      <c r="A5092" t="s">
        <v>75</v>
      </c>
      <c r="B5092" s="1">
        <v>44409</v>
      </c>
      <c r="C5092" s="2">
        <v>57259</v>
      </c>
      <c r="D5092" s="2" t="s">
        <v>3</v>
      </c>
      <c r="E5092" s="2">
        <v>48682</v>
      </c>
      <c r="F5092" s="2" t="s">
        <v>3</v>
      </c>
      <c r="G5092" s="2" t="s">
        <v>3</v>
      </c>
      <c r="H5092" s="2">
        <v>8577</v>
      </c>
      <c r="I5092" s="2">
        <v>2586</v>
      </c>
    </row>
    <row r="5093" spans="1:9" hidden="1" x14ac:dyDescent="0.3">
      <c r="A5093" t="s">
        <v>75</v>
      </c>
      <c r="B5093" s="1">
        <v>44378</v>
      </c>
      <c r="C5093" s="2">
        <v>57338</v>
      </c>
      <c r="D5093" s="2" t="s">
        <v>3</v>
      </c>
      <c r="E5093" s="2">
        <v>51347</v>
      </c>
      <c r="F5093" s="2" t="s">
        <v>3</v>
      </c>
      <c r="G5093" s="2" t="s">
        <v>3</v>
      </c>
      <c r="H5093" s="2">
        <v>5991</v>
      </c>
      <c r="I5093" s="2">
        <v>1787</v>
      </c>
    </row>
    <row r="5094" spans="1:9" hidden="1" x14ac:dyDescent="0.3">
      <c r="A5094" t="s">
        <v>75</v>
      </c>
      <c r="B5094" s="1">
        <v>44348</v>
      </c>
      <c r="C5094" s="2">
        <v>56027</v>
      </c>
      <c r="D5094" s="2" t="s">
        <v>3</v>
      </c>
      <c r="E5094" s="2">
        <v>51823</v>
      </c>
      <c r="F5094" s="2" t="s">
        <v>3</v>
      </c>
      <c r="G5094" s="2" t="s">
        <v>3</v>
      </c>
      <c r="H5094" s="2">
        <v>4204</v>
      </c>
      <c r="I5094" s="2">
        <v>38</v>
      </c>
    </row>
    <row r="5095" spans="1:9" hidden="1" x14ac:dyDescent="0.3">
      <c r="A5095" t="s">
        <v>75</v>
      </c>
      <c r="B5095" s="1">
        <v>44317</v>
      </c>
      <c r="C5095" s="2">
        <v>56970</v>
      </c>
      <c r="D5095" s="2" t="s">
        <v>3</v>
      </c>
      <c r="E5095" s="2">
        <v>52804</v>
      </c>
      <c r="F5095" s="2" t="s">
        <v>3</v>
      </c>
      <c r="G5095" s="2" t="s">
        <v>3</v>
      </c>
      <c r="H5095" s="2">
        <v>4166</v>
      </c>
      <c r="I5095" s="2">
        <v>-674</v>
      </c>
    </row>
    <row r="5096" spans="1:9" hidden="1" x14ac:dyDescent="0.3">
      <c r="A5096" t="s">
        <v>75</v>
      </c>
      <c r="B5096" s="1">
        <v>44287</v>
      </c>
      <c r="C5096" s="2">
        <v>59794</v>
      </c>
      <c r="D5096" s="2" t="s">
        <v>3</v>
      </c>
      <c r="E5096" s="2">
        <v>54954</v>
      </c>
      <c r="F5096" s="2" t="s">
        <v>3</v>
      </c>
      <c r="G5096" s="2" t="s">
        <v>3</v>
      </c>
      <c r="H5096" s="2">
        <v>4840</v>
      </c>
      <c r="I5096" s="2">
        <v>1154</v>
      </c>
    </row>
    <row r="5097" spans="1:9" hidden="1" x14ac:dyDescent="0.3">
      <c r="A5097" t="s">
        <v>75</v>
      </c>
      <c r="B5097" s="1">
        <v>44256</v>
      </c>
      <c r="C5097" s="2">
        <v>66850</v>
      </c>
      <c r="D5097" s="2" t="s">
        <v>3</v>
      </c>
      <c r="E5097" s="2">
        <v>63164</v>
      </c>
      <c r="F5097" s="2" t="s">
        <v>3</v>
      </c>
      <c r="G5097" s="2" t="s">
        <v>3</v>
      </c>
      <c r="H5097" s="2">
        <v>3686</v>
      </c>
      <c r="I5097" s="2">
        <v>-1973</v>
      </c>
    </row>
    <row r="5098" spans="1:9" hidden="1" x14ac:dyDescent="0.3">
      <c r="A5098" t="s">
        <v>75</v>
      </c>
      <c r="B5098" s="1">
        <v>44228</v>
      </c>
      <c r="C5098" s="2">
        <v>80571</v>
      </c>
      <c r="D5098" s="2" t="s">
        <v>3</v>
      </c>
      <c r="E5098" s="2">
        <v>74912</v>
      </c>
      <c r="F5098" s="2" t="s">
        <v>3</v>
      </c>
      <c r="G5098" s="2" t="s">
        <v>3</v>
      </c>
      <c r="H5098" s="2">
        <v>5659</v>
      </c>
      <c r="I5098" s="2">
        <v>-878</v>
      </c>
    </row>
    <row r="5099" spans="1:9" hidden="1" x14ac:dyDescent="0.3">
      <c r="A5099" t="s">
        <v>75</v>
      </c>
      <c r="B5099" s="1">
        <v>44197</v>
      </c>
      <c r="C5099" s="2">
        <v>82188</v>
      </c>
      <c r="D5099" s="2" t="s">
        <v>3</v>
      </c>
      <c r="E5099" s="2">
        <v>75651</v>
      </c>
      <c r="F5099" s="2" t="s">
        <v>3</v>
      </c>
      <c r="G5099" s="2" t="s">
        <v>3</v>
      </c>
      <c r="H5099" s="2">
        <v>6537</v>
      </c>
      <c r="I5099" s="2">
        <v>982</v>
      </c>
    </row>
    <row r="5100" spans="1:9" hidden="1" x14ac:dyDescent="0.3">
      <c r="A5100" t="s">
        <v>75</v>
      </c>
      <c r="B5100" s="1">
        <v>44166</v>
      </c>
      <c r="C5100" s="2">
        <v>80032</v>
      </c>
      <c r="D5100" s="2" t="s">
        <v>3</v>
      </c>
      <c r="E5100" s="2">
        <v>74477</v>
      </c>
      <c r="F5100" s="2" t="s">
        <v>3</v>
      </c>
      <c r="G5100" s="2" t="s">
        <v>3</v>
      </c>
      <c r="H5100" s="2">
        <v>5555</v>
      </c>
      <c r="I5100" s="2">
        <v>-1918</v>
      </c>
    </row>
    <row r="5101" spans="1:9" hidden="1" x14ac:dyDescent="0.3">
      <c r="A5101" t="s">
        <v>75</v>
      </c>
      <c r="B5101" s="1">
        <v>44136</v>
      </c>
      <c r="C5101" s="2">
        <v>82019</v>
      </c>
      <c r="D5101" s="2" t="s">
        <v>3</v>
      </c>
      <c r="E5101" s="2">
        <v>74546</v>
      </c>
      <c r="F5101" s="2" t="s">
        <v>3</v>
      </c>
      <c r="G5101" s="2" t="s">
        <v>3</v>
      </c>
      <c r="H5101" s="2">
        <v>7473</v>
      </c>
      <c r="I5101" s="2">
        <v>670</v>
      </c>
    </row>
    <row r="5102" spans="1:9" hidden="1" x14ac:dyDescent="0.3">
      <c r="A5102" t="s">
        <v>75</v>
      </c>
      <c r="B5102" s="1">
        <v>44105</v>
      </c>
      <c r="C5102" s="2">
        <v>81998</v>
      </c>
      <c r="D5102" s="2" t="s">
        <v>3</v>
      </c>
      <c r="E5102" s="2">
        <v>75195</v>
      </c>
      <c r="F5102" s="2" t="s">
        <v>3</v>
      </c>
      <c r="G5102" s="2" t="s">
        <v>3</v>
      </c>
      <c r="H5102" s="2">
        <v>6803</v>
      </c>
      <c r="I5102" s="2">
        <v>-837</v>
      </c>
    </row>
    <row r="5103" spans="1:9" hidden="1" x14ac:dyDescent="0.3">
      <c r="A5103" t="s">
        <v>75</v>
      </c>
      <c r="B5103" s="1">
        <v>44075</v>
      </c>
      <c r="C5103" s="2">
        <v>83228</v>
      </c>
      <c r="D5103" s="2" t="s">
        <v>3</v>
      </c>
      <c r="E5103" s="2">
        <v>75588</v>
      </c>
      <c r="F5103" s="2" t="s">
        <v>3</v>
      </c>
      <c r="G5103" s="2" t="s">
        <v>3</v>
      </c>
      <c r="H5103" s="2">
        <v>7640</v>
      </c>
      <c r="I5103" s="2">
        <v>647</v>
      </c>
    </row>
    <row r="5104" spans="1:9" hidden="1" x14ac:dyDescent="0.3">
      <c r="A5104" t="s">
        <v>75</v>
      </c>
      <c r="B5104" s="1">
        <v>44044</v>
      </c>
      <c r="C5104" s="2">
        <v>85738</v>
      </c>
      <c r="D5104" s="2" t="s">
        <v>3</v>
      </c>
      <c r="E5104" s="2">
        <v>78745</v>
      </c>
      <c r="F5104" s="2" t="s">
        <v>3</v>
      </c>
      <c r="G5104" s="2" t="s">
        <v>3</v>
      </c>
      <c r="H5104" s="2">
        <v>6993</v>
      </c>
      <c r="I5104" s="2">
        <v>-5816</v>
      </c>
    </row>
    <row r="5105" spans="1:9" hidden="1" x14ac:dyDescent="0.3">
      <c r="A5105" t="s">
        <v>75</v>
      </c>
      <c r="B5105" s="1">
        <v>44013</v>
      </c>
      <c r="C5105" s="2">
        <v>87876</v>
      </c>
      <c r="D5105" s="2" t="s">
        <v>3</v>
      </c>
      <c r="E5105" s="2">
        <v>75067</v>
      </c>
      <c r="F5105" s="2" t="s">
        <v>3</v>
      </c>
      <c r="G5105" s="2" t="s">
        <v>3</v>
      </c>
      <c r="H5105" s="2">
        <v>12809</v>
      </c>
      <c r="I5105" s="2">
        <v>1293</v>
      </c>
    </row>
    <row r="5106" spans="1:9" hidden="1" x14ac:dyDescent="0.3">
      <c r="A5106" t="s">
        <v>75</v>
      </c>
      <c r="B5106" s="1">
        <v>43983</v>
      </c>
      <c r="C5106" s="2">
        <v>85516</v>
      </c>
      <c r="D5106" s="2" t="s">
        <v>3</v>
      </c>
      <c r="E5106" s="2">
        <v>74000</v>
      </c>
      <c r="F5106" s="2" t="s">
        <v>3</v>
      </c>
      <c r="G5106" s="2" t="s">
        <v>3</v>
      </c>
      <c r="H5106" s="2">
        <v>11516</v>
      </c>
      <c r="I5106" s="2">
        <v>-942</v>
      </c>
    </row>
    <row r="5107" spans="1:9" hidden="1" x14ac:dyDescent="0.3">
      <c r="A5107" t="s">
        <v>75</v>
      </c>
      <c r="B5107" s="1">
        <v>43952</v>
      </c>
      <c r="C5107" s="2">
        <v>85785</v>
      </c>
      <c r="D5107" s="2" t="s">
        <v>3</v>
      </c>
      <c r="E5107" s="2">
        <v>73327</v>
      </c>
      <c r="F5107" s="2" t="s">
        <v>3</v>
      </c>
      <c r="G5107" s="2" t="s">
        <v>3</v>
      </c>
      <c r="H5107" s="2">
        <v>12458</v>
      </c>
      <c r="I5107" s="2">
        <v>1657</v>
      </c>
    </row>
    <row r="5108" spans="1:9" hidden="1" x14ac:dyDescent="0.3">
      <c r="A5108" t="s">
        <v>75</v>
      </c>
      <c r="B5108" s="1">
        <v>43922</v>
      </c>
      <c r="C5108" s="2">
        <v>80532</v>
      </c>
      <c r="D5108" s="2" t="s">
        <v>3</v>
      </c>
      <c r="E5108" s="2">
        <v>69731</v>
      </c>
      <c r="F5108" s="2" t="s">
        <v>3</v>
      </c>
      <c r="G5108" s="2" t="s">
        <v>3</v>
      </c>
      <c r="H5108" s="2">
        <v>10801</v>
      </c>
      <c r="I5108" s="2">
        <v>1232</v>
      </c>
    </row>
    <row r="5109" spans="1:9" hidden="1" x14ac:dyDescent="0.3">
      <c r="A5109" t="s">
        <v>75</v>
      </c>
      <c r="B5109" s="1">
        <v>43891</v>
      </c>
      <c r="C5109" s="2">
        <v>81775</v>
      </c>
      <c r="D5109" s="2" t="s">
        <v>3</v>
      </c>
      <c r="E5109" s="2">
        <v>72206</v>
      </c>
      <c r="F5109" s="2" t="s">
        <v>3</v>
      </c>
      <c r="G5109" s="2" t="s">
        <v>3</v>
      </c>
      <c r="H5109" s="2">
        <v>9569</v>
      </c>
      <c r="I5109" s="2">
        <v>-7524</v>
      </c>
    </row>
    <row r="5110" spans="1:9" hidden="1" x14ac:dyDescent="0.3">
      <c r="A5110" t="s">
        <v>75</v>
      </c>
      <c r="B5110" s="1">
        <v>43862</v>
      </c>
      <c r="C5110" s="2">
        <v>91259</v>
      </c>
      <c r="D5110" s="2" t="s">
        <v>3</v>
      </c>
      <c r="E5110" s="2">
        <v>74166</v>
      </c>
      <c r="F5110" s="2" t="s">
        <v>3</v>
      </c>
      <c r="G5110" s="2" t="s">
        <v>3</v>
      </c>
      <c r="H5110" s="2">
        <v>17093</v>
      </c>
      <c r="I5110" s="2">
        <v>-3239</v>
      </c>
    </row>
    <row r="5111" spans="1:9" hidden="1" x14ac:dyDescent="0.3">
      <c r="A5111" t="s">
        <v>75</v>
      </c>
      <c r="B5111" s="1">
        <v>43831</v>
      </c>
      <c r="C5111" s="2">
        <v>95999</v>
      </c>
      <c r="D5111" s="2" t="s">
        <v>3</v>
      </c>
      <c r="E5111" s="2">
        <v>75667</v>
      </c>
      <c r="F5111" s="2" t="s">
        <v>3</v>
      </c>
      <c r="G5111" s="2" t="s">
        <v>3</v>
      </c>
      <c r="H5111" s="2">
        <v>20332</v>
      </c>
      <c r="I5111" s="2">
        <v>4452</v>
      </c>
    </row>
    <row r="5112" spans="1:9" x14ac:dyDescent="0.3">
      <c r="A5112" t="s">
        <v>76</v>
      </c>
      <c r="B5112" s="1">
        <v>45931</v>
      </c>
      <c r="C5112" s="2">
        <v>110684</v>
      </c>
      <c r="D5112" s="2">
        <v>6888</v>
      </c>
      <c r="E5112" s="2">
        <v>45839</v>
      </c>
      <c r="F5112" s="2">
        <v>2685</v>
      </c>
      <c r="G5112" s="2">
        <v>510</v>
      </c>
      <c r="H5112" s="2">
        <v>64845</v>
      </c>
      <c r="I5112" s="2">
        <v>4203</v>
      </c>
    </row>
    <row r="5113" spans="1:9" x14ac:dyDescent="0.3">
      <c r="A5113" t="s">
        <v>76</v>
      </c>
      <c r="B5113" s="1">
        <v>45901</v>
      </c>
      <c r="C5113" s="2">
        <v>103322</v>
      </c>
      <c r="D5113" s="2">
        <v>-6708</v>
      </c>
      <c r="E5113" s="2">
        <v>42680</v>
      </c>
      <c r="F5113" s="2">
        <v>-5231</v>
      </c>
      <c r="G5113" s="2">
        <v>530</v>
      </c>
      <c r="H5113" s="2">
        <v>60642</v>
      </c>
      <c r="I5113" s="2">
        <v>-1477</v>
      </c>
    </row>
    <row r="5114" spans="1:9" x14ac:dyDescent="0.3">
      <c r="A5114" t="s">
        <v>76</v>
      </c>
      <c r="B5114" s="1">
        <v>45870</v>
      </c>
      <c r="C5114" s="2">
        <v>108701</v>
      </c>
      <c r="D5114" s="2">
        <v>442</v>
      </c>
      <c r="E5114" s="2">
        <v>46582</v>
      </c>
      <c r="F5114" s="2">
        <v>9835</v>
      </c>
      <c r="G5114" s="2">
        <v>559</v>
      </c>
      <c r="H5114" s="2">
        <v>62119</v>
      </c>
      <c r="I5114" s="2">
        <v>-9393</v>
      </c>
    </row>
    <row r="5115" spans="1:9" x14ac:dyDescent="0.3">
      <c r="A5115" t="s">
        <v>76</v>
      </c>
      <c r="B5115" s="1">
        <v>45839</v>
      </c>
      <c r="C5115" s="2">
        <v>107755</v>
      </c>
      <c r="D5115" s="2">
        <v>11968</v>
      </c>
      <c r="E5115" s="2">
        <v>36243</v>
      </c>
      <c r="F5115" s="2">
        <v>-854</v>
      </c>
      <c r="G5115" s="2">
        <v>-211</v>
      </c>
      <c r="H5115" s="2">
        <v>71512</v>
      </c>
      <c r="I5115" s="2">
        <v>12822</v>
      </c>
    </row>
    <row r="5116" spans="1:9" x14ac:dyDescent="0.3">
      <c r="A5116" t="s">
        <v>76</v>
      </c>
      <c r="B5116" s="1">
        <v>45809</v>
      </c>
      <c r="C5116" s="2">
        <v>96480</v>
      </c>
      <c r="D5116" s="2">
        <v>-7693</v>
      </c>
      <c r="E5116" s="2">
        <v>37790</v>
      </c>
      <c r="F5116" s="2">
        <v>-173</v>
      </c>
      <c r="G5116" s="2">
        <v>461</v>
      </c>
      <c r="H5116" s="2">
        <v>58690</v>
      </c>
      <c r="I5116" s="2">
        <v>-7520</v>
      </c>
    </row>
    <row r="5117" spans="1:9" x14ac:dyDescent="0.3">
      <c r="A5117" t="s">
        <v>76</v>
      </c>
      <c r="B5117" s="1">
        <v>45778</v>
      </c>
      <c r="C5117" s="2">
        <v>103620</v>
      </c>
      <c r="D5117" s="2">
        <v>-2370</v>
      </c>
      <c r="E5117" s="2">
        <v>37410</v>
      </c>
      <c r="F5117" s="2">
        <v>1797</v>
      </c>
      <c r="G5117" s="2">
        <v>-305</v>
      </c>
      <c r="H5117" s="2">
        <v>66210</v>
      </c>
      <c r="I5117" s="2">
        <v>-4167</v>
      </c>
    </row>
    <row r="5118" spans="1:9" x14ac:dyDescent="0.3">
      <c r="A5118" t="s">
        <v>76</v>
      </c>
      <c r="B5118" s="1">
        <v>45748</v>
      </c>
      <c r="C5118" s="2">
        <v>112932</v>
      </c>
      <c r="D5118" s="2">
        <v>9238</v>
      </c>
      <c r="E5118" s="2">
        <v>42555</v>
      </c>
      <c r="F5118" s="2">
        <v>-1365</v>
      </c>
      <c r="G5118" s="2">
        <v>84</v>
      </c>
      <c r="H5118" s="2">
        <v>70377</v>
      </c>
      <c r="I5118" s="2">
        <v>10603</v>
      </c>
    </row>
    <row r="5119" spans="1:9" x14ac:dyDescent="0.3">
      <c r="A5119" t="s">
        <v>76</v>
      </c>
      <c r="B5119" s="1">
        <v>45717</v>
      </c>
      <c r="C5119" s="2">
        <v>104347</v>
      </c>
      <c r="D5119" s="2">
        <v>-16169</v>
      </c>
      <c r="E5119" s="2">
        <v>44573</v>
      </c>
      <c r="F5119" s="2">
        <v>-5250</v>
      </c>
      <c r="G5119" s="2">
        <v>58</v>
      </c>
      <c r="H5119" s="2">
        <v>59774</v>
      </c>
      <c r="I5119" s="2">
        <v>-10919</v>
      </c>
    </row>
    <row r="5120" spans="1:9" x14ac:dyDescent="0.3">
      <c r="A5120" t="s">
        <v>76</v>
      </c>
      <c r="B5120" s="1">
        <v>45689</v>
      </c>
      <c r="C5120" s="2">
        <v>119927</v>
      </c>
      <c r="D5120" s="2">
        <v>27057</v>
      </c>
      <c r="E5120" s="2">
        <v>49234</v>
      </c>
      <c r="F5120" s="2">
        <v>4063</v>
      </c>
      <c r="G5120" s="2">
        <v>599</v>
      </c>
      <c r="H5120" s="2">
        <v>70693</v>
      </c>
      <c r="I5120" s="2">
        <v>22994</v>
      </c>
    </row>
    <row r="5121" spans="1:9" x14ac:dyDescent="0.3">
      <c r="A5121" t="s">
        <v>76</v>
      </c>
      <c r="B5121" s="1">
        <v>45658</v>
      </c>
      <c r="C5121" s="2">
        <v>92627</v>
      </c>
      <c r="D5121" s="2">
        <v>23612</v>
      </c>
      <c r="E5121" s="2">
        <v>44928</v>
      </c>
      <c r="F5121" s="2">
        <v>-5011</v>
      </c>
      <c r="G5121" s="2">
        <v>-7737</v>
      </c>
      <c r="H5121" s="2">
        <v>47699</v>
      </c>
      <c r="I5121" s="2">
        <v>28623</v>
      </c>
    </row>
    <row r="5122" spans="1:9" x14ac:dyDescent="0.3">
      <c r="A5122" t="s">
        <v>76</v>
      </c>
      <c r="B5122" s="1">
        <v>45627</v>
      </c>
      <c r="C5122" s="2">
        <v>77096</v>
      </c>
      <c r="D5122" s="2">
        <v>6770</v>
      </c>
      <c r="E5122" s="2">
        <v>58020</v>
      </c>
      <c r="F5122" s="2">
        <v>-2472</v>
      </c>
      <c r="G5122" s="2">
        <v>-1327</v>
      </c>
      <c r="H5122" s="2">
        <v>19076</v>
      </c>
      <c r="I5122" s="2">
        <v>9242</v>
      </c>
    </row>
    <row r="5123" spans="1:9" x14ac:dyDescent="0.3">
      <c r="A5123" t="s">
        <v>76</v>
      </c>
      <c r="B5123" s="1">
        <v>45597</v>
      </c>
      <c r="C5123" s="2">
        <v>73138</v>
      </c>
      <c r="D5123" s="2">
        <v>4723</v>
      </c>
      <c r="E5123" s="2">
        <v>63304</v>
      </c>
      <c r="F5123" s="2">
        <v>5949</v>
      </c>
      <c r="G5123" s="2">
        <v>-28</v>
      </c>
      <c r="H5123" s="2">
        <v>9834</v>
      </c>
      <c r="I5123" s="2">
        <v>-1226</v>
      </c>
    </row>
    <row r="5124" spans="1:9" x14ac:dyDescent="0.3">
      <c r="A5124" t="s">
        <v>76</v>
      </c>
      <c r="B5124" s="1">
        <v>45566</v>
      </c>
      <c r="C5124" s="2">
        <v>68266</v>
      </c>
      <c r="D5124" s="2">
        <v>-2350</v>
      </c>
      <c r="E5124" s="2">
        <v>57206</v>
      </c>
      <c r="F5124" s="2">
        <v>-2501</v>
      </c>
      <c r="G5124" s="2">
        <v>-1151</v>
      </c>
      <c r="H5124" s="2">
        <v>11060</v>
      </c>
      <c r="I5124" s="2">
        <v>151</v>
      </c>
    </row>
    <row r="5125" spans="1:9" x14ac:dyDescent="0.3">
      <c r="A5125" t="s">
        <v>76</v>
      </c>
      <c r="B5125" s="1">
        <v>45536</v>
      </c>
      <c r="C5125" s="2">
        <v>71909</v>
      </c>
      <c r="D5125" s="2">
        <v>-7163</v>
      </c>
      <c r="E5125" s="2">
        <v>61000</v>
      </c>
      <c r="F5125" s="2">
        <v>-5275</v>
      </c>
      <c r="G5125" s="2">
        <v>415</v>
      </c>
      <c r="H5125" s="2">
        <v>10909</v>
      </c>
      <c r="I5125" s="2">
        <v>-1888</v>
      </c>
    </row>
    <row r="5126" spans="1:9" x14ac:dyDescent="0.3">
      <c r="A5126" t="s">
        <v>76</v>
      </c>
      <c r="B5126" s="1">
        <v>45505</v>
      </c>
      <c r="C5126" s="2">
        <v>79154</v>
      </c>
      <c r="D5126" s="2">
        <v>10045</v>
      </c>
      <c r="E5126" s="2">
        <v>66357</v>
      </c>
      <c r="F5126" s="2">
        <v>9522</v>
      </c>
      <c r="G5126" s="2">
        <v>835</v>
      </c>
      <c r="H5126" s="2">
        <v>12797</v>
      </c>
      <c r="I5126" s="2">
        <v>523</v>
      </c>
    </row>
    <row r="5127" spans="1:9" x14ac:dyDescent="0.3">
      <c r="A5127" t="s">
        <v>76</v>
      </c>
      <c r="B5127" s="1">
        <v>45474</v>
      </c>
      <c r="C5127" s="2">
        <v>68946</v>
      </c>
      <c r="D5127" s="2">
        <v>94</v>
      </c>
      <c r="E5127" s="2">
        <v>56672</v>
      </c>
      <c r="F5127" s="2">
        <v>784</v>
      </c>
      <c r="G5127" s="2">
        <v>1314</v>
      </c>
      <c r="H5127" s="2">
        <v>12274</v>
      </c>
      <c r="I5127" s="2">
        <v>-690</v>
      </c>
    </row>
    <row r="5128" spans="1:9" x14ac:dyDescent="0.3">
      <c r="A5128" t="s">
        <v>76</v>
      </c>
      <c r="B5128" s="1">
        <v>45444</v>
      </c>
      <c r="C5128" s="2">
        <v>70098</v>
      </c>
      <c r="D5128" s="2">
        <v>-1672</v>
      </c>
      <c r="E5128" s="2">
        <v>57134</v>
      </c>
      <c r="F5128" s="2">
        <v>-2584</v>
      </c>
      <c r="G5128" s="2">
        <v>2524</v>
      </c>
      <c r="H5128" s="2">
        <v>12964</v>
      </c>
      <c r="I5128" s="2">
        <v>912</v>
      </c>
    </row>
    <row r="5129" spans="1:9" x14ac:dyDescent="0.3">
      <c r="A5129" t="s">
        <v>76</v>
      </c>
      <c r="B5129" s="1">
        <v>45413</v>
      </c>
      <c r="C5129" s="2">
        <v>70816</v>
      </c>
      <c r="D5129" s="2">
        <v>231</v>
      </c>
      <c r="E5129" s="2">
        <v>58764</v>
      </c>
      <c r="F5129" s="2">
        <v>2553</v>
      </c>
      <c r="G5129" s="2">
        <v>512</v>
      </c>
      <c r="H5129" s="2">
        <v>12052</v>
      </c>
      <c r="I5129" s="2">
        <v>-2322</v>
      </c>
    </row>
    <row r="5130" spans="1:9" x14ac:dyDescent="0.3">
      <c r="A5130" t="s">
        <v>76</v>
      </c>
      <c r="B5130" s="1">
        <v>45383</v>
      </c>
      <c r="C5130" s="2">
        <v>69866</v>
      </c>
      <c r="D5130" s="2">
        <v>-745</v>
      </c>
      <c r="E5130" s="2">
        <v>55492</v>
      </c>
      <c r="F5130" s="2">
        <v>-140</v>
      </c>
      <c r="G5130" s="2">
        <v>-202</v>
      </c>
      <c r="H5130" s="2">
        <v>14374</v>
      </c>
      <c r="I5130" s="2">
        <v>-605</v>
      </c>
    </row>
    <row r="5131" spans="1:9" x14ac:dyDescent="0.3">
      <c r="A5131" t="s">
        <v>76</v>
      </c>
      <c r="B5131" s="1">
        <v>45352</v>
      </c>
      <c r="C5131" s="2">
        <v>70939</v>
      </c>
      <c r="D5131" s="2">
        <v>1018</v>
      </c>
      <c r="E5131" s="2">
        <v>55960</v>
      </c>
      <c r="F5131" s="2">
        <v>-659</v>
      </c>
      <c r="G5131" s="2">
        <v>1110</v>
      </c>
      <c r="H5131" s="2">
        <v>14979</v>
      </c>
      <c r="I5131" s="2">
        <v>1677</v>
      </c>
    </row>
    <row r="5132" spans="1:9" x14ac:dyDescent="0.3">
      <c r="A5132" t="s">
        <v>76</v>
      </c>
      <c r="B5132" s="1">
        <v>45323</v>
      </c>
      <c r="C5132" s="2">
        <v>68890</v>
      </c>
      <c r="D5132" s="2">
        <v>8288</v>
      </c>
      <c r="E5132" s="2">
        <v>55588</v>
      </c>
      <c r="F5132" s="2">
        <v>6312</v>
      </c>
      <c r="G5132" s="2">
        <v>357</v>
      </c>
      <c r="H5132" s="2">
        <v>13302</v>
      </c>
      <c r="I5132" s="2">
        <v>1976</v>
      </c>
    </row>
    <row r="5133" spans="1:9" x14ac:dyDescent="0.3">
      <c r="A5133" t="s">
        <v>76</v>
      </c>
      <c r="B5133" s="1">
        <v>45292</v>
      </c>
      <c r="C5133" s="2">
        <v>60119</v>
      </c>
      <c r="D5133" s="2">
        <v>-6366</v>
      </c>
      <c r="E5133" s="2">
        <v>48793</v>
      </c>
      <c r="F5133" s="2">
        <v>-5390</v>
      </c>
      <c r="G5133" s="2">
        <v>2412</v>
      </c>
      <c r="H5133" s="2">
        <v>11326</v>
      </c>
      <c r="I5133" s="2">
        <v>-976</v>
      </c>
    </row>
    <row r="5134" spans="1:9" x14ac:dyDescent="0.3">
      <c r="A5134" t="s">
        <v>76</v>
      </c>
      <c r="B5134" s="1">
        <v>45261</v>
      </c>
      <c r="C5134" s="2">
        <v>63998</v>
      </c>
      <c r="D5134" s="2">
        <v>-70</v>
      </c>
      <c r="E5134" s="2">
        <v>51696</v>
      </c>
      <c r="F5134" s="2">
        <v>-1950</v>
      </c>
      <c r="G5134" s="2">
        <v>1523</v>
      </c>
      <c r="H5134" s="2">
        <v>12302</v>
      </c>
      <c r="I5134" s="2">
        <v>1880</v>
      </c>
    </row>
    <row r="5135" spans="1:9" x14ac:dyDescent="0.3">
      <c r="A5135" t="s">
        <v>76</v>
      </c>
      <c r="B5135" s="1">
        <v>45231</v>
      </c>
      <c r="C5135" s="2">
        <v>62848</v>
      </c>
      <c r="D5135" s="2">
        <v>286</v>
      </c>
      <c r="E5135" s="2">
        <v>52426</v>
      </c>
      <c r="F5135" s="2">
        <v>685</v>
      </c>
      <c r="G5135" s="2">
        <v>2143</v>
      </c>
      <c r="H5135" s="2">
        <v>10422</v>
      </c>
      <c r="I5135" s="2">
        <v>-399</v>
      </c>
    </row>
    <row r="5136" spans="1:9" x14ac:dyDescent="0.3">
      <c r="A5136" t="s">
        <v>76</v>
      </c>
      <c r="B5136" s="1">
        <v>45200</v>
      </c>
      <c r="C5136" s="2">
        <v>63976</v>
      </c>
      <c r="D5136" s="2">
        <v>487</v>
      </c>
      <c r="E5136" s="2">
        <v>53155</v>
      </c>
      <c r="F5136" s="2">
        <v>614</v>
      </c>
      <c r="G5136" s="2">
        <v>-652</v>
      </c>
      <c r="H5136" s="2">
        <v>10821</v>
      </c>
      <c r="I5136" s="2">
        <v>-127</v>
      </c>
    </row>
    <row r="5137" spans="1:9" x14ac:dyDescent="0.3">
      <c r="A5137" t="s">
        <v>76</v>
      </c>
      <c r="B5137" s="1">
        <v>45170</v>
      </c>
      <c r="C5137" s="2">
        <v>64419</v>
      </c>
      <c r="D5137" s="2">
        <v>512</v>
      </c>
      <c r="E5137" s="2">
        <v>53471</v>
      </c>
      <c r="F5137" s="2">
        <v>511</v>
      </c>
      <c r="G5137" s="2">
        <v>-4023</v>
      </c>
      <c r="H5137" s="2">
        <v>10948</v>
      </c>
      <c r="I5137" s="2">
        <v>1</v>
      </c>
    </row>
    <row r="5138" spans="1:9" x14ac:dyDescent="0.3">
      <c r="A5138" t="s">
        <v>76</v>
      </c>
      <c r="B5138" s="1">
        <v>45139</v>
      </c>
      <c r="C5138" s="2">
        <v>68257</v>
      </c>
      <c r="D5138" s="2">
        <v>-29</v>
      </c>
      <c r="E5138" s="2">
        <v>57310</v>
      </c>
      <c r="F5138" s="2">
        <v>8977</v>
      </c>
      <c r="G5138" s="2">
        <v>3567</v>
      </c>
      <c r="H5138" s="2">
        <v>10947</v>
      </c>
      <c r="I5138" s="2">
        <v>-9006</v>
      </c>
    </row>
    <row r="5139" spans="1:9" x14ac:dyDescent="0.3">
      <c r="A5139" t="s">
        <v>76</v>
      </c>
      <c r="B5139" s="1">
        <v>45108</v>
      </c>
      <c r="C5139" s="2">
        <v>64883</v>
      </c>
      <c r="D5139" s="2">
        <v>-251</v>
      </c>
      <c r="E5139" s="2">
        <v>44930</v>
      </c>
      <c r="F5139" s="2">
        <v>-99</v>
      </c>
      <c r="G5139" s="2">
        <v>-327</v>
      </c>
      <c r="H5139" s="2">
        <v>19953</v>
      </c>
      <c r="I5139" s="2">
        <v>-152</v>
      </c>
    </row>
    <row r="5140" spans="1:9" x14ac:dyDescent="0.3">
      <c r="A5140" t="s">
        <v>76</v>
      </c>
      <c r="B5140" s="1">
        <v>45078</v>
      </c>
      <c r="C5140" s="2">
        <v>65621</v>
      </c>
      <c r="D5140" s="2">
        <v>-3262</v>
      </c>
      <c r="E5140" s="2">
        <v>45516</v>
      </c>
      <c r="F5140" s="2">
        <v>-1484</v>
      </c>
      <c r="G5140" s="2">
        <v>-151</v>
      </c>
      <c r="H5140" s="2">
        <v>20105</v>
      </c>
      <c r="I5140" s="2">
        <v>-1778</v>
      </c>
    </row>
    <row r="5141" spans="1:9" x14ac:dyDescent="0.3">
      <c r="A5141" t="s">
        <v>76</v>
      </c>
      <c r="B5141" s="1">
        <v>45047</v>
      </c>
      <c r="C5141" s="2">
        <v>68983</v>
      </c>
      <c r="D5141" s="2">
        <v>1022</v>
      </c>
      <c r="E5141" s="2">
        <v>47100</v>
      </c>
      <c r="F5141" s="2">
        <v>-2653</v>
      </c>
      <c r="G5141" s="2">
        <v>-2209</v>
      </c>
      <c r="H5141" s="2">
        <v>21883</v>
      </c>
      <c r="I5141" s="2">
        <v>3675</v>
      </c>
    </row>
    <row r="5142" spans="1:9" x14ac:dyDescent="0.3">
      <c r="A5142" t="s">
        <v>76</v>
      </c>
      <c r="B5142" s="1">
        <v>45017</v>
      </c>
      <c r="C5142" s="2">
        <v>70217</v>
      </c>
      <c r="D5142" s="2">
        <v>7133</v>
      </c>
      <c r="E5142" s="2">
        <v>52009</v>
      </c>
      <c r="F5142" s="2">
        <v>8315</v>
      </c>
      <c r="G5142" s="2">
        <v>1684</v>
      </c>
      <c r="H5142" s="2">
        <v>18208</v>
      </c>
      <c r="I5142" s="2">
        <v>-1182</v>
      </c>
    </row>
    <row r="5143" spans="1:9" x14ac:dyDescent="0.3">
      <c r="A5143" t="s">
        <v>76</v>
      </c>
      <c r="B5143" s="1">
        <v>44986</v>
      </c>
      <c r="C5143" s="2">
        <v>61510</v>
      </c>
      <c r="D5143" s="2">
        <v>-2505</v>
      </c>
      <c r="E5143" s="2">
        <v>42120</v>
      </c>
      <c r="F5143" s="2">
        <v>461</v>
      </c>
      <c r="G5143" s="2">
        <v>-1153</v>
      </c>
      <c r="H5143" s="2">
        <v>19390</v>
      </c>
      <c r="I5143" s="2">
        <v>-2966</v>
      </c>
    </row>
    <row r="5144" spans="1:9" x14ac:dyDescent="0.3">
      <c r="A5144" t="s">
        <v>76</v>
      </c>
      <c r="B5144" s="1">
        <v>44958</v>
      </c>
      <c r="C5144" s="2">
        <v>65243</v>
      </c>
      <c r="D5144" s="2">
        <v>1115</v>
      </c>
      <c r="E5144" s="2">
        <v>42887</v>
      </c>
      <c r="F5144" s="2">
        <v>320</v>
      </c>
      <c r="G5144" s="2">
        <v>-770</v>
      </c>
      <c r="H5144" s="2">
        <v>22356</v>
      </c>
      <c r="I5144" s="2">
        <v>795</v>
      </c>
    </row>
    <row r="5145" spans="1:9" hidden="1" x14ac:dyDescent="0.3">
      <c r="A5145" t="s">
        <v>76</v>
      </c>
      <c r="B5145" s="1">
        <v>44927</v>
      </c>
      <c r="C5145" s="2">
        <v>64881</v>
      </c>
      <c r="D5145" s="2" t="s">
        <v>3</v>
      </c>
      <c r="E5145" s="2">
        <v>43320</v>
      </c>
      <c r="F5145" s="2" t="s">
        <v>3</v>
      </c>
      <c r="G5145" s="2" t="s">
        <v>3</v>
      </c>
      <c r="H5145" s="2">
        <v>21561</v>
      </c>
      <c r="I5145" s="2">
        <v>994</v>
      </c>
    </row>
    <row r="5146" spans="1:9" hidden="1" x14ac:dyDescent="0.3">
      <c r="A5146" t="s">
        <v>76</v>
      </c>
      <c r="B5146" s="1">
        <v>44896</v>
      </c>
      <c r="C5146" s="2">
        <v>58507</v>
      </c>
      <c r="D5146" s="2" t="s">
        <v>3</v>
      </c>
      <c r="E5146" s="2">
        <v>37940</v>
      </c>
      <c r="F5146" s="2" t="s">
        <v>3</v>
      </c>
      <c r="G5146" s="2" t="s">
        <v>3</v>
      </c>
      <c r="H5146" s="2">
        <v>20567</v>
      </c>
      <c r="I5146" s="2">
        <v>9132</v>
      </c>
    </row>
    <row r="5147" spans="1:9" hidden="1" x14ac:dyDescent="0.3">
      <c r="A5147" t="s">
        <v>76</v>
      </c>
      <c r="B5147" s="1">
        <v>44866</v>
      </c>
      <c r="C5147" s="2">
        <v>59511</v>
      </c>
      <c r="D5147" s="2" t="s">
        <v>3</v>
      </c>
      <c r="E5147" s="2">
        <v>48076</v>
      </c>
      <c r="F5147" s="2" t="s">
        <v>3</v>
      </c>
      <c r="G5147" s="2" t="s">
        <v>3</v>
      </c>
      <c r="H5147" s="2">
        <v>11435</v>
      </c>
      <c r="I5147" s="2">
        <v>-899</v>
      </c>
    </row>
    <row r="5148" spans="1:9" hidden="1" x14ac:dyDescent="0.3">
      <c r="A5148" t="s">
        <v>76</v>
      </c>
      <c r="B5148" s="1">
        <v>44835</v>
      </c>
      <c r="C5148" s="2">
        <v>53936</v>
      </c>
      <c r="D5148" s="2" t="s">
        <v>3</v>
      </c>
      <c r="E5148" s="2">
        <v>41602</v>
      </c>
      <c r="F5148" s="2" t="s">
        <v>3</v>
      </c>
      <c r="G5148" s="2" t="s">
        <v>3</v>
      </c>
      <c r="H5148" s="2">
        <v>12334</v>
      </c>
      <c r="I5148" s="2">
        <v>1010</v>
      </c>
    </row>
    <row r="5149" spans="1:9" hidden="1" x14ac:dyDescent="0.3">
      <c r="A5149" t="s">
        <v>76</v>
      </c>
      <c r="B5149" s="1">
        <v>44805</v>
      </c>
      <c r="C5149" s="2">
        <v>47901</v>
      </c>
      <c r="D5149" s="2" t="s">
        <v>3</v>
      </c>
      <c r="E5149" s="2">
        <v>36577</v>
      </c>
      <c r="F5149" s="2" t="s">
        <v>3</v>
      </c>
      <c r="G5149" s="2" t="s">
        <v>3</v>
      </c>
      <c r="H5149" s="2">
        <v>11324</v>
      </c>
      <c r="I5149" s="2">
        <v>-3857</v>
      </c>
    </row>
    <row r="5150" spans="1:9" hidden="1" x14ac:dyDescent="0.3">
      <c r="A5150" t="s">
        <v>76</v>
      </c>
      <c r="B5150" s="1">
        <v>44774</v>
      </c>
      <c r="C5150" s="2">
        <v>48151</v>
      </c>
      <c r="D5150" s="2" t="s">
        <v>3</v>
      </c>
      <c r="E5150" s="2">
        <v>32970</v>
      </c>
      <c r="F5150" s="2" t="s">
        <v>3</v>
      </c>
      <c r="G5150" s="2" t="s">
        <v>3</v>
      </c>
      <c r="H5150" s="2">
        <v>15181</v>
      </c>
      <c r="I5150" s="2">
        <v>3405</v>
      </c>
    </row>
    <row r="5151" spans="1:9" hidden="1" x14ac:dyDescent="0.3">
      <c r="A5151" t="s">
        <v>76</v>
      </c>
      <c r="B5151" s="1">
        <v>44743</v>
      </c>
      <c r="C5151" s="2">
        <v>41609</v>
      </c>
      <c r="D5151" s="2" t="s">
        <v>3</v>
      </c>
      <c r="E5151" s="2">
        <v>29833</v>
      </c>
      <c r="F5151" s="2" t="s">
        <v>3</v>
      </c>
      <c r="G5151" s="2" t="s">
        <v>3</v>
      </c>
      <c r="H5151" s="2">
        <v>11776</v>
      </c>
      <c r="I5151" s="2">
        <v>-2011</v>
      </c>
    </row>
    <row r="5152" spans="1:9" hidden="1" x14ac:dyDescent="0.3">
      <c r="A5152" t="s">
        <v>76</v>
      </c>
      <c r="B5152" s="1">
        <v>44713</v>
      </c>
      <c r="C5152" s="2">
        <v>40100</v>
      </c>
      <c r="D5152" s="2" t="s">
        <v>3</v>
      </c>
      <c r="E5152" s="2">
        <v>26313</v>
      </c>
      <c r="F5152" s="2" t="s">
        <v>3</v>
      </c>
      <c r="G5152" s="2" t="s">
        <v>3</v>
      </c>
      <c r="H5152" s="2">
        <v>13787</v>
      </c>
      <c r="I5152" s="2">
        <v>784</v>
      </c>
    </row>
    <row r="5153" spans="1:9" hidden="1" x14ac:dyDescent="0.3">
      <c r="A5153" t="s">
        <v>76</v>
      </c>
      <c r="B5153" s="1">
        <v>44682</v>
      </c>
      <c r="C5153" s="2">
        <v>38424</v>
      </c>
      <c r="D5153" s="2" t="s">
        <v>3</v>
      </c>
      <c r="E5153" s="2">
        <v>25421</v>
      </c>
      <c r="F5153" s="2" t="s">
        <v>3</v>
      </c>
      <c r="G5153" s="2" t="s">
        <v>3</v>
      </c>
      <c r="H5153" s="2">
        <v>13003</v>
      </c>
      <c r="I5153" s="2">
        <v>-4009</v>
      </c>
    </row>
    <row r="5154" spans="1:9" hidden="1" x14ac:dyDescent="0.3">
      <c r="A5154" t="s">
        <v>76</v>
      </c>
      <c r="B5154" s="1">
        <v>44652</v>
      </c>
      <c r="C5154" s="2">
        <v>41906</v>
      </c>
      <c r="D5154" s="2" t="s">
        <v>3</v>
      </c>
      <c r="E5154" s="2">
        <v>24894</v>
      </c>
      <c r="F5154" s="2" t="s">
        <v>3</v>
      </c>
      <c r="G5154" s="2" t="s">
        <v>3</v>
      </c>
      <c r="H5154" s="2">
        <v>17012</v>
      </c>
      <c r="I5154" s="2">
        <v>-790</v>
      </c>
    </row>
    <row r="5155" spans="1:9" hidden="1" x14ac:dyDescent="0.3">
      <c r="A5155" t="s">
        <v>76</v>
      </c>
      <c r="B5155" s="1">
        <v>44621</v>
      </c>
      <c r="C5155" s="2">
        <v>45813</v>
      </c>
      <c r="D5155" s="2" t="s">
        <v>3</v>
      </c>
      <c r="E5155" s="2">
        <v>28011</v>
      </c>
      <c r="F5155" s="2" t="s">
        <v>3</v>
      </c>
      <c r="G5155" s="2" t="s">
        <v>3</v>
      </c>
      <c r="H5155" s="2">
        <v>17802</v>
      </c>
      <c r="I5155" s="2">
        <v>1960</v>
      </c>
    </row>
    <row r="5156" spans="1:9" hidden="1" x14ac:dyDescent="0.3">
      <c r="A5156" t="s">
        <v>76</v>
      </c>
      <c r="B5156" s="1">
        <v>44593</v>
      </c>
      <c r="C5156" s="2">
        <v>46471</v>
      </c>
      <c r="D5156" s="2" t="s">
        <v>3</v>
      </c>
      <c r="E5156" s="2">
        <v>30629</v>
      </c>
      <c r="F5156" s="2" t="s">
        <v>3</v>
      </c>
      <c r="G5156" s="2" t="s">
        <v>3</v>
      </c>
      <c r="H5156" s="2">
        <v>15842</v>
      </c>
      <c r="I5156" s="2">
        <v>-1171</v>
      </c>
    </row>
    <row r="5157" spans="1:9" hidden="1" x14ac:dyDescent="0.3">
      <c r="A5157" t="s">
        <v>76</v>
      </c>
      <c r="B5157" s="1">
        <v>44562</v>
      </c>
      <c r="C5157" s="2">
        <v>44949</v>
      </c>
      <c r="D5157" s="2" t="s">
        <v>3</v>
      </c>
      <c r="E5157" s="2">
        <v>27936</v>
      </c>
      <c r="F5157" s="2" t="s">
        <v>3</v>
      </c>
      <c r="G5157" s="2" t="s">
        <v>3</v>
      </c>
      <c r="H5157" s="2">
        <v>17013</v>
      </c>
      <c r="I5157" s="2">
        <v>-452</v>
      </c>
    </row>
    <row r="5158" spans="1:9" hidden="1" x14ac:dyDescent="0.3">
      <c r="A5158" t="s">
        <v>76</v>
      </c>
      <c r="B5158" s="1">
        <v>44531</v>
      </c>
      <c r="C5158" s="2">
        <v>44925</v>
      </c>
      <c r="D5158" s="2" t="s">
        <v>3</v>
      </c>
      <c r="E5158" s="2">
        <v>27460</v>
      </c>
      <c r="F5158" s="2" t="s">
        <v>3</v>
      </c>
      <c r="G5158" s="2" t="s">
        <v>3</v>
      </c>
      <c r="H5158" s="2">
        <v>17465</v>
      </c>
      <c r="I5158" s="2">
        <v>-4538</v>
      </c>
    </row>
    <row r="5159" spans="1:9" hidden="1" x14ac:dyDescent="0.3">
      <c r="A5159" t="s">
        <v>76</v>
      </c>
      <c r="B5159" s="1">
        <v>44501</v>
      </c>
      <c r="C5159" s="2">
        <v>48572</v>
      </c>
      <c r="D5159" s="2" t="s">
        <v>3</v>
      </c>
      <c r="E5159" s="2">
        <v>26569</v>
      </c>
      <c r="F5159" s="2" t="s">
        <v>3</v>
      </c>
      <c r="G5159" s="2" t="s">
        <v>3</v>
      </c>
      <c r="H5159" s="2">
        <v>22003</v>
      </c>
      <c r="I5159" s="2">
        <v>-3399</v>
      </c>
    </row>
    <row r="5160" spans="1:9" hidden="1" x14ac:dyDescent="0.3">
      <c r="A5160" t="s">
        <v>76</v>
      </c>
      <c r="B5160" s="1">
        <v>44470</v>
      </c>
      <c r="C5160" s="2">
        <v>53047</v>
      </c>
      <c r="D5160" s="2" t="s">
        <v>3</v>
      </c>
      <c r="E5160" s="2">
        <v>27645</v>
      </c>
      <c r="F5160" s="2" t="s">
        <v>3</v>
      </c>
      <c r="G5160" s="2" t="s">
        <v>3</v>
      </c>
      <c r="H5160" s="2">
        <v>25402</v>
      </c>
      <c r="I5160" s="2">
        <v>-333</v>
      </c>
    </row>
    <row r="5161" spans="1:9" hidden="1" x14ac:dyDescent="0.3">
      <c r="A5161" t="s">
        <v>76</v>
      </c>
      <c r="B5161" s="1">
        <v>44440</v>
      </c>
      <c r="C5161" s="2">
        <v>58117</v>
      </c>
      <c r="D5161" s="2" t="s">
        <v>3</v>
      </c>
      <c r="E5161" s="2">
        <v>32382</v>
      </c>
      <c r="F5161" s="2" t="s">
        <v>3</v>
      </c>
      <c r="G5161" s="2" t="s">
        <v>3</v>
      </c>
      <c r="H5161" s="2">
        <v>25735</v>
      </c>
      <c r="I5161" s="2">
        <v>-1902</v>
      </c>
    </row>
    <row r="5162" spans="1:9" hidden="1" x14ac:dyDescent="0.3">
      <c r="A5162" t="s">
        <v>76</v>
      </c>
      <c r="B5162" s="1">
        <v>44409</v>
      </c>
      <c r="C5162" s="2">
        <v>58742</v>
      </c>
      <c r="D5162" s="2" t="s">
        <v>3</v>
      </c>
      <c r="E5162" s="2">
        <v>31105</v>
      </c>
      <c r="F5162" s="2" t="s">
        <v>3</v>
      </c>
      <c r="G5162" s="2" t="s">
        <v>3</v>
      </c>
      <c r="H5162" s="2">
        <v>27637</v>
      </c>
      <c r="I5162" s="2">
        <v>481</v>
      </c>
    </row>
    <row r="5163" spans="1:9" hidden="1" x14ac:dyDescent="0.3">
      <c r="A5163" t="s">
        <v>76</v>
      </c>
      <c r="B5163" s="1">
        <v>44378</v>
      </c>
      <c r="C5163" s="2">
        <v>58018</v>
      </c>
      <c r="D5163" s="2" t="s">
        <v>3</v>
      </c>
      <c r="E5163" s="2">
        <v>30862</v>
      </c>
      <c r="F5163" s="2" t="s">
        <v>3</v>
      </c>
      <c r="G5163" s="2" t="s">
        <v>3</v>
      </c>
      <c r="H5163" s="2">
        <v>27156</v>
      </c>
      <c r="I5163" s="2">
        <v>648</v>
      </c>
    </row>
    <row r="5164" spans="1:9" hidden="1" x14ac:dyDescent="0.3">
      <c r="A5164" t="s">
        <v>76</v>
      </c>
      <c r="B5164" s="1">
        <v>44348</v>
      </c>
      <c r="C5164" s="2">
        <v>60772</v>
      </c>
      <c r="D5164" s="2" t="s">
        <v>3</v>
      </c>
      <c r="E5164" s="2">
        <v>34264</v>
      </c>
      <c r="F5164" s="2" t="s">
        <v>3</v>
      </c>
      <c r="G5164" s="2" t="s">
        <v>3</v>
      </c>
      <c r="H5164" s="2">
        <v>26508</v>
      </c>
      <c r="I5164" s="2">
        <v>649</v>
      </c>
    </row>
    <row r="5165" spans="1:9" hidden="1" x14ac:dyDescent="0.3">
      <c r="A5165" t="s">
        <v>76</v>
      </c>
      <c r="B5165" s="1">
        <v>44317</v>
      </c>
      <c r="C5165" s="2">
        <v>57297</v>
      </c>
      <c r="D5165" s="2" t="s">
        <v>3</v>
      </c>
      <c r="E5165" s="2">
        <v>31438</v>
      </c>
      <c r="F5165" s="2" t="s">
        <v>3</v>
      </c>
      <c r="G5165" s="2" t="s">
        <v>3</v>
      </c>
      <c r="H5165" s="2">
        <v>25859</v>
      </c>
      <c r="I5165" s="2">
        <v>7167</v>
      </c>
    </row>
    <row r="5166" spans="1:9" hidden="1" x14ac:dyDescent="0.3">
      <c r="A5166" t="s">
        <v>76</v>
      </c>
      <c r="B5166" s="1">
        <v>44287</v>
      </c>
      <c r="C5166" s="2">
        <v>43698</v>
      </c>
      <c r="D5166" s="2" t="s">
        <v>3</v>
      </c>
      <c r="E5166" s="2">
        <v>25006</v>
      </c>
      <c r="F5166" s="2" t="s">
        <v>3</v>
      </c>
      <c r="G5166" s="2" t="s">
        <v>3</v>
      </c>
      <c r="H5166" s="2">
        <v>18692</v>
      </c>
      <c r="I5166" s="2">
        <v>-2258</v>
      </c>
    </row>
    <row r="5167" spans="1:9" hidden="1" x14ac:dyDescent="0.3">
      <c r="A5167" t="s">
        <v>76</v>
      </c>
      <c r="B5167" s="1">
        <v>44256</v>
      </c>
      <c r="C5167" s="2">
        <v>45642</v>
      </c>
      <c r="D5167" s="2" t="s">
        <v>3</v>
      </c>
      <c r="E5167" s="2">
        <v>24692</v>
      </c>
      <c r="F5167" s="2" t="s">
        <v>3</v>
      </c>
      <c r="G5167" s="2" t="s">
        <v>3</v>
      </c>
      <c r="H5167" s="2">
        <v>20950</v>
      </c>
      <c r="I5167" s="2">
        <v>-3672</v>
      </c>
    </row>
    <row r="5168" spans="1:9" hidden="1" x14ac:dyDescent="0.3">
      <c r="A5168" t="s">
        <v>76</v>
      </c>
      <c r="B5168" s="1">
        <v>44228</v>
      </c>
      <c r="C5168" s="2">
        <v>50636</v>
      </c>
      <c r="D5168" s="2" t="s">
        <v>3</v>
      </c>
      <c r="E5168" s="2">
        <v>26014</v>
      </c>
      <c r="F5168" s="2" t="s">
        <v>3</v>
      </c>
      <c r="G5168" s="2" t="s">
        <v>3</v>
      </c>
      <c r="H5168" s="2">
        <v>24622</v>
      </c>
      <c r="I5168" s="2">
        <v>11689</v>
      </c>
    </row>
    <row r="5169" spans="1:9" hidden="1" x14ac:dyDescent="0.3">
      <c r="A5169" t="s">
        <v>76</v>
      </c>
      <c r="B5169" s="1">
        <v>44197</v>
      </c>
      <c r="C5169" s="2">
        <v>33804</v>
      </c>
      <c r="D5169" s="2" t="s">
        <v>3</v>
      </c>
      <c r="E5169" s="2">
        <v>20871</v>
      </c>
      <c r="F5169" s="2" t="s">
        <v>3</v>
      </c>
      <c r="G5169" s="2" t="s">
        <v>3</v>
      </c>
      <c r="H5169" s="2">
        <v>12933</v>
      </c>
      <c r="I5169" s="2">
        <v>2189</v>
      </c>
    </row>
    <row r="5170" spans="1:9" hidden="1" x14ac:dyDescent="0.3">
      <c r="A5170" t="s">
        <v>76</v>
      </c>
      <c r="B5170" s="1">
        <v>44166</v>
      </c>
      <c r="C5170" s="2">
        <v>32182</v>
      </c>
      <c r="D5170" s="2" t="s">
        <v>3</v>
      </c>
      <c r="E5170" s="2">
        <v>21438</v>
      </c>
      <c r="F5170" s="2" t="s">
        <v>3</v>
      </c>
      <c r="G5170" s="2" t="s">
        <v>3</v>
      </c>
      <c r="H5170" s="2">
        <v>10744</v>
      </c>
      <c r="I5170" s="2">
        <v>-659</v>
      </c>
    </row>
    <row r="5171" spans="1:9" hidden="1" x14ac:dyDescent="0.3">
      <c r="A5171" t="s">
        <v>76</v>
      </c>
      <c r="B5171" s="1">
        <v>44136</v>
      </c>
      <c r="C5171" s="2">
        <v>36805</v>
      </c>
      <c r="D5171" s="2" t="s">
        <v>3</v>
      </c>
      <c r="E5171" s="2">
        <v>25402</v>
      </c>
      <c r="F5171" s="2" t="s">
        <v>3</v>
      </c>
      <c r="G5171" s="2" t="s">
        <v>3</v>
      </c>
      <c r="H5171" s="2">
        <v>11403</v>
      </c>
      <c r="I5171" s="2">
        <v>1195</v>
      </c>
    </row>
    <row r="5172" spans="1:9" hidden="1" x14ac:dyDescent="0.3">
      <c r="A5172" t="s">
        <v>76</v>
      </c>
      <c r="B5172" s="1">
        <v>44105</v>
      </c>
      <c r="C5172" s="2">
        <v>29065</v>
      </c>
      <c r="D5172" s="2" t="s">
        <v>3</v>
      </c>
      <c r="E5172" s="2">
        <v>18857</v>
      </c>
      <c r="F5172" s="2" t="s">
        <v>3</v>
      </c>
      <c r="G5172" s="2" t="s">
        <v>3</v>
      </c>
      <c r="H5172" s="2">
        <v>10208</v>
      </c>
      <c r="I5172" s="2">
        <v>-24</v>
      </c>
    </row>
    <row r="5173" spans="1:9" hidden="1" x14ac:dyDescent="0.3">
      <c r="A5173" t="s">
        <v>76</v>
      </c>
      <c r="B5173" s="1">
        <v>44075</v>
      </c>
      <c r="C5173" s="2">
        <v>33139</v>
      </c>
      <c r="D5173" s="2" t="s">
        <v>3</v>
      </c>
      <c r="E5173" s="2">
        <v>22907</v>
      </c>
      <c r="F5173" s="2" t="s">
        <v>3</v>
      </c>
      <c r="G5173" s="2" t="s">
        <v>3</v>
      </c>
      <c r="H5173" s="2">
        <v>10232</v>
      </c>
      <c r="I5173" s="2">
        <v>-1263</v>
      </c>
    </row>
    <row r="5174" spans="1:9" hidden="1" x14ac:dyDescent="0.3">
      <c r="A5174" t="s">
        <v>76</v>
      </c>
      <c r="B5174" s="1">
        <v>44044</v>
      </c>
      <c r="C5174" s="2">
        <v>36576</v>
      </c>
      <c r="D5174" s="2" t="s">
        <v>3</v>
      </c>
      <c r="E5174" s="2">
        <v>25081</v>
      </c>
      <c r="F5174" s="2" t="s">
        <v>3</v>
      </c>
      <c r="G5174" s="2" t="s">
        <v>3</v>
      </c>
      <c r="H5174" s="2">
        <v>11495</v>
      </c>
      <c r="I5174" s="2">
        <v>-1176</v>
      </c>
    </row>
    <row r="5175" spans="1:9" hidden="1" x14ac:dyDescent="0.3">
      <c r="A5175" t="s">
        <v>76</v>
      </c>
      <c r="B5175" s="1">
        <v>44013</v>
      </c>
      <c r="C5175" s="2">
        <v>29529</v>
      </c>
      <c r="D5175" s="2" t="s">
        <v>3</v>
      </c>
      <c r="E5175" s="2">
        <v>16858</v>
      </c>
      <c r="F5175" s="2" t="s">
        <v>3</v>
      </c>
      <c r="G5175" s="2" t="s">
        <v>3</v>
      </c>
      <c r="H5175" s="2">
        <v>12671</v>
      </c>
      <c r="I5175" s="2">
        <v>1851</v>
      </c>
    </row>
    <row r="5176" spans="1:9" hidden="1" x14ac:dyDescent="0.3">
      <c r="A5176" t="s">
        <v>76</v>
      </c>
      <c r="B5176" s="1">
        <v>43983</v>
      </c>
      <c r="C5176" s="2">
        <v>26112</v>
      </c>
      <c r="D5176" s="2" t="s">
        <v>3</v>
      </c>
      <c r="E5176" s="2">
        <v>15292</v>
      </c>
      <c r="F5176" s="2" t="s">
        <v>3</v>
      </c>
      <c r="G5176" s="2" t="s">
        <v>3</v>
      </c>
      <c r="H5176" s="2">
        <v>10820</v>
      </c>
      <c r="I5176" s="2">
        <v>-2375</v>
      </c>
    </row>
    <row r="5177" spans="1:9" hidden="1" x14ac:dyDescent="0.3">
      <c r="A5177" t="s">
        <v>76</v>
      </c>
      <c r="B5177" s="1">
        <v>43952</v>
      </c>
      <c r="C5177" s="2">
        <v>27942</v>
      </c>
      <c r="D5177" s="2" t="s">
        <v>3</v>
      </c>
      <c r="E5177" s="2">
        <v>14747</v>
      </c>
      <c r="F5177" s="2" t="s">
        <v>3</v>
      </c>
      <c r="G5177" s="2" t="s">
        <v>3</v>
      </c>
      <c r="H5177" s="2">
        <v>13195</v>
      </c>
      <c r="I5177" s="2">
        <v>3771</v>
      </c>
    </row>
    <row r="5178" spans="1:9" hidden="1" x14ac:dyDescent="0.3">
      <c r="A5178" t="s">
        <v>76</v>
      </c>
      <c r="B5178" s="1">
        <v>43922</v>
      </c>
      <c r="C5178" s="2">
        <v>26280</v>
      </c>
      <c r="D5178" s="2" t="s">
        <v>3</v>
      </c>
      <c r="E5178" s="2">
        <v>16856</v>
      </c>
      <c r="F5178" s="2" t="s">
        <v>3</v>
      </c>
      <c r="G5178" s="2" t="s">
        <v>3</v>
      </c>
      <c r="H5178" s="2">
        <v>9424</v>
      </c>
      <c r="I5178" s="2">
        <v>689</v>
      </c>
    </row>
    <row r="5179" spans="1:9" hidden="1" x14ac:dyDescent="0.3">
      <c r="A5179" t="s">
        <v>76</v>
      </c>
      <c r="B5179" s="1">
        <v>43891</v>
      </c>
      <c r="C5179" s="2">
        <v>28028</v>
      </c>
      <c r="D5179" s="2" t="s">
        <v>3</v>
      </c>
      <c r="E5179" s="2">
        <v>19293</v>
      </c>
      <c r="F5179" s="2" t="s">
        <v>3</v>
      </c>
      <c r="G5179" s="2" t="s">
        <v>3</v>
      </c>
      <c r="H5179" s="2">
        <v>8735</v>
      </c>
      <c r="I5179" s="2">
        <v>-4003</v>
      </c>
    </row>
    <row r="5180" spans="1:9" hidden="1" x14ac:dyDescent="0.3">
      <c r="A5180" t="s">
        <v>76</v>
      </c>
      <c r="B5180" s="1">
        <v>43862</v>
      </c>
      <c r="C5180" s="2">
        <v>37276</v>
      </c>
      <c r="D5180" s="2" t="s">
        <v>3</v>
      </c>
      <c r="E5180" s="2">
        <v>24538</v>
      </c>
      <c r="F5180" s="2" t="s">
        <v>3</v>
      </c>
      <c r="G5180" s="2" t="s">
        <v>3</v>
      </c>
      <c r="H5180" s="2">
        <v>12738</v>
      </c>
      <c r="I5180" s="2">
        <v>-3162</v>
      </c>
    </row>
    <row r="5181" spans="1:9" hidden="1" x14ac:dyDescent="0.3">
      <c r="A5181" t="s">
        <v>76</v>
      </c>
      <c r="B5181" s="1">
        <v>43831</v>
      </c>
      <c r="C5181" s="2">
        <v>39795</v>
      </c>
      <c r="D5181" s="2" t="s">
        <v>3</v>
      </c>
      <c r="E5181" s="2">
        <v>23895</v>
      </c>
      <c r="F5181" s="2" t="s">
        <v>3</v>
      </c>
      <c r="G5181" s="2" t="s">
        <v>3</v>
      </c>
      <c r="H5181" s="2">
        <v>15900</v>
      </c>
      <c r="I5181" s="2">
        <v>1517</v>
      </c>
    </row>
    <row r="5182" spans="1:9" x14ac:dyDescent="0.3">
      <c r="A5182" t="s">
        <v>77</v>
      </c>
      <c r="B5182" s="1">
        <v>45931</v>
      </c>
      <c r="C5182" s="2">
        <v>3789054</v>
      </c>
      <c r="D5182" s="2">
        <v>17354</v>
      </c>
      <c r="E5182" s="2">
        <v>3335221</v>
      </c>
      <c r="F5182" s="2">
        <v>5367</v>
      </c>
      <c r="G5182" s="2">
        <v>14464</v>
      </c>
      <c r="H5182" s="2">
        <v>453833</v>
      </c>
      <c r="I5182" s="2">
        <v>11987</v>
      </c>
    </row>
    <row r="5183" spans="1:9" x14ac:dyDescent="0.3">
      <c r="A5183" t="s">
        <v>77</v>
      </c>
      <c r="B5183" s="1">
        <v>45901</v>
      </c>
      <c r="C5183" s="2">
        <v>3762158</v>
      </c>
      <c r="D5183" s="2">
        <v>-30425</v>
      </c>
      <c r="E5183" s="2">
        <v>3320312</v>
      </c>
      <c r="F5183" s="2">
        <v>-13349</v>
      </c>
      <c r="G5183" s="2">
        <v>20181</v>
      </c>
      <c r="H5183" s="2">
        <v>441846</v>
      </c>
      <c r="I5183" s="2">
        <v>-17076</v>
      </c>
    </row>
    <row r="5184" spans="1:9" x14ac:dyDescent="0.3">
      <c r="A5184" t="s">
        <v>77</v>
      </c>
      <c r="B5184" s="1">
        <v>45870</v>
      </c>
      <c r="C5184" s="2">
        <v>3778210</v>
      </c>
      <c r="D5184" s="2">
        <v>22849</v>
      </c>
      <c r="E5184" s="2">
        <v>3319288</v>
      </c>
      <c r="F5184" s="2">
        <v>14337</v>
      </c>
      <c r="G5184" s="2">
        <v>27984</v>
      </c>
      <c r="H5184" s="2">
        <v>458922</v>
      </c>
      <c r="I5184" s="2">
        <v>8512</v>
      </c>
    </row>
    <row r="5185" spans="1:9" x14ac:dyDescent="0.3">
      <c r="A5185" t="s">
        <v>77</v>
      </c>
      <c r="B5185" s="1">
        <v>45839</v>
      </c>
      <c r="C5185" s="2">
        <v>3718480</v>
      </c>
      <c r="D5185" s="2">
        <v>8470</v>
      </c>
      <c r="E5185" s="2">
        <v>3268070</v>
      </c>
      <c r="F5185" s="2">
        <v>-111</v>
      </c>
      <c r="G5185" s="2">
        <v>-12353</v>
      </c>
      <c r="H5185" s="2">
        <v>450410</v>
      </c>
      <c r="I5185" s="2">
        <v>8581</v>
      </c>
    </row>
    <row r="5186" spans="1:9" x14ac:dyDescent="0.3">
      <c r="A5186" t="s">
        <v>77</v>
      </c>
      <c r="B5186" s="1">
        <v>45809</v>
      </c>
      <c r="C5186" s="2">
        <v>3728733</v>
      </c>
      <c r="D5186" s="2">
        <v>-18723</v>
      </c>
      <c r="E5186" s="2">
        <v>3286904</v>
      </c>
      <c r="F5186" s="2">
        <v>-19866</v>
      </c>
      <c r="G5186" s="2">
        <v>30381</v>
      </c>
      <c r="H5186" s="2">
        <v>441829</v>
      </c>
      <c r="I5186" s="2">
        <v>1143</v>
      </c>
    </row>
    <row r="5187" spans="1:9" x14ac:dyDescent="0.3">
      <c r="A5187" t="s">
        <v>77</v>
      </c>
      <c r="B5187" s="1">
        <v>45778</v>
      </c>
      <c r="C5187" s="2">
        <v>3718909</v>
      </c>
      <c r="D5187" s="2">
        <v>32581</v>
      </c>
      <c r="E5187" s="2">
        <v>3278223</v>
      </c>
      <c r="F5187" s="2">
        <v>38363</v>
      </c>
      <c r="G5187" s="2">
        <v>-28262</v>
      </c>
      <c r="H5187" s="2">
        <v>440686</v>
      </c>
      <c r="I5187" s="2">
        <v>-5782</v>
      </c>
    </row>
    <row r="5188" spans="1:9" x14ac:dyDescent="0.3">
      <c r="A5188" t="s">
        <v>77</v>
      </c>
      <c r="B5188" s="1">
        <v>45748</v>
      </c>
      <c r="C5188" s="2">
        <v>3726870</v>
      </c>
      <c r="D5188" s="2">
        <v>-26691</v>
      </c>
      <c r="E5188" s="2">
        <v>3280402</v>
      </c>
      <c r="F5188" s="2">
        <v>-18777</v>
      </c>
      <c r="G5188" s="2">
        <v>14460</v>
      </c>
      <c r="H5188" s="2">
        <v>446468</v>
      </c>
      <c r="I5188" s="2">
        <v>-7914</v>
      </c>
    </row>
    <row r="5189" spans="1:9" x14ac:dyDescent="0.3">
      <c r="A5189" t="s">
        <v>77</v>
      </c>
      <c r="B5189" s="1">
        <v>45717</v>
      </c>
      <c r="C5189" s="2">
        <v>3761160</v>
      </c>
      <c r="D5189" s="2">
        <v>-16568</v>
      </c>
      <c r="E5189" s="2">
        <v>3306778</v>
      </c>
      <c r="F5189" s="2">
        <v>-17102</v>
      </c>
      <c r="G5189" s="2">
        <v>2863</v>
      </c>
      <c r="H5189" s="2">
        <v>454382</v>
      </c>
      <c r="I5189" s="2">
        <v>534</v>
      </c>
    </row>
    <row r="5190" spans="1:9" x14ac:dyDescent="0.3">
      <c r="A5190" t="s">
        <v>77</v>
      </c>
      <c r="B5190" s="1">
        <v>45689</v>
      </c>
      <c r="C5190" s="2">
        <v>3780410</v>
      </c>
      <c r="D5190" s="2">
        <v>88426</v>
      </c>
      <c r="E5190" s="2">
        <v>3326562</v>
      </c>
      <c r="F5190" s="2">
        <v>28004</v>
      </c>
      <c r="G5190" s="2">
        <v>65619</v>
      </c>
      <c r="H5190" s="2">
        <v>453848</v>
      </c>
      <c r="I5190" s="2">
        <v>60422</v>
      </c>
    </row>
    <row r="5191" spans="1:9" x14ac:dyDescent="0.3">
      <c r="A5191" t="s">
        <v>77</v>
      </c>
      <c r="B5191" s="1">
        <v>45658</v>
      </c>
      <c r="C5191" s="2">
        <v>3634499</v>
      </c>
      <c r="D5191" s="2">
        <v>48871</v>
      </c>
      <c r="E5191" s="2">
        <v>3241073</v>
      </c>
      <c r="F5191" s="2">
        <v>-5527</v>
      </c>
      <c r="G5191" s="2">
        <v>935</v>
      </c>
      <c r="H5191" s="2">
        <v>393426</v>
      </c>
      <c r="I5191" s="2">
        <v>54398</v>
      </c>
    </row>
    <row r="5192" spans="1:9" x14ac:dyDescent="0.3">
      <c r="A5192" t="s">
        <v>77</v>
      </c>
      <c r="B5192" s="1">
        <v>45627</v>
      </c>
      <c r="C5192" s="2">
        <v>3595089</v>
      </c>
      <c r="D5192" s="2">
        <v>-12615</v>
      </c>
      <c r="E5192" s="2">
        <v>3256061</v>
      </c>
      <c r="F5192" s="2">
        <v>-26388</v>
      </c>
      <c r="G5192" s="2">
        <v>-56614</v>
      </c>
      <c r="H5192" s="2">
        <v>339028</v>
      </c>
      <c r="I5192" s="2">
        <v>13773</v>
      </c>
    </row>
    <row r="5193" spans="1:9" x14ac:dyDescent="0.3">
      <c r="A5193" t="s">
        <v>77</v>
      </c>
      <c r="B5193" s="1">
        <v>45597</v>
      </c>
      <c r="C5193" s="2">
        <v>3663778</v>
      </c>
      <c r="D5193" s="2">
        <v>-14625</v>
      </c>
      <c r="E5193" s="2">
        <v>3338523</v>
      </c>
      <c r="F5193" s="2">
        <v>-15651</v>
      </c>
      <c r="G5193" s="2">
        <v>27445</v>
      </c>
      <c r="H5193" s="2">
        <v>325255</v>
      </c>
      <c r="I5193" s="2">
        <v>1026</v>
      </c>
    </row>
    <row r="5194" spans="1:9" x14ac:dyDescent="0.3">
      <c r="A5194" t="s">
        <v>77</v>
      </c>
      <c r="B5194" s="1">
        <v>45566</v>
      </c>
      <c r="C5194" s="2">
        <v>3669057</v>
      </c>
      <c r="D5194" s="2">
        <v>77770</v>
      </c>
      <c r="E5194" s="2">
        <v>3344828</v>
      </c>
      <c r="F5194" s="2">
        <v>79388</v>
      </c>
      <c r="G5194" s="2">
        <v>-59484</v>
      </c>
      <c r="H5194" s="2">
        <v>324229</v>
      </c>
      <c r="I5194" s="2">
        <v>-1618</v>
      </c>
    </row>
    <row r="5195" spans="1:9" x14ac:dyDescent="0.3">
      <c r="A5195" t="s">
        <v>77</v>
      </c>
      <c r="B5195" s="1">
        <v>45536</v>
      </c>
      <c r="C5195" s="2">
        <v>3666741</v>
      </c>
      <c r="D5195" s="2">
        <v>-2203</v>
      </c>
      <c r="E5195" s="2">
        <v>3340894</v>
      </c>
      <c r="F5195" s="2">
        <v>-23942</v>
      </c>
      <c r="G5195" s="2">
        <v>20143</v>
      </c>
      <c r="H5195" s="2">
        <v>325847</v>
      </c>
      <c r="I5195" s="2">
        <v>21739</v>
      </c>
    </row>
    <row r="5196" spans="1:9" x14ac:dyDescent="0.3">
      <c r="A5196" t="s">
        <v>77</v>
      </c>
      <c r="B5196" s="1">
        <v>45505</v>
      </c>
      <c r="C5196" s="2">
        <v>3646162</v>
      </c>
      <c r="D5196" s="2">
        <v>17693</v>
      </c>
      <c r="E5196" s="2">
        <v>3342054</v>
      </c>
      <c r="F5196" s="2">
        <v>-21958</v>
      </c>
      <c r="G5196" s="2">
        <v>38024</v>
      </c>
      <c r="H5196" s="2">
        <v>304108</v>
      </c>
      <c r="I5196" s="2">
        <v>39651</v>
      </c>
    </row>
    <row r="5197" spans="1:9" x14ac:dyDescent="0.3">
      <c r="A5197" t="s">
        <v>77</v>
      </c>
      <c r="B5197" s="1">
        <v>45474</v>
      </c>
      <c r="C5197" s="2">
        <v>3594422</v>
      </c>
      <c r="D5197" s="2">
        <v>-6392</v>
      </c>
      <c r="E5197" s="2">
        <v>3329965</v>
      </c>
      <c r="F5197" s="2">
        <v>-16147</v>
      </c>
      <c r="G5197" s="2">
        <v>49530</v>
      </c>
      <c r="H5197" s="2">
        <v>264457</v>
      </c>
      <c r="I5197" s="2">
        <v>9755</v>
      </c>
    </row>
    <row r="5198" spans="1:9" x14ac:dyDescent="0.3">
      <c r="A5198" t="s">
        <v>77</v>
      </c>
      <c r="B5198" s="1">
        <v>45444</v>
      </c>
      <c r="C5198" s="2">
        <v>3554370</v>
      </c>
      <c r="D5198" s="2">
        <v>-5998</v>
      </c>
      <c r="E5198" s="2">
        <v>3299668</v>
      </c>
      <c r="F5198" s="2">
        <v>-22353</v>
      </c>
      <c r="G5198" s="2">
        <v>37261</v>
      </c>
      <c r="H5198" s="2">
        <v>254702</v>
      </c>
      <c r="I5198" s="2">
        <v>16355</v>
      </c>
    </row>
    <row r="5199" spans="1:9" x14ac:dyDescent="0.3">
      <c r="A5199" t="s">
        <v>77</v>
      </c>
      <c r="B5199" s="1">
        <v>45413</v>
      </c>
      <c r="C5199" s="2">
        <v>3530867</v>
      </c>
      <c r="D5199" s="2">
        <v>-23321</v>
      </c>
      <c r="E5199" s="2">
        <v>3292520</v>
      </c>
      <c r="F5199" s="2">
        <v>-12953</v>
      </c>
      <c r="G5199" s="2">
        <v>32056</v>
      </c>
      <c r="H5199" s="2">
        <v>238347</v>
      </c>
      <c r="I5199" s="2">
        <v>-10368</v>
      </c>
    </row>
    <row r="5200" spans="1:9" x14ac:dyDescent="0.3">
      <c r="A5200" t="s">
        <v>77</v>
      </c>
      <c r="B5200" s="1">
        <v>45383</v>
      </c>
      <c r="C5200" s="2">
        <v>3526990</v>
      </c>
      <c r="D5200" s="2">
        <v>62755</v>
      </c>
      <c r="E5200" s="2">
        <v>3278275</v>
      </c>
      <c r="F5200" s="2">
        <v>69260</v>
      </c>
      <c r="G5200" s="2">
        <v>-72505</v>
      </c>
      <c r="H5200" s="2">
        <v>248715</v>
      </c>
      <c r="I5200" s="2">
        <v>-6505</v>
      </c>
    </row>
    <row r="5201" spans="1:9" x14ac:dyDescent="0.3">
      <c r="A5201" t="s">
        <v>77</v>
      </c>
      <c r="B5201" s="1">
        <v>45352</v>
      </c>
      <c r="C5201" s="2">
        <v>3543377</v>
      </c>
      <c r="D5201" s="2">
        <v>9551</v>
      </c>
      <c r="E5201" s="2">
        <v>3288157</v>
      </c>
      <c r="F5201" s="2">
        <v>4272</v>
      </c>
      <c r="G5201" s="2">
        <v>17697</v>
      </c>
      <c r="H5201" s="2">
        <v>255220</v>
      </c>
      <c r="I5201" s="2">
        <v>5279</v>
      </c>
    </row>
    <row r="5202" spans="1:9" x14ac:dyDescent="0.3">
      <c r="A5202" t="s">
        <v>77</v>
      </c>
      <c r="B5202" s="1">
        <v>45323</v>
      </c>
      <c r="C5202" s="2">
        <v>3513383</v>
      </c>
      <c r="D5202" s="2">
        <v>49351</v>
      </c>
      <c r="E5202" s="2">
        <v>3263442</v>
      </c>
      <c r="F5202" s="2">
        <v>33189</v>
      </c>
      <c r="G5202" s="2">
        <v>-42143</v>
      </c>
      <c r="H5202" s="2">
        <v>249941</v>
      </c>
      <c r="I5202" s="2">
        <v>16162</v>
      </c>
    </row>
    <row r="5203" spans="1:9" x14ac:dyDescent="0.3">
      <c r="A5203" t="s">
        <v>77</v>
      </c>
      <c r="B5203" s="1">
        <v>45292</v>
      </c>
      <c r="C5203" s="2">
        <v>3534030</v>
      </c>
      <c r="D5203" s="2">
        <v>4607</v>
      </c>
      <c r="E5203" s="2">
        <v>3300251</v>
      </c>
      <c r="F5203" s="2">
        <v>658</v>
      </c>
      <c r="G5203" s="2">
        <v>8865</v>
      </c>
      <c r="H5203" s="2">
        <v>233779</v>
      </c>
      <c r="I5203" s="2">
        <v>3949</v>
      </c>
    </row>
    <row r="5204" spans="1:9" x14ac:dyDescent="0.3">
      <c r="A5204" t="s">
        <v>77</v>
      </c>
      <c r="B5204" s="1">
        <v>45261</v>
      </c>
      <c r="C5204" s="2">
        <v>3528909</v>
      </c>
      <c r="D5204" s="2">
        <v>15024</v>
      </c>
      <c r="E5204" s="2">
        <v>3299079</v>
      </c>
      <c r="F5204" s="2">
        <v>1978</v>
      </c>
      <c r="G5204" s="2">
        <v>82490</v>
      </c>
      <c r="H5204" s="2">
        <v>229830</v>
      </c>
      <c r="I5204" s="2">
        <v>13046</v>
      </c>
    </row>
    <row r="5205" spans="1:9" x14ac:dyDescent="0.3">
      <c r="A5205" t="s">
        <v>77</v>
      </c>
      <c r="B5205" s="1">
        <v>45231</v>
      </c>
      <c r="C5205" s="2">
        <v>3449349</v>
      </c>
      <c r="D5205" s="2">
        <v>16292</v>
      </c>
      <c r="E5205" s="2">
        <v>3232565</v>
      </c>
      <c r="F5205" s="2">
        <v>-866</v>
      </c>
      <c r="G5205" s="2">
        <v>96951</v>
      </c>
      <c r="H5205" s="2">
        <v>216784</v>
      </c>
      <c r="I5205" s="2">
        <v>17158</v>
      </c>
    </row>
    <row r="5206" spans="1:9" x14ac:dyDescent="0.3">
      <c r="A5206" t="s">
        <v>77</v>
      </c>
      <c r="B5206" s="1">
        <v>45200</v>
      </c>
      <c r="C5206" s="2">
        <v>3349209</v>
      </c>
      <c r="D5206" s="2">
        <v>17457</v>
      </c>
      <c r="E5206" s="2">
        <v>3149583</v>
      </c>
      <c r="F5206" s="2">
        <v>24726</v>
      </c>
      <c r="G5206" s="2">
        <v>-33905</v>
      </c>
      <c r="H5206" s="2">
        <v>199626</v>
      </c>
      <c r="I5206" s="2">
        <v>-7269</v>
      </c>
    </row>
    <row r="5207" spans="1:9" x14ac:dyDescent="0.3">
      <c r="A5207" t="s">
        <v>77</v>
      </c>
      <c r="B5207" s="1">
        <v>45170</v>
      </c>
      <c r="C5207" s="2">
        <v>3363511</v>
      </c>
      <c r="D5207" s="2">
        <v>-72</v>
      </c>
      <c r="E5207" s="2">
        <v>3156616</v>
      </c>
      <c r="F5207" s="2">
        <v>-16</v>
      </c>
      <c r="G5207" s="2">
        <v>-66494</v>
      </c>
      <c r="H5207" s="2">
        <v>206895</v>
      </c>
      <c r="I5207" s="2">
        <v>-56</v>
      </c>
    </row>
    <row r="5208" spans="1:9" x14ac:dyDescent="0.3">
      <c r="A5208" t="s">
        <v>77</v>
      </c>
      <c r="B5208" s="1">
        <v>45139</v>
      </c>
      <c r="C5208" s="2">
        <v>3433439</v>
      </c>
      <c r="D5208" s="2">
        <v>-3778</v>
      </c>
      <c r="E5208" s="2">
        <v>3226488</v>
      </c>
      <c r="F5208" s="2">
        <v>154</v>
      </c>
      <c r="G5208" s="2">
        <v>-12920</v>
      </c>
      <c r="H5208" s="2">
        <v>206951</v>
      </c>
      <c r="I5208" s="2">
        <v>-3932</v>
      </c>
    </row>
    <row r="5209" spans="1:9" x14ac:dyDescent="0.3">
      <c r="A5209" t="s">
        <v>77</v>
      </c>
      <c r="B5209" s="1">
        <v>45108</v>
      </c>
      <c r="C5209" s="2">
        <v>3451844</v>
      </c>
      <c r="D5209" s="2">
        <v>9101</v>
      </c>
      <c r="E5209" s="2">
        <v>3240961</v>
      </c>
      <c r="F5209" s="2">
        <v>-2318</v>
      </c>
      <c r="G5209" s="2">
        <v>-12083</v>
      </c>
      <c r="H5209" s="2">
        <v>210883</v>
      </c>
      <c r="I5209" s="2">
        <v>11419</v>
      </c>
    </row>
    <row r="5210" spans="1:9" x14ac:dyDescent="0.3">
      <c r="A5210" t="s">
        <v>77</v>
      </c>
      <c r="B5210" s="1">
        <v>45078</v>
      </c>
      <c r="C5210" s="2">
        <v>3454621</v>
      </c>
      <c r="D5210" s="2">
        <v>-17241</v>
      </c>
      <c r="E5210" s="2">
        <v>3255157</v>
      </c>
      <c r="F5210" s="2">
        <v>-6093</v>
      </c>
      <c r="G5210" s="2">
        <v>-24484</v>
      </c>
      <c r="H5210" s="2">
        <v>199464</v>
      </c>
      <c r="I5210" s="2">
        <v>-11148</v>
      </c>
    </row>
    <row r="5211" spans="1:9" x14ac:dyDescent="0.3">
      <c r="A5211" t="s">
        <v>77</v>
      </c>
      <c r="B5211" s="1">
        <v>45047</v>
      </c>
      <c r="C5211" s="2">
        <v>3488265</v>
      </c>
      <c r="D5211" s="2">
        <v>-18503</v>
      </c>
      <c r="E5211" s="2">
        <v>3277653</v>
      </c>
      <c r="F5211" s="2">
        <v>440</v>
      </c>
      <c r="G5211" s="2">
        <v>-38977</v>
      </c>
      <c r="H5211" s="2">
        <v>210612</v>
      </c>
      <c r="I5211" s="2">
        <v>-18943</v>
      </c>
    </row>
    <row r="5212" spans="1:9" x14ac:dyDescent="0.3">
      <c r="A5212" t="s">
        <v>77</v>
      </c>
      <c r="B5212" s="1">
        <v>45017</v>
      </c>
      <c r="C5212" s="2">
        <v>3549380</v>
      </c>
      <c r="D5212" s="2">
        <v>39910</v>
      </c>
      <c r="E5212" s="2">
        <v>3319825</v>
      </c>
      <c r="F5212" s="2">
        <v>57532</v>
      </c>
      <c r="G5212" s="2">
        <v>12531</v>
      </c>
      <c r="H5212" s="2">
        <v>229555</v>
      </c>
      <c r="I5212" s="2">
        <v>-17622</v>
      </c>
    </row>
    <row r="5213" spans="1:9" x14ac:dyDescent="0.3">
      <c r="A5213" t="s">
        <v>77</v>
      </c>
      <c r="B5213" s="1">
        <v>44986</v>
      </c>
      <c r="C5213" s="2">
        <v>3502236</v>
      </c>
      <c r="D5213" s="2">
        <v>-6221</v>
      </c>
      <c r="E5213" s="2">
        <v>3255059</v>
      </c>
      <c r="F5213" s="2">
        <v>-11363</v>
      </c>
      <c r="G5213" s="2">
        <v>71495</v>
      </c>
      <c r="H5213" s="2">
        <v>247177</v>
      </c>
      <c r="I5213" s="2">
        <v>5142</v>
      </c>
    </row>
    <row r="5214" spans="1:9" x14ac:dyDescent="0.3">
      <c r="A5214" t="s">
        <v>77</v>
      </c>
      <c r="B5214" s="1">
        <v>44958</v>
      </c>
      <c r="C5214" s="2">
        <v>3428623</v>
      </c>
      <c r="D5214" s="2">
        <v>29034</v>
      </c>
      <c r="E5214" s="2">
        <v>3186588</v>
      </c>
      <c r="F5214" s="2">
        <v>29625</v>
      </c>
      <c r="G5214" s="2">
        <v>-60571</v>
      </c>
      <c r="H5214" s="2">
        <v>242035</v>
      </c>
      <c r="I5214" s="2">
        <v>-591</v>
      </c>
    </row>
    <row r="5215" spans="1:9" hidden="1" x14ac:dyDescent="0.3">
      <c r="A5215" t="s">
        <v>77</v>
      </c>
      <c r="B5215" s="1">
        <v>44927</v>
      </c>
      <c r="C5215" s="2">
        <v>3465999</v>
      </c>
      <c r="D5215" s="2" t="s">
        <v>3</v>
      </c>
      <c r="E5215" s="2">
        <v>3223373</v>
      </c>
      <c r="F5215" s="2" t="s">
        <v>3</v>
      </c>
      <c r="G5215" s="2" t="s">
        <v>3</v>
      </c>
      <c r="H5215" s="2">
        <v>242626</v>
      </c>
      <c r="I5215" s="2">
        <v>-2777</v>
      </c>
    </row>
    <row r="5216" spans="1:9" hidden="1" x14ac:dyDescent="0.3">
      <c r="A5216" t="s">
        <v>77</v>
      </c>
      <c r="B5216" s="1">
        <v>44896</v>
      </c>
      <c r="C5216" s="2">
        <v>3413597</v>
      </c>
      <c r="D5216" s="2" t="s">
        <v>3</v>
      </c>
      <c r="E5216" s="2">
        <v>3168194</v>
      </c>
      <c r="F5216" s="2" t="s">
        <v>3</v>
      </c>
      <c r="G5216" s="2" t="s">
        <v>3</v>
      </c>
      <c r="H5216" s="2">
        <v>245403</v>
      </c>
      <c r="I5216" s="2">
        <v>23459</v>
      </c>
    </row>
    <row r="5217" spans="1:9" hidden="1" x14ac:dyDescent="0.3">
      <c r="A5217" t="s">
        <v>77</v>
      </c>
      <c r="B5217" s="1">
        <v>44866</v>
      </c>
      <c r="C5217" s="2">
        <v>3405868</v>
      </c>
      <c r="D5217" s="2" t="s">
        <v>3</v>
      </c>
      <c r="E5217" s="2">
        <v>3183924</v>
      </c>
      <c r="F5217" s="2" t="s">
        <v>3</v>
      </c>
      <c r="G5217" s="2" t="s">
        <v>3</v>
      </c>
      <c r="H5217" s="2">
        <v>221944</v>
      </c>
      <c r="I5217" s="2">
        <v>13143</v>
      </c>
    </row>
    <row r="5218" spans="1:9" hidden="1" x14ac:dyDescent="0.3">
      <c r="A5218" t="s">
        <v>77</v>
      </c>
      <c r="B5218" s="1">
        <v>44835</v>
      </c>
      <c r="C5218" s="2">
        <v>3339422</v>
      </c>
      <c r="D5218" s="2" t="s">
        <v>3</v>
      </c>
      <c r="E5218" s="2">
        <v>3130621</v>
      </c>
      <c r="F5218" s="2" t="s">
        <v>3</v>
      </c>
      <c r="G5218" s="2" t="s">
        <v>3</v>
      </c>
      <c r="H5218" s="2">
        <v>208801</v>
      </c>
      <c r="I5218" s="2">
        <v>-11995</v>
      </c>
    </row>
    <row r="5219" spans="1:9" hidden="1" x14ac:dyDescent="0.3">
      <c r="A5219" t="s">
        <v>77</v>
      </c>
      <c r="B5219" s="1">
        <v>44805</v>
      </c>
      <c r="C5219" s="2">
        <v>3419325</v>
      </c>
      <c r="D5219" s="2" t="s">
        <v>3</v>
      </c>
      <c r="E5219" s="2">
        <v>3198529</v>
      </c>
      <c r="F5219" s="2" t="s">
        <v>3</v>
      </c>
      <c r="G5219" s="2" t="s">
        <v>3</v>
      </c>
      <c r="H5219" s="2">
        <v>220796</v>
      </c>
      <c r="I5219" s="2">
        <v>-11059</v>
      </c>
    </row>
    <row r="5220" spans="1:9" hidden="1" x14ac:dyDescent="0.3">
      <c r="A5220" t="s">
        <v>77</v>
      </c>
      <c r="B5220" s="1">
        <v>44774</v>
      </c>
      <c r="C5220" s="2">
        <v>3605727</v>
      </c>
      <c r="D5220" s="2" t="s">
        <v>3</v>
      </c>
      <c r="E5220" s="2">
        <v>3373872</v>
      </c>
      <c r="F5220" s="2" t="s">
        <v>3</v>
      </c>
      <c r="G5220" s="2" t="s">
        <v>3</v>
      </c>
      <c r="H5220" s="2">
        <v>231855</v>
      </c>
      <c r="I5220" s="2">
        <v>20</v>
      </c>
    </row>
    <row r="5221" spans="1:9" hidden="1" x14ac:dyDescent="0.3">
      <c r="A5221" t="s">
        <v>77</v>
      </c>
      <c r="B5221" s="1">
        <v>44743</v>
      </c>
      <c r="C5221" s="2">
        <v>3628391</v>
      </c>
      <c r="D5221" s="2" t="s">
        <v>3</v>
      </c>
      <c r="E5221" s="2">
        <v>3396556</v>
      </c>
      <c r="F5221" s="2" t="s">
        <v>3</v>
      </c>
      <c r="G5221" s="2" t="s">
        <v>3</v>
      </c>
      <c r="H5221" s="2">
        <v>231835</v>
      </c>
      <c r="I5221" s="2">
        <v>5213</v>
      </c>
    </row>
    <row r="5222" spans="1:9" hidden="1" x14ac:dyDescent="0.3">
      <c r="A5222" t="s">
        <v>77</v>
      </c>
      <c r="B5222" s="1">
        <v>44713</v>
      </c>
      <c r="C5222" s="2">
        <v>3595848</v>
      </c>
      <c r="D5222" s="2" t="s">
        <v>3</v>
      </c>
      <c r="E5222" s="2">
        <v>3369226</v>
      </c>
      <c r="F5222" s="2" t="s">
        <v>3</v>
      </c>
      <c r="G5222" s="2" t="s">
        <v>3</v>
      </c>
      <c r="H5222" s="2">
        <v>226622</v>
      </c>
      <c r="I5222" s="2">
        <v>-13836</v>
      </c>
    </row>
    <row r="5223" spans="1:9" hidden="1" x14ac:dyDescent="0.3">
      <c r="A5223" t="s">
        <v>77</v>
      </c>
      <c r="B5223" s="1">
        <v>44682</v>
      </c>
      <c r="C5223" s="2">
        <v>3581689</v>
      </c>
      <c r="D5223" s="2" t="s">
        <v>3</v>
      </c>
      <c r="E5223" s="2">
        <v>3341231</v>
      </c>
      <c r="F5223" s="2" t="s">
        <v>3</v>
      </c>
      <c r="G5223" s="2" t="s">
        <v>3</v>
      </c>
      <c r="H5223" s="2">
        <v>240458</v>
      </c>
      <c r="I5223" s="2">
        <v>-19541</v>
      </c>
    </row>
    <row r="5224" spans="1:9" hidden="1" x14ac:dyDescent="0.3">
      <c r="A5224" t="s">
        <v>77</v>
      </c>
      <c r="B5224" s="1">
        <v>44652</v>
      </c>
      <c r="C5224" s="2">
        <v>3620016</v>
      </c>
      <c r="D5224" s="2" t="s">
        <v>3</v>
      </c>
      <c r="E5224" s="2">
        <v>3360017</v>
      </c>
      <c r="F5224" s="2" t="s">
        <v>3</v>
      </c>
      <c r="G5224" s="2" t="s">
        <v>3</v>
      </c>
      <c r="H5224" s="2">
        <v>259999</v>
      </c>
      <c r="I5224" s="2">
        <v>-305</v>
      </c>
    </row>
    <row r="5225" spans="1:9" hidden="1" x14ac:dyDescent="0.3">
      <c r="A5225" t="s">
        <v>77</v>
      </c>
      <c r="B5225" s="1">
        <v>44621</v>
      </c>
      <c r="C5225" s="2">
        <v>3728617</v>
      </c>
      <c r="D5225" s="2" t="s">
        <v>3</v>
      </c>
      <c r="E5225" s="2">
        <v>3468313</v>
      </c>
      <c r="F5225" s="2" t="s">
        <v>3</v>
      </c>
      <c r="G5225" s="2" t="s">
        <v>3</v>
      </c>
      <c r="H5225" s="2">
        <v>260304</v>
      </c>
      <c r="I5225" s="2">
        <v>8457</v>
      </c>
    </row>
    <row r="5226" spans="1:9" hidden="1" x14ac:dyDescent="0.3">
      <c r="A5226" t="s">
        <v>77</v>
      </c>
      <c r="B5226" s="1">
        <v>44593</v>
      </c>
      <c r="C5226" s="2">
        <v>3842386</v>
      </c>
      <c r="D5226" s="2" t="s">
        <v>3</v>
      </c>
      <c r="E5226" s="2">
        <v>3590539</v>
      </c>
      <c r="F5226" s="2" t="s">
        <v>3</v>
      </c>
      <c r="G5226" s="2" t="s">
        <v>3</v>
      </c>
      <c r="H5226" s="2">
        <v>251847</v>
      </c>
      <c r="I5226" s="2">
        <v>1407</v>
      </c>
    </row>
    <row r="5227" spans="1:9" hidden="1" x14ac:dyDescent="0.3">
      <c r="A5227" t="s">
        <v>77</v>
      </c>
      <c r="B5227" s="1">
        <v>44562</v>
      </c>
      <c r="C5227" s="2">
        <v>3863708</v>
      </c>
      <c r="D5227" s="2" t="s">
        <v>3</v>
      </c>
      <c r="E5227" s="2">
        <v>3613268</v>
      </c>
      <c r="F5227" s="2" t="s">
        <v>3</v>
      </c>
      <c r="G5227" s="2" t="s">
        <v>3</v>
      </c>
      <c r="H5227" s="2">
        <v>250440</v>
      </c>
      <c r="I5227" s="2">
        <v>6153</v>
      </c>
    </row>
    <row r="5228" spans="1:9" hidden="1" x14ac:dyDescent="0.3">
      <c r="A5228" t="s">
        <v>77</v>
      </c>
      <c r="B5228" s="1">
        <v>44531</v>
      </c>
      <c r="C5228" s="2">
        <v>3876771</v>
      </c>
      <c r="D5228" s="2" t="s">
        <v>3</v>
      </c>
      <c r="E5228" s="2">
        <v>3632484</v>
      </c>
      <c r="F5228" s="2" t="s">
        <v>3</v>
      </c>
      <c r="G5228" s="2" t="s">
        <v>3</v>
      </c>
      <c r="H5228" s="2">
        <v>244287</v>
      </c>
      <c r="I5228" s="2">
        <v>5201</v>
      </c>
    </row>
    <row r="5229" spans="1:9" hidden="1" x14ac:dyDescent="0.3">
      <c r="A5229" t="s">
        <v>77</v>
      </c>
      <c r="B5229" s="1">
        <v>44501</v>
      </c>
      <c r="C5229" s="2">
        <v>3920434</v>
      </c>
      <c r="D5229" s="2" t="s">
        <v>3</v>
      </c>
      <c r="E5229" s="2">
        <v>3681348</v>
      </c>
      <c r="F5229" s="2" t="s">
        <v>3</v>
      </c>
      <c r="G5229" s="2" t="s">
        <v>3</v>
      </c>
      <c r="H5229" s="2">
        <v>239086</v>
      </c>
      <c r="I5229" s="2">
        <v>5820</v>
      </c>
    </row>
    <row r="5230" spans="1:9" hidden="1" x14ac:dyDescent="0.3">
      <c r="A5230" t="s">
        <v>77</v>
      </c>
      <c r="B5230" s="1">
        <v>44470</v>
      </c>
      <c r="C5230" s="2">
        <v>3923154</v>
      </c>
      <c r="D5230" s="2" t="s">
        <v>3</v>
      </c>
      <c r="E5230" s="2">
        <v>3689888</v>
      </c>
      <c r="F5230" s="2" t="s">
        <v>3</v>
      </c>
      <c r="G5230" s="2" t="s">
        <v>3</v>
      </c>
      <c r="H5230" s="2">
        <v>233266</v>
      </c>
      <c r="I5230" s="2">
        <v>3549</v>
      </c>
    </row>
    <row r="5231" spans="1:9" hidden="1" x14ac:dyDescent="0.3">
      <c r="A5231" t="s">
        <v>77</v>
      </c>
      <c r="B5231" s="1">
        <v>44440</v>
      </c>
      <c r="C5231" s="2">
        <v>3902357</v>
      </c>
      <c r="D5231" s="2" t="s">
        <v>3</v>
      </c>
      <c r="E5231" s="2">
        <v>3672640</v>
      </c>
      <c r="F5231" s="2" t="s">
        <v>3</v>
      </c>
      <c r="G5231" s="2" t="s">
        <v>3</v>
      </c>
      <c r="H5231" s="2">
        <v>229717</v>
      </c>
      <c r="I5231" s="2">
        <v>1471</v>
      </c>
    </row>
    <row r="5232" spans="1:9" hidden="1" x14ac:dyDescent="0.3">
      <c r="A5232" t="s">
        <v>77</v>
      </c>
      <c r="B5232" s="1">
        <v>44409</v>
      </c>
      <c r="C5232" s="2">
        <v>3906678</v>
      </c>
      <c r="D5232" s="2" t="s">
        <v>3</v>
      </c>
      <c r="E5232" s="2">
        <v>3678432</v>
      </c>
      <c r="F5232" s="2" t="s">
        <v>3</v>
      </c>
      <c r="G5232" s="2" t="s">
        <v>3</v>
      </c>
      <c r="H5232" s="2">
        <v>228246</v>
      </c>
      <c r="I5232" s="2">
        <v>-10393</v>
      </c>
    </row>
    <row r="5233" spans="1:9" hidden="1" x14ac:dyDescent="0.3">
      <c r="A5233" t="s">
        <v>77</v>
      </c>
      <c r="B5233" s="1">
        <v>44378</v>
      </c>
      <c r="C5233" s="2">
        <v>3935835</v>
      </c>
      <c r="D5233" s="2" t="s">
        <v>3</v>
      </c>
      <c r="E5233" s="2">
        <v>3697196</v>
      </c>
      <c r="F5233" s="2" t="s">
        <v>3</v>
      </c>
      <c r="G5233" s="2" t="s">
        <v>3</v>
      </c>
      <c r="H5233" s="2">
        <v>238639</v>
      </c>
      <c r="I5233" s="2">
        <v>6902</v>
      </c>
    </row>
    <row r="5234" spans="1:9" hidden="1" x14ac:dyDescent="0.3">
      <c r="A5234" t="s">
        <v>77</v>
      </c>
      <c r="B5234" s="1">
        <v>44348</v>
      </c>
      <c r="C5234" s="2">
        <v>3884116</v>
      </c>
      <c r="D5234" s="2" t="s">
        <v>3</v>
      </c>
      <c r="E5234" s="2">
        <v>3652379</v>
      </c>
      <c r="F5234" s="2" t="s">
        <v>3</v>
      </c>
      <c r="G5234" s="2" t="s">
        <v>3</v>
      </c>
      <c r="H5234" s="2">
        <v>231737</v>
      </c>
      <c r="I5234" s="2">
        <v>-11623</v>
      </c>
    </row>
    <row r="5235" spans="1:9" hidden="1" x14ac:dyDescent="0.3">
      <c r="A5235" t="s">
        <v>77</v>
      </c>
      <c r="B5235" s="1">
        <v>44317</v>
      </c>
      <c r="C5235" s="2">
        <v>3857328</v>
      </c>
      <c r="D5235" s="2" t="s">
        <v>3</v>
      </c>
      <c r="E5235" s="2">
        <v>3613968</v>
      </c>
      <c r="F5235" s="2" t="s">
        <v>3</v>
      </c>
      <c r="G5235" s="2" t="s">
        <v>3</v>
      </c>
      <c r="H5235" s="2">
        <v>243360</v>
      </c>
      <c r="I5235" s="2">
        <v>-18969</v>
      </c>
    </row>
    <row r="5236" spans="1:9" hidden="1" x14ac:dyDescent="0.3">
      <c r="A5236" t="s">
        <v>77</v>
      </c>
      <c r="B5236" s="1">
        <v>44287</v>
      </c>
      <c r="C5236" s="2">
        <v>3855420</v>
      </c>
      <c r="D5236" s="2" t="s">
        <v>3</v>
      </c>
      <c r="E5236" s="2">
        <v>3593091</v>
      </c>
      <c r="F5236" s="2" t="s">
        <v>3</v>
      </c>
      <c r="G5236" s="2" t="s">
        <v>3</v>
      </c>
      <c r="H5236" s="2">
        <v>262329</v>
      </c>
      <c r="I5236" s="2">
        <v>-39855</v>
      </c>
    </row>
    <row r="5237" spans="1:9" hidden="1" x14ac:dyDescent="0.3">
      <c r="A5237" t="s">
        <v>77</v>
      </c>
      <c r="B5237" s="1">
        <v>44256</v>
      </c>
      <c r="C5237" s="2">
        <v>3833138</v>
      </c>
      <c r="D5237" s="2" t="s">
        <v>3</v>
      </c>
      <c r="E5237" s="2">
        <v>3530954</v>
      </c>
      <c r="F5237" s="2" t="s">
        <v>3</v>
      </c>
      <c r="G5237" s="2" t="s">
        <v>3</v>
      </c>
      <c r="H5237" s="2">
        <v>302184</v>
      </c>
      <c r="I5237" s="2">
        <v>-34972</v>
      </c>
    </row>
    <row r="5238" spans="1:9" hidden="1" x14ac:dyDescent="0.3">
      <c r="A5238" t="s">
        <v>77</v>
      </c>
      <c r="B5238" s="1">
        <v>44228</v>
      </c>
      <c r="C5238" s="2">
        <v>3869134</v>
      </c>
      <c r="D5238" s="2" t="s">
        <v>3</v>
      </c>
      <c r="E5238" s="2">
        <v>3531978</v>
      </c>
      <c r="F5238" s="2" t="s">
        <v>3</v>
      </c>
      <c r="G5238" s="2" t="s">
        <v>3</v>
      </c>
      <c r="H5238" s="2">
        <v>337156</v>
      </c>
      <c r="I5238" s="2">
        <v>30294</v>
      </c>
    </row>
    <row r="5239" spans="1:9" hidden="1" x14ac:dyDescent="0.3">
      <c r="A5239" t="s">
        <v>77</v>
      </c>
      <c r="B5239" s="1">
        <v>44197</v>
      </c>
      <c r="C5239" s="2">
        <v>3871871</v>
      </c>
      <c r="D5239" s="2" t="s">
        <v>3</v>
      </c>
      <c r="E5239" s="2">
        <v>3565009</v>
      </c>
      <c r="F5239" s="2" t="s">
        <v>3</v>
      </c>
      <c r="G5239" s="2" t="s">
        <v>3</v>
      </c>
      <c r="H5239" s="2">
        <v>306862</v>
      </c>
      <c r="I5239" s="2">
        <v>13273</v>
      </c>
    </row>
    <row r="5240" spans="1:9" hidden="1" x14ac:dyDescent="0.3">
      <c r="A5240" t="s">
        <v>77</v>
      </c>
      <c r="B5240" s="1">
        <v>44166</v>
      </c>
      <c r="C5240" s="2">
        <v>3823177</v>
      </c>
      <c r="D5240" s="2" t="s">
        <v>3</v>
      </c>
      <c r="E5240" s="2">
        <v>3529588</v>
      </c>
      <c r="F5240" s="2" t="s">
        <v>3</v>
      </c>
      <c r="G5240" s="2" t="s">
        <v>3</v>
      </c>
      <c r="H5240" s="2">
        <v>293589</v>
      </c>
      <c r="I5240" s="2">
        <v>-6447</v>
      </c>
    </row>
    <row r="5241" spans="1:9" hidden="1" x14ac:dyDescent="0.3">
      <c r="A5241" t="s">
        <v>77</v>
      </c>
      <c r="B5241" s="1">
        <v>44136</v>
      </c>
      <c r="C5241" s="2">
        <v>3824318</v>
      </c>
      <c r="D5241" s="2" t="s">
        <v>3</v>
      </c>
      <c r="E5241" s="2">
        <v>3524282</v>
      </c>
      <c r="F5241" s="2" t="s">
        <v>3</v>
      </c>
      <c r="G5241" s="2" t="s">
        <v>3</v>
      </c>
      <c r="H5241" s="2">
        <v>300036</v>
      </c>
      <c r="I5241" s="2">
        <v>-2186</v>
      </c>
    </row>
    <row r="5242" spans="1:9" hidden="1" x14ac:dyDescent="0.3">
      <c r="A5242" t="s">
        <v>77</v>
      </c>
      <c r="B5242" s="1">
        <v>44105</v>
      </c>
      <c r="C5242" s="2">
        <v>3814467</v>
      </c>
      <c r="D5242" s="2" t="s">
        <v>3</v>
      </c>
      <c r="E5242" s="2">
        <v>3512245</v>
      </c>
      <c r="F5242" s="2" t="s">
        <v>3</v>
      </c>
      <c r="G5242" s="2" t="s">
        <v>3</v>
      </c>
      <c r="H5242" s="2">
        <v>302222</v>
      </c>
      <c r="I5242" s="2">
        <v>-54</v>
      </c>
    </row>
    <row r="5243" spans="1:9" hidden="1" x14ac:dyDescent="0.3">
      <c r="A5243" t="s">
        <v>77</v>
      </c>
      <c r="B5243" s="1">
        <v>44075</v>
      </c>
      <c r="C5243" s="2">
        <v>3831368</v>
      </c>
      <c r="D5243" s="2" t="s">
        <v>3</v>
      </c>
      <c r="E5243" s="2">
        <v>3529092</v>
      </c>
      <c r="F5243" s="2" t="s">
        <v>3</v>
      </c>
      <c r="G5243" s="2" t="s">
        <v>3</v>
      </c>
      <c r="H5243" s="2">
        <v>302276</v>
      </c>
      <c r="I5243" s="2">
        <v>696</v>
      </c>
    </row>
    <row r="5244" spans="1:9" hidden="1" x14ac:dyDescent="0.3">
      <c r="A5244" t="s">
        <v>77</v>
      </c>
      <c r="B5244" s="1">
        <v>44044</v>
      </c>
      <c r="C5244" s="2">
        <v>3829281</v>
      </c>
      <c r="D5244" s="2" t="s">
        <v>3</v>
      </c>
      <c r="E5244" s="2">
        <v>3527701</v>
      </c>
      <c r="F5244" s="2" t="s">
        <v>3</v>
      </c>
      <c r="G5244" s="2" t="s">
        <v>3</v>
      </c>
      <c r="H5244" s="2">
        <v>301580</v>
      </c>
      <c r="I5244" s="2">
        <v>-10110</v>
      </c>
    </row>
    <row r="5245" spans="1:9" hidden="1" x14ac:dyDescent="0.3">
      <c r="A5245" t="s">
        <v>77</v>
      </c>
      <c r="B5245" s="1">
        <v>44013</v>
      </c>
      <c r="C5245" s="2">
        <v>3848435</v>
      </c>
      <c r="D5245" s="2" t="s">
        <v>3</v>
      </c>
      <c r="E5245" s="2">
        <v>3536745</v>
      </c>
      <c r="F5245" s="2" t="s">
        <v>3</v>
      </c>
      <c r="G5245" s="2" t="s">
        <v>3</v>
      </c>
      <c r="H5245" s="2">
        <v>311690</v>
      </c>
      <c r="I5245" s="2">
        <v>12412</v>
      </c>
    </row>
    <row r="5246" spans="1:9" hidden="1" x14ac:dyDescent="0.3">
      <c r="A5246" t="s">
        <v>77</v>
      </c>
      <c r="B5246" s="1">
        <v>43983</v>
      </c>
      <c r="C5246" s="2">
        <v>3784627</v>
      </c>
      <c r="D5246" s="2" t="s">
        <v>3</v>
      </c>
      <c r="E5246" s="2">
        <v>3485349</v>
      </c>
      <c r="F5246" s="2" t="s">
        <v>3</v>
      </c>
      <c r="G5246" s="2" t="s">
        <v>3</v>
      </c>
      <c r="H5246" s="2">
        <v>299278</v>
      </c>
      <c r="I5246" s="2">
        <v>7541</v>
      </c>
    </row>
    <row r="5247" spans="1:9" hidden="1" x14ac:dyDescent="0.3">
      <c r="A5247" t="s">
        <v>77</v>
      </c>
      <c r="B5247" s="1">
        <v>43952</v>
      </c>
      <c r="C5247" s="2">
        <v>3769204</v>
      </c>
      <c r="D5247" s="2" t="s">
        <v>3</v>
      </c>
      <c r="E5247" s="2">
        <v>3477467</v>
      </c>
      <c r="F5247" s="2" t="s">
        <v>3</v>
      </c>
      <c r="G5247" s="2" t="s">
        <v>3</v>
      </c>
      <c r="H5247" s="2">
        <v>291737</v>
      </c>
      <c r="I5247" s="2">
        <v>28361</v>
      </c>
    </row>
    <row r="5248" spans="1:9" hidden="1" x14ac:dyDescent="0.3">
      <c r="A5248" t="s">
        <v>77</v>
      </c>
      <c r="B5248" s="1">
        <v>43922</v>
      </c>
      <c r="C5248" s="2">
        <v>3738350</v>
      </c>
      <c r="D5248" s="2" t="s">
        <v>3</v>
      </c>
      <c r="E5248" s="2">
        <v>3474974</v>
      </c>
      <c r="F5248" s="2" t="s">
        <v>3</v>
      </c>
      <c r="G5248" s="2" t="s">
        <v>3</v>
      </c>
      <c r="H5248" s="2">
        <v>263376</v>
      </c>
      <c r="I5248" s="2">
        <v>37085</v>
      </c>
    </row>
    <row r="5249" spans="1:9" hidden="1" x14ac:dyDescent="0.3">
      <c r="A5249" t="s">
        <v>77</v>
      </c>
      <c r="B5249" s="1">
        <v>43891</v>
      </c>
      <c r="C5249" s="2">
        <v>3771264</v>
      </c>
      <c r="D5249" s="2" t="s">
        <v>3</v>
      </c>
      <c r="E5249" s="2">
        <v>3544973</v>
      </c>
      <c r="F5249" s="2" t="s">
        <v>3</v>
      </c>
      <c r="G5249" s="2" t="s">
        <v>3</v>
      </c>
      <c r="H5249" s="2">
        <v>226291</v>
      </c>
      <c r="I5249" s="2">
        <v>-18756</v>
      </c>
    </row>
    <row r="5250" spans="1:9" hidden="1" x14ac:dyDescent="0.3">
      <c r="A5250" t="s">
        <v>77</v>
      </c>
      <c r="B5250" s="1">
        <v>43862</v>
      </c>
      <c r="C5250" s="2">
        <v>3885455</v>
      </c>
      <c r="D5250" s="2" t="s">
        <v>3</v>
      </c>
      <c r="E5250" s="2">
        <v>3640408</v>
      </c>
      <c r="F5250" s="2" t="s">
        <v>3</v>
      </c>
      <c r="G5250" s="2" t="s">
        <v>3</v>
      </c>
      <c r="H5250" s="2">
        <v>245047</v>
      </c>
      <c r="I5250" s="2">
        <v>7171</v>
      </c>
    </row>
    <row r="5251" spans="1:9" hidden="1" x14ac:dyDescent="0.3">
      <c r="A5251" t="s">
        <v>77</v>
      </c>
      <c r="B5251" s="1">
        <v>43831</v>
      </c>
      <c r="C5251" s="2">
        <v>3786788</v>
      </c>
      <c r="D5251" s="2" t="s">
        <v>3</v>
      </c>
      <c r="E5251" s="2">
        <v>3548912</v>
      </c>
      <c r="F5251" s="2" t="s">
        <v>3</v>
      </c>
      <c r="G5251" s="2" t="s">
        <v>3</v>
      </c>
      <c r="H5251" s="2">
        <v>237876</v>
      </c>
      <c r="I5251" s="2">
        <v>18501</v>
      </c>
    </row>
    <row r="5252" spans="1:9" x14ac:dyDescent="0.3">
      <c r="A5252" t="s">
        <v>78</v>
      </c>
      <c r="B5252" s="1">
        <v>45931</v>
      </c>
      <c r="C5252" s="2">
        <v>519</v>
      </c>
      <c r="D5252" s="2">
        <v>24</v>
      </c>
      <c r="E5252" s="2">
        <v>44</v>
      </c>
      <c r="F5252" s="2">
        <v>0</v>
      </c>
      <c r="G5252" s="2">
        <v>0</v>
      </c>
      <c r="H5252" s="2">
        <v>475</v>
      </c>
      <c r="I5252" s="2">
        <v>24</v>
      </c>
    </row>
    <row r="5253" spans="1:9" x14ac:dyDescent="0.3">
      <c r="A5253" t="s">
        <v>78</v>
      </c>
      <c r="B5253" s="1">
        <v>45901</v>
      </c>
      <c r="C5253" s="2">
        <v>495</v>
      </c>
      <c r="D5253" s="2">
        <v>4</v>
      </c>
      <c r="E5253" s="2">
        <v>44</v>
      </c>
      <c r="F5253" s="2">
        <v>1</v>
      </c>
      <c r="G5253" s="2">
        <v>-1</v>
      </c>
      <c r="H5253" s="2">
        <v>451</v>
      </c>
      <c r="I5253" s="2">
        <v>3</v>
      </c>
    </row>
    <row r="5254" spans="1:9" x14ac:dyDescent="0.3">
      <c r="A5254" t="s">
        <v>78</v>
      </c>
      <c r="B5254" s="1">
        <v>45870</v>
      </c>
      <c r="C5254" s="2">
        <v>492</v>
      </c>
      <c r="D5254" s="2">
        <v>1</v>
      </c>
      <c r="E5254" s="2">
        <v>44</v>
      </c>
      <c r="F5254" s="2">
        <v>1</v>
      </c>
      <c r="G5254" s="2">
        <v>0</v>
      </c>
      <c r="H5254" s="2">
        <v>448</v>
      </c>
      <c r="I5254" s="2">
        <v>0</v>
      </c>
    </row>
    <row r="5255" spans="1:9" x14ac:dyDescent="0.3">
      <c r="A5255" t="s">
        <v>78</v>
      </c>
      <c r="B5255" s="1">
        <v>45839</v>
      </c>
      <c r="C5255" s="2">
        <v>491</v>
      </c>
      <c r="D5255" s="2">
        <v>10</v>
      </c>
      <c r="E5255" s="2">
        <v>43</v>
      </c>
      <c r="F5255" s="2">
        <v>1</v>
      </c>
      <c r="G5255" s="2">
        <v>0</v>
      </c>
      <c r="H5255" s="2">
        <v>448</v>
      </c>
      <c r="I5255" s="2">
        <v>9</v>
      </c>
    </row>
    <row r="5256" spans="1:9" x14ac:dyDescent="0.3">
      <c r="A5256" t="s">
        <v>78</v>
      </c>
      <c r="B5256" s="1">
        <v>45809</v>
      </c>
      <c r="C5256" s="2">
        <v>481</v>
      </c>
      <c r="D5256" s="2">
        <v>-98</v>
      </c>
      <c r="E5256" s="2">
        <v>42</v>
      </c>
      <c r="F5256" s="2">
        <v>-3</v>
      </c>
      <c r="G5256" s="2">
        <v>-1</v>
      </c>
      <c r="H5256" s="2">
        <v>439</v>
      </c>
      <c r="I5256" s="2">
        <v>-95</v>
      </c>
    </row>
    <row r="5257" spans="1:9" x14ac:dyDescent="0.3">
      <c r="A5257" t="s">
        <v>78</v>
      </c>
      <c r="B5257" s="1">
        <v>45778</v>
      </c>
      <c r="C5257" s="2">
        <v>582</v>
      </c>
      <c r="D5257" s="2">
        <v>44</v>
      </c>
      <c r="E5257" s="2">
        <v>48</v>
      </c>
      <c r="F5257" s="2">
        <v>2</v>
      </c>
      <c r="G5257" s="2">
        <v>0</v>
      </c>
      <c r="H5257" s="2">
        <v>534</v>
      </c>
      <c r="I5257" s="2">
        <v>42</v>
      </c>
    </row>
    <row r="5258" spans="1:9" x14ac:dyDescent="0.3">
      <c r="A5258" t="s">
        <v>78</v>
      </c>
      <c r="B5258" s="1">
        <v>45748</v>
      </c>
      <c r="C5258" s="2">
        <v>537</v>
      </c>
      <c r="D5258" s="2">
        <v>15</v>
      </c>
      <c r="E5258" s="2">
        <v>45</v>
      </c>
      <c r="F5258" s="2">
        <v>6</v>
      </c>
      <c r="G5258" s="2">
        <v>0</v>
      </c>
      <c r="H5258" s="2">
        <v>492</v>
      </c>
      <c r="I5258" s="2">
        <v>9</v>
      </c>
    </row>
    <row r="5259" spans="1:9" x14ac:dyDescent="0.3">
      <c r="A5259" t="s">
        <v>78</v>
      </c>
      <c r="B5259" s="1">
        <v>45717</v>
      </c>
      <c r="C5259" s="2">
        <v>522</v>
      </c>
      <c r="D5259" s="2">
        <v>25</v>
      </c>
      <c r="E5259" s="2">
        <v>39</v>
      </c>
      <c r="F5259" s="2">
        <v>0</v>
      </c>
      <c r="G5259" s="2">
        <v>-1</v>
      </c>
      <c r="H5259" s="2">
        <v>483</v>
      </c>
      <c r="I5259" s="2">
        <v>25</v>
      </c>
    </row>
    <row r="5260" spans="1:9" x14ac:dyDescent="0.3">
      <c r="A5260" t="s">
        <v>78</v>
      </c>
      <c r="B5260" s="1">
        <v>45689</v>
      </c>
      <c r="C5260" s="2">
        <v>500</v>
      </c>
      <c r="D5260" s="2">
        <v>37</v>
      </c>
      <c r="E5260" s="2">
        <v>42</v>
      </c>
      <c r="F5260" s="2">
        <v>1</v>
      </c>
      <c r="G5260" s="2">
        <v>1</v>
      </c>
      <c r="H5260" s="2">
        <v>458</v>
      </c>
      <c r="I5260" s="2">
        <v>36</v>
      </c>
    </row>
    <row r="5261" spans="1:9" x14ac:dyDescent="0.3">
      <c r="A5261" t="s">
        <v>78</v>
      </c>
      <c r="B5261" s="1">
        <v>45658</v>
      </c>
      <c r="C5261" s="2">
        <v>465</v>
      </c>
      <c r="D5261" s="2">
        <v>29</v>
      </c>
      <c r="E5261" s="2">
        <v>43</v>
      </c>
      <c r="F5261" s="2">
        <v>2</v>
      </c>
      <c r="G5261" s="2">
        <v>0</v>
      </c>
      <c r="H5261" s="2">
        <v>422</v>
      </c>
      <c r="I5261" s="2">
        <v>27</v>
      </c>
    </row>
    <row r="5262" spans="1:9" x14ac:dyDescent="0.3">
      <c r="A5262" t="s">
        <v>78</v>
      </c>
      <c r="B5262" s="1">
        <v>45627</v>
      </c>
      <c r="C5262" s="2">
        <v>435</v>
      </c>
      <c r="D5262" s="2">
        <v>2</v>
      </c>
      <c r="E5262" s="2">
        <v>40</v>
      </c>
      <c r="F5262" s="2">
        <v>-2</v>
      </c>
      <c r="G5262" s="2">
        <v>-1</v>
      </c>
      <c r="H5262" s="2">
        <v>395</v>
      </c>
      <c r="I5262" s="2">
        <v>4</v>
      </c>
    </row>
    <row r="5263" spans="1:9" x14ac:dyDescent="0.3">
      <c r="A5263" t="s">
        <v>78</v>
      </c>
      <c r="B5263" s="1">
        <v>45597</v>
      </c>
      <c r="C5263" s="2">
        <v>434</v>
      </c>
      <c r="D5263" s="2">
        <v>-35</v>
      </c>
      <c r="E5263" s="2">
        <v>43</v>
      </c>
      <c r="F5263" s="2">
        <v>2</v>
      </c>
      <c r="G5263" s="2">
        <v>-1</v>
      </c>
      <c r="H5263" s="2">
        <v>391</v>
      </c>
      <c r="I5263" s="2">
        <v>-37</v>
      </c>
    </row>
    <row r="5264" spans="1:9" x14ac:dyDescent="0.3">
      <c r="A5264" t="s">
        <v>78</v>
      </c>
      <c r="B5264" s="1">
        <v>45566</v>
      </c>
      <c r="C5264" s="2">
        <v>471</v>
      </c>
      <c r="D5264" s="2">
        <v>18</v>
      </c>
      <c r="E5264" s="2">
        <v>43</v>
      </c>
      <c r="F5264" s="2">
        <v>0</v>
      </c>
      <c r="G5264" s="2">
        <v>-1</v>
      </c>
      <c r="H5264" s="2">
        <v>428</v>
      </c>
      <c r="I5264" s="2">
        <v>18</v>
      </c>
    </row>
    <row r="5265" spans="1:9" x14ac:dyDescent="0.3">
      <c r="A5265" t="s">
        <v>78</v>
      </c>
      <c r="B5265" s="1">
        <v>45536</v>
      </c>
      <c r="C5265" s="2">
        <v>452</v>
      </c>
      <c r="D5265" s="2">
        <v>100</v>
      </c>
      <c r="E5265" s="2">
        <v>42</v>
      </c>
      <c r="F5265" s="2">
        <v>0</v>
      </c>
      <c r="G5265" s="2">
        <v>0</v>
      </c>
      <c r="H5265" s="2">
        <v>410</v>
      </c>
      <c r="I5265" s="2">
        <v>100</v>
      </c>
    </row>
    <row r="5266" spans="1:9" x14ac:dyDescent="0.3">
      <c r="A5266" t="s">
        <v>78</v>
      </c>
      <c r="B5266" s="1">
        <v>45505</v>
      </c>
      <c r="C5266" s="2">
        <v>352</v>
      </c>
      <c r="D5266" s="2">
        <v>-17</v>
      </c>
      <c r="E5266" s="2">
        <v>42</v>
      </c>
      <c r="F5266" s="2">
        <v>0</v>
      </c>
      <c r="G5266" s="2">
        <v>0</v>
      </c>
      <c r="H5266" s="2">
        <v>310</v>
      </c>
      <c r="I5266" s="2">
        <v>-17</v>
      </c>
    </row>
    <row r="5267" spans="1:9" x14ac:dyDescent="0.3">
      <c r="A5267" t="s">
        <v>78</v>
      </c>
      <c r="B5267" s="1">
        <v>45474</v>
      </c>
      <c r="C5267" s="2">
        <v>369</v>
      </c>
      <c r="D5267" s="2">
        <v>11</v>
      </c>
      <c r="E5267" s="2">
        <v>42</v>
      </c>
      <c r="F5267" s="2">
        <v>0</v>
      </c>
      <c r="G5267" s="2">
        <v>1</v>
      </c>
      <c r="H5267" s="2">
        <v>327</v>
      </c>
      <c r="I5267" s="2">
        <v>11</v>
      </c>
    </row>
    <row r="5268" spans="1:9" x14ac:dyDescent="0.3">
      <c r="A5268" t="s">
        <v>78</v>
      </c>
      <c r="B5268" s="1">
        <v>45444</v>
      </c>
      <c r="C5268" s="2">
        <v>356</v>
      </c>
      <c r="D5268" s="2">
        <v>-2</v>
      </c>
      <c r="E5268" s="2">
        <v>40</v>
      </c>
      <c r="F5268" s="2">
        <v>0</v>
      </c>
      <c r="G5268" s="2">
        <v>2</v>
      </c>
      <c r="H5268" s="2">
        <v>316</v>
      </c>
      <c r="I5268" s="2">
        <v>-2</v>
      </c>
    </row>
    <row r="5269" spans="1:9" x14ac:dyDescent="0.3">
      <c r="A5269" t="s">
        <v>78</v>
      </c>
      <c r="B5269" s="1">
        <v>45413</v>
      </c>
      <c r="C5269" s="2">
        <v>359</v>
      </c>
      <c r="D5269" s="2">
        <v>9</v>
      </c>
      <c r="E5269" s="2">
        <v>41</v>
      </c>
      <c r="F5269" s="2">
        <v>-2</v>
      </c>
      <c r="G5269" s="2">
        <v>1</v>
      </c>
      <c r="H5269" s="2">
        <v>318</v>
      </c>
      <c r="I5269" s="2">
        <v>11</v>
      </c>
    </row>
    <row r="5270" spans="1:9" x14ac:dyDescent="0.3">
      <c r="A5270" t="s">
        <v>78</v>
      </c>
      <c r="B5270" s="1">
        <v>45383</v>
      </c>
      <c r="C5270" s="2">
        <v>348</v>
      </c>
      <c r="D5270" s="2">
        <v>-7</v>
      </c>
      <c r="E5270" s="2">
        <v>41</v>
      </c>
      <c r="F5270" s="2">
        <v>4</v>
      </c>
      <c r="G5270" s="2">
        <v>-1</v>
      </c>
      <c r="H5270" s="2">
        <v>307</v>
      </c>
      <c r="I5270" s="2">
        <v>-11</v>
      </c>
    </row>
    <row r="5271" spans="1:9" x14ac:dyDescent="0.3">
      <c r="A5271" t="s">
        <v>78</v>
      </c>
      <c r="B5271" s="1">
        <v>45352</v>
      </c>
      <c r="C5271" s="2">
        <v>357</v>
      </c>
      <c r="D5271" s="2">
        <v>2</v>
      </c>
      <c r="E5271" s="2">
        <v>39</v>
      </c>
      <c r="F5271" s="2">
        <v>1</v>
      </c>
      <c r="G5271" s="2">
        <v>0</v>
      </c>
      <c r="H5271" s="2">
        <v>318</v>
      </c>
      <c r="I5271" s="2">
        <v>1</v>
      </c>
    </row>
    <row r="5272" spans="1:9" x14ac:dyDescent="0.3">
      <c r="A5272" t="s">
        <v>78</v>
      </c>
      <c r="B5272" s="1">
        <v>45323</v>
      </c>
      <c r="C5272" s="2">
        <v>355</v>
      </c>
      <c r="D5272" s="2">
        <v>24</v>
      </c>
      <c r="E5272" s="2">
        <v>38</v>
      </c>
      <c r="F5272" s="2">
        <v>3</v>
      </c>
      <c r="G5272" s="2">
        <v>0</v>
      </c>
      <c r="H5272" s="2">
        <v>317</v>
      </c>
      <c r="I5272" s="2">
        <v>21</v>
      </c>
    </row>
    <row r="5273" spans="1:9" x14ac:dyDescent="0.3">
      <c r="A5273" t="s">
        <v>78</v>
      </c>
      <c r="B5273" s="1">
        <v>45292</v>
      </c>
      <c r="C5273" s="2">
        <v>331</v>
      </c>
      <c r="D5273" s="2">
        <v>142</v>
      </c>
      <c r="E5273" s="2">
        <v>35</v>
      </c>
      <c r="F5273" s="2">
        <v>-2</v>
      </c>
      <c r="G5273" s="2">
        <v>15</v>
      </c>
      <c r="H5273" s="2">
        <v>296</v>
      </c>
      <c r="I5273" s="2">
        <v>144</v>
      </c>
    </row>
    <row r="5274" spans="1:9" x14ac:dyDescent="0.3">
      <c r="A5274" t="s">
        <v>78</v>
      </c>
      <c r="B5274" s="1">
        <v>45261</v>
      </c>
      <c r="C5274" s="2">
        <v>189</v>
      </c>
      <c r="D5274" s="2">
        <v>-45</v>
      </c>
      <c r="E5274" s="2">
        <v>37</v>
      </c>
      <c r="F5274" s="2">
        <v>7</v>
      </c>
      <c r="G5274" s="2">
        <v>20</v>
      </c>
      <c r="H5274" s="2">
        <v>152</v>
      </c>
      <c r="I5274" s="2">
        <v>-52</v>
      </c>
    </row>
    <row r="5275" spans="1:9" x14ac:dyDescent="0.3">
      <c r="A5275" t="s">
        <v>78</v>
      </c>
      <c r="B5275" s="1">
        <v>45231</v>
      </c>
      <c r="C5275" s="2">
        <v>234</v>
      </c>
      <c r="D5275" s="2">
        <v>0</v>
      </c>
      <c r="E5275" s="2">
        <v>30</v>
      </c>
      <c r="F5275" s="2">
        <v>0</v>
      </c>
      <c r="G5275" s="2">
        <v>0</v>
      </c>
      <c r="H5275" s="2">
        <v>204</v>
      </c>
      <c r="I5275" s="2">
        <v>0</v>
      </c>
    </row>
    <row r="5276" spans="1:9" x14ac:dyDescent="0.3">
      <c r="A5276" t="s">
        <v>78</v>
      </c>
      <c r="B5276" s="1">
        <v>45200</v>
      </c>
      <c r="C5276" s="2">
        <v>234</v>
      </c>
      <c r="D5276" s="2">
        <v>9</v>
      </c>
      <c r="E5276" s="2">
        <v>30</v>
      </c>
      <c r="F5276" s="2">
        <v>5</v>
      </c>
      <c r="G5276" s="2">
        <v>0</v>
      </c>
      <c r="H5276" s="2">
        <v>204</v>
      </c>
      <c r="I5276" s="2">
        <v>4</v>
      </c>
    </row>
    <row r="5277" spans="1:9" x14ac:dyDescent="0.3">
      <c r="A5277" t="s">
        <v>78</v>
      </c>
      <c r="B5277" s="1">
        <v>45170</v>
      </c>
      <c r="C5277" s="2">
        <v>225</v>
      </c>
      <c r="D5277" s="2">
        <v>-11</v>
      </c>
      <c r="E5277" s="2">
        <v>25</v>
      </c>
      <c r="F5277" s="2">
        <v>0</v>
      </c>
      <c r="G5277" s="2">
        <v>0</v>
      </c>
      <c r="H5277" s="2">
        <v>200</v>
      </c>
      <c r="I5277" s="2">
        <v>-11</v>
      </c>
    </row>
    <row r="5278" spans="1:9" x14ac:dyDescent="0.3">
      <c r="A5278" t="s">
        <v>78</v>
      </c>
      <c r="B5278" s="1">
        <v>45139</v>
      </c>
      <c r="C5278" s="2">
        <v>237</v>
      </c>
      <c r="D5278" s="2">
        <v>-53</v>
      </c>
      <c r="E5278" s="2">
        <v>26</v>
      </c>
      <c r="F5278" s="2">
        <v>0</v>
      </c>
      <c r="G5278" s="2">
        <v>0</v>
      </c>
      <c r="H5278" s="2">
        <v>211</v>
      </c>
      <c r="I5278" s="2">
        <v>-53</v>
      </c>
    </row>
    <row r="5279" spans="1:9" x14ac:dyDescent="0.3">
      <c r="A5279" t="s">
        <v>78</v>
      </c>
      <c r="B5279" s="1">
        <v>45108</v>
      </c>
      <c r="C5279" s="2">
        <v>290</v>
      </c>
      <c r="D5279" s="2">
        <v>147</v>
      </c>
      <c r="E5279" s="2">
        <v>26</v>
      </c>
      <c r="F5279" s="2">
        <v>0</v>
      </c>
      <c r="G5279" s="2">
        <v>0</v>
      </c>
      <c r="H5279" s="2">
        <v>264</v>
      </c>
      <c r="I5279" s="2">
        <v>147</v>
      </c>
    </row>
    <row r="5280" spans="1:9" x14ac:dyDescent="0.3">
      <c r="A5280" t="s">
        <v>78</v>
      </c>
      <c r="B5280" s="1">
        <v>45078</v>
      </c>
      <c r="C5280" s="2">
        <v>143</v>
      </c>
      <c r="D5280" s="2">
        <v>51</v>
      </c>
      <c r="E5280" s="2">
        <v>26</v>
      </c>
      <c r="F5280" s="2">
        <v>0</v>
      </c>
      <c r="G5280" s="2">
        <v>0</v>
      </c>
      <c r="H5280" s="2">
        <v>117</v>
      </c>
      <c r="I5280" s="2">
        <v>51</v>
      </c>
    </row>
    <row r="5281" spans="1:9" x14ac:dyDescent="0.3">
      <c r="A5281" t="s">
        <v>78</v>
      </c>
      <c r="B5281" s="1">
        <v>45047</v>
      </c>
      <c r="C5281" s="2">
        <v>92</v>
      </c>
      <c r="D5281" s="2">
        <v>5</v>
      </c>
      <c r="E5281" s="2">
        <v>26</v>
      </c>
      <c r="F5281" s="2">
        <v>0</v>
      </c>
      <c r="G5281" s="2">
        <v>0</v>
      </c>
      <c r="H5281" s="2">
        <v>66</v>
      </c>
      <c r="I5281" s="2">
        <v>5</v>
      </c>
    </row>
    <row r="5282" spans="1:9" x14ac:dyDescent="0.3">
      <c r="A5282" t="s">
        <v>78</v>
      </c>
      <c r="B5282" s="1">
        <v>45017</v>
      </c>
      <c r="C5282" s="2">
        <v>87</v>
      </c>
      <c r="D5282" s="2">
        <v>-7</v>
      </c>
      <c r="E5282" s="2">
        <v>26</v>
      </c>
      <c r="F5282" s="2">
        <v>2</v>
      </c>
      <c r="G5282" s="2">
        <v>0</v>
      </c>
      <c r="H5282" s="2">
        <v>61</v>
      </c>
      <c r="I5282" s="2">
        <v>-9</v>
      </c>
    </row>
    <row r="5283" spans="1:9" x14ac:dyDescent="0.3">
      <c r="A5283" t="s">
        <v>78</v>
      </c>
      <c r="B5283" s="1">
        <v>44986</v>
      </c>
      <c r="C5283" s="2">
        <v>95</v>
      </c>
      <c r="D5283" s="2">
        <v>23</v>
      </c>
      <c r="E5283" s="2">
        <v>25</v>
      </c>
      <c r="F5283" s="2">
        <v>0</v>
      </c>
      <c r="G5283" s="2">
        <v>-1</v>
      </c>
      <c r="H5283" s="2">
        <v>70</v>
      </c>
      <c r="I5283" s="2">
        <v>23</v>
      </c>
    </row>
    <row r="5284" spans="1:9" x14ac:dyDescent="0.3">
      <c r="A5284" t="s">
        <v>78</v>
      </c>
      <c r="B5284" s="1">
        <v>44958</v>
      </c>
      <c r="C5284" s="2">
        <v>72</v>
      </c>
      <c r="D5284" s="2">
        <v>-2</v>
      </c>
      <c r="E5284" s="2">
        <v>25</v>
      </c>
      <c r="F5284" s="2">
        <v>0</v>
      </c>
      <c r="G5284" s="2">
        <v>1</v>
      </c>
      <c r="H5284" s="2">
        <v>47</v>
      </c>
      <c r="I5284" s="2">
        <v>-2</v>
      </c>
    </row>
    <row r="5285" spans="1:9" hidden="1" x14ac:dyDescent="0.3">
      <c r="A5285" t="s">
        <v>78</v>
      </c>
      <c r="B5285" s="1">
        <v>44927</v>
      </c>
      <c r="C5285" s="2">
        <v>73</v>
      </c>
      <c r="D5285" s="2" t="s">
        <v>3</v>
      </c>
      <c r="E5285" s="2">
        <v>24</v>
      </c>
      <c r="F5285" s="2" t="s">
        <v>3</v>
      </c>
      <c r="G5285" s="2" t="s">
        <v>3</v>
      </c>
      <c r="H5285" s="2">
        <v>49</v>
      </c>
      <c r="I5285" s="2">
        <v>33</v>
      </c>
    </row>
    <row r="5286" spans="1:9" hidden="1" x14ac:dyDescent="0.3">
      <c r="A5286" t="s">
        <v>78</v>
      </c>
      <c r="B5286" s="1">
        <v>44896</v>
      </c>
      <c r="C5286" s="2">
        <v>40</v>
      </c>
      <c r="D5286" s="2" t="s">
        <v>3</v>
      </c>
      <c r="E5286" s="2">
        <v>24</v>
      </c>
      <c r="F5286" s="2" t="s">
        <v>3</v>
      </c>
      <c r="G5286" s="2" t="s">
        <v>3</v>
      </c>
      <c r="H5286" s="2">
        <v>16</v>
      </c>
      <c r="I5286" s="2">
        <v>2</v>
      </c>
    </row>
    <row r="5287" spans="1:9" hidden="1" x14ac:dyDescent="0.3">
      <c r="A5287" t="s">
        <v>78</v>
      </c>
      <c r="B5287" s="1">
        <v>44866</v>
      </c>
      <c r="C5287" s="2">
        <v>37</v>
      </c>
      <c r="D5287" s="2" t="s">
        <v>3</v>
      </c>
      <c r="E5287" s="2">
        <v>23</v>
      </c>
      <c r="F5287" s="2" t="s">
        <v>3</v>
      </c>
      <c r="G5287" s="2" t="s">
        <v>3</v>
      </c>
      <c r="H5287" s="2">
        <v>14</v>
      </c>
      <c r="I5287" s="2">
        <v>0</v>
      </c>
    </row>
    <row r="5288" spans="1:9" hidden="1" x14ac:dyDescent="0.3">
      <c r="A5288" t="s">
        <v>78</v>
      </c>
      <c r="B5288" s="1">
        <v>44835</v>
      </c>
      <c r="C5288" s="2">
        <v>37</v>
      </c>
      <c r="D5288" s="2" t="s">
        <v>3</v>
      </c>
      <c r="E5288" s="2">
        <v>23</v>
      </c>
      <c r="F5288" s="2" t="s">
        <v>3</v>
      </c>
      <c r="G5288" s="2" t="s">
        <v>3</v>
      </c>
      <c r="H5288" s="2">
        <v>14</v>
      </c>
      <c r="I5288" s="2">
        <v>1</v>
      </c>
    </row>
    <row r="5289" spans="1:9" hidden="1" x14ac:dyDescent="0.3">
      <c r="A5289" t="s">
        <v>78</v>
      </c>
      <c r="B5289" s="1">
        <v>44805</v>
      </c>
      <c r="C5289" s="2">
        <v>36</v>
      </c>
      <c r="D5289" s="2" t="s">
        <v>3</v>
      </c>
      <c r="E5289" s="2">
        <v>23</v>
      </c>
      <c r="F5289" s="2" t="s">
        <v>3</v>
      </c>
      <c r="G5289" s="2" t="s">
        <v>3</v>
      </c>
      <c r="H5289" s="2">
        <v>13</v>
      </c>
      <c r="I5289" s="2">
        <v>1</v>
      </c>
    </row>
    <row r="5290" spans="1:9" hidden="1" x14ac:dyDescent="0.3">
      <c r="A5290" t="s">
        <v>78</v>
      </c>
      <c r="B5290" s="1">
        <v>44774</v>
      </c>
      <c r="C5290" s="2">
        <v>32</v>
      </c>
      <c r="D5290" s="2" t="s">
        <v>3</v>
      </c>
      <c r="E5290" s="2">
        <v>20</v>
      </c>
      <c r="F5290" s="2" t="s">
        <v>3</v>
      </c>
      <c r="G5290" s="2" t="s">
        <v>3</v>
      </c>
      <c r="H5290" s="2">
        <v>12</v>
      </c>
      <c r="I5290" s="2">
        <v>1</v>
      </c>
    </row>
    <row r="5291" spans="1:9" hidden="1" x14ac:dyDescent="0.3">
      <c r="A5291" t="s">
        <v>78</v>
      </c>
      <c r="B5291" s="1">
        <v>44743</v>
      </c>
      <c r="C5291" s="2">
        <v>34</v>
      </c>
      <c r="D5291" s="2" t="s">
        <v>3</v>
      </c>
      <c r="E5291" s="2">
        <v>23</v>
      </c>
      <c r="F5291" s="2" t="s">
        <v>3</v>
      </c>
      <c r="G5291" s="2" t="s">
        <v>3</v>
      </c>
      <c r="H5291" s="2">
        <v>11</v>
      </c>
      <c r="I5291" s="2">
        <v>-1</v>
      </c>
    </row>
    <row r="5292" spans="1:9" hidden="1" x14ac:dyDescent="0.3">
      <c r="A5292" t="s">
        <v>78</v>
      </c>
      <c r="B5292" s="1">
        <v>44713</v>
      </c>
      <c r="C5292" s="2">
        <v>33</v>
      </c>
      <c r="D5292" s="2" t="s">
        <v>3</v>
      </c>
      <c r="E5292" s="2">
        <v>21</v>
      </c>
      <c r="F5292" s="2" t="s">
        <v>3</v>
      </c>
      <c r="G5292" s="2" t="s">
        <v>3</v>
      </c>
      <c r="H5292" s="2">
        <v>12</v>
      </c>
      <c r="I5292" s="2">
        <v>1</v>
      </c>
    </row>
    <row r="5293" spans="1:9" hidden="1" x14ac:dyDescent="0.3">
      <c r="A5293" t="s">
        <v>78</v>
      </c>
      <c r="B5293" s="1">
        <v>44682</v>
      </c>
      <c r="C5293" s="2">
        <v>32</v>
      </c>
      <c r="D5293" s="2" t="s">
        <v>3</v>
      </c>
      <c r="E5293" s="2">
        <v>21</v>
      </c>
      <c r="F5293" s="2" t="s">
        <v>3</v>
      </c>
      <c r="G5293" s="2" t="s">
        <v>3</v>
      </c>
      <c r="H5293" s="2">
        <v>11</v>
      </c>
      <c r="I5293" s="2">
        <v>-1</v>
      </c>
    </row>
    <row r="5294" spans="1:9" hidden="1" x14ac:dyDescent="0.3">
      <c r="A5294" t="s">
        <v>78</v>
      </c>
      <c r="B5294" s="1">
        <v>44652</v>
      </c>
      <c r="C5294" s="2">
        <v>37</v>
      </c>
      <c r="D5294" s="2" t="s">
        <v>3</v>
      </c>
      <c r="E5294" s="2">
        <v>25</v>
      </c>
      <c r="F5294" s="2" t="s">
        <v>3</v>
      </c>
      <c r="G5294" s="2" t="s">
        <v>3</v>
      </c>
      <c r="H5294" s="2">
        <v>12</v>
      </c>
      <c r="I5294" s="2">
        <v>11</v>
      </c>
    </row>
    <row r="5295" spans="1:9" hidden="1" x14ac:dyDescent="0.3">
      <c r="A5295" t="s">
        <v>78</v>
      </c>
      <c r="B5295" s="1">
        <v>44621</v>
      </c>
      <c r="C5295" s="2">
        <v>28</v>
      </c>
      <c r="D5295" s="2" t="s">
        <v>3</v>
      </c>
      <c r="E5295" s="2">
        <v>27</v>
      </c>
      <c r="F5295" s="2" t="s">
        <v>3</v>
      </c>
      <c r="G5295" s="2" t="s">
        <v>3</v>
      </c>
      <c r="H5295" s="2">
        <v>1</v>
      </c>
      <c r="I5295" s="2">
        <v>0</v>
      </c>
    </row>
    <row r="5296" spans="1:9" hidden="1" x14ac:dyDescent="0.3">
      <c r="A5296" t="s">
        <v>78</v>
      </c>
      <c r="B5296" s="1">
        <v>44593</v>
      </c>
      <c r="C5296" s="2">
        <v>26</v>
      </c>
      <c r="D5296" s="2" t="s">
        <v>3</v>
      </c>
      <c r="E5296" s="2">
        <v>25</v>
      </c>
      <c r="F5296" s="2" t="s">
        <v>3</v>
      </c>
      <c r="G5296" s="2" t="s">
        <v>3</v>
      </c>
      <c r="H5296" s="2">
        <v>1</v>
      </c>
      <c r="I5296" s="2">
        <v>0</v>
      </c>
    </row>
    <row r="5297" spans="1:9" hidden="1" x14ac:dyDescent="0.3">
      <c r="A5297" t="s">
        <v>78</v>
      </c>
      <c r="B5297" s="1">
        <v>44562</v>
      </c>
      <c r="C5297" s="2">
        <v>23</v>
      </c>
      <c r="D5297" s="2" t="s">
        <v>3</v>
      </c>
      <c r="E5297" s="2">
        <v>22</v>
      </c>
      <c r="F5297" s="2" t="s">
        <v>3</v>
      </c>
      <c r="G5297" s="2" t="s">
        <v>3</v>
      </c>
      <c r="H5297" s="2">
        <v>1</v>
      </c>
      <c r="I5297" s="2">
        <v>0</v>
      </c>
    </row>
    <row r="5298" spans="1:9" hidden="1" x14ac:dyDescent="0.3">
      <c r="A5298" t="s">
        <v>78</v>
      </c>
      <c r="B5298" s="1">
        <v>44531</v>
      </c>
      <c r="C5298" s="2">
        <v>23</v>
      </c>
      <c r="D5298" s="2" t="s">
        <v>3</v>
      </c>
      <c r="E5298" s="2">
        <v>22</v>
      </c>
      <c r="F5298" s="2" t="s">
        <v>3</v>
      </c>
      <c r="G5298" s="2" t="s">
        <v>3</v>
      </c>
      <c r="H5298" s="2">
        <v>1</v>
      </c>
      <c r="I5298" s="2">
        <v>0</v>
      </c>
    </row>
    <row r="5299" spans="1:9" hidden="1" x14ac:dyDescent="0.3">
      <c r="A5299" t="s">
        <v>78</v>
      </c>
      <c r="B5299" s="1">
        <v>44501</v>
      </c>
      <c r="C5299" s="2">
        <v>23</v>
      </c>
      <c r="D5299" s="2" t="s">
        <v>3</v>
      </c>
      <c r="E5299" s="2">
        <v>22</v>
      </c>
      <c r="F5299" s="2" t="s">
        <v>3</v>
      </c>
      <c r="G5299" s="2" t="s">
        <v>3</v>
      </c>
      <c r="H5299" s="2">
        <v>1</v>
      </c>
      <c r="I5299" s="2">
        <v>0</v>
      </c>
    </row>
    <row r="5300" spans="1:9" hidden="1" x14ac:dyDescent="0.3">
      <c r="A5300" t="s">
        <v>78</v>
      </c>
      <c r="B5300" s="1">
        <v>44470</v>
      </c>
      <c r="C5300" s="2">
        <v>23</v>
      </c>
      <c r="D5300" s="2" t="s">
        <v>3</v>
      </c>
      <c r="E5300" s="2">
        <v>22</v>
      </c>
      <c r="F5300" s="2" t="s">
        <v>3</v>
      </c>
      <c r="G5300" s="2" t="s">
        <v>3</v>
      </c>
      <c r="H5300" s="2">
        <v>1</v>
      </c>
      <c r="I5300" s="2">
        <v>-3</v>
      </c>
    </row>
    <row r="5301" spans="1:9" hidden="1" x14ac:dyDescent="0.3">
      <c r="A5301" t="s">
        <v>78</v>
      </c>
      <c r="B5301" s="1">
        <v>44440</v>
      </c>
      <c r="C5301" s="2">
        <v>27</v>
      </c>
      <c r="D5301" s="2" t="s">
        <v>3</v>
      </c>
      <c r="E5301" s="2">
        <v>23</v>
      </c>
      <c r="F5301" s="2" t="s">
        <v>3</v>
      </c>
      <c r="G5301" s="2" t="s">
        <v>3</v>
      </c>
      <c r="H5301" s="2">
        <v>4</v>
      </c>
      <c r="I5301" s="2">
        <v>0</v>
      </c>
    </row>
    <row r="5302" spans="1:9" hidden="1" x14ac:dyDescent="0.3">
      <c r="A5302" t="s">
        <v>78</v>
      </c>
      <c r="B5302" s="1">
        <v>44409</v>
      </c>
      <c r="C5302" s="2">
        <v>27</v>
      </c>
      <c r="D5302" s="2" t="s">
        <v>3</v>
      </c>
      <c r="E5302" s="2">
        <v>23</v>
      </c>
      <c r="F5302" s="2" t="s">
        <v>3</v>
      </c>
      <c r="G5302" s="2" t="s">
        <v>3</v>
      </c>
      <c r="H5302" s="2">
        <v>4</v>
      </c>
      <c r="I5302" s="2">
        <v>0</v>
      </c>
    </row>
    <row r="5303" spans="1:9" hidden="1" x14ac:dyDescent="0.3">
      <c r="A5303" t="s">
        <v>78</v>
      </c>
      <c r="B5303" s="1">
        <v>44378</v>
      </c>
      <c r="C5303" s="2">
        <v>30</v>
      </c>
      <c r="D5303" s="2" t="s">
        <v>3</v>
      </c>
      <c r="E5303" s="2">
        <v>26</v>
      </c>
      <c r="F5303" s="2" t="s">
        <v>3</v>
      </c>
      <c r="G5303" s="2" t="s">
        <v>3</v>
      </c>
      <c r="H5303" s="2">
        <v>4</v>
      </c>
      <c r="I5303" s="2">
        <v>-99</v>
      </c>
    </row>
    <row r="5304" spans="1:9" hidden="1" x14ac:dyDescent="0.3">
      <c r="A5304" t="s">
        <v>78</v>
      </c>
      <c r="B5304" s="1">
        <v>44348</v>
      </c>
      <c r="C5304" s="2">
        <v>128</v>
      </c>
      <c r="D5304" s="2" t="s">
        <v>3</v>
      </c>
      <c r="E5304" s="2">
        <v>25</v>
      </c>
      <c r="F5304" s="2" t="s">
        <v>3</v>
      </c>
      <c r="G5304" s="2" t="s">
        <v>3</v>
      </c>
      <c r="H5304" s="2">
        <v>103</v>
      </c>
      <c r="I5304" s="2">
        <v>0</v>
      </c>
    </row>
    <row r="5305" spans="1:9" hidden="1" x14ac:dyDescent="0.3">
      <c r="A5305" t="s">
        <v>78</v>
      </c>
      <c r="B5305" s="1">
        <v>44317</v>
      </c>
      <c r="C5305" s="2">
        <v>127</v>
      </c>
      <c r="D5305" s="2" t="s">
        <v>3</v>
      </c>
      <c r="E5305" s="2">
        <v>24</v>
      </c>
      <c r="F5305" s="2" t="s">
        <v>3</v>
      </c>
      <c r="G5305" s="2" t="s">
        <v>3</v>
      </c>
      <c r="H5305" s="2">
        <v>103</v>
      </c>
      <c r="I5305" s="2">
        <v>39</v>
      </c>
    </row>
    <row r="5306" spans="1:9" hidden="1" x14ac:dyDescent="0.3">
      <c r="A5306" t="s">
        <v>78</v>
      </c>
      <c r="B5306" s="1">
        <v>44287</v>
      </c>
      <c r="C5306" s="2">
        <v>90</v>
      </c>
      <c r="D5306" s="2" t="s">
        <v>3</v>
      </c>
      <c r="E5306" s="2">
        <v>26</v>
      </c>
      <c r="F5306" s="2" t="s">
        <v>3</v>
      </c>
      <c r="G5306" s="2" t="s">
        <v>3</v>
      </c>
      <c r="H5306" s="2">
        <v>64</v>
      </c>
      <c r="I5306" s="2">
        <v>0</v>
      </c>
    </row>
    <row r="5307" spans="1:9" hidden="1" x14ac:dyDescent="0.3">
      <c r="A5307" t="s">
        <v>78</v>
      </c>
      <c r="B5307" s="1">
        <v>44256</v>
      </c>
      <c r="C5307" s="2">
        <v>90</v>
      </c>
      <c r="D5307" s="2" t="s">
        <v>3</v>
      </c>
      <c r="E5307" s="2">
        <v>26</v>
      </c>
      <c r="F5307" s="2" t="s">
        <v>3</v>
      </c>
      <c r="G5307" s="2" t="s">
        <v>3</v>
      </c>
      <c r="H5307" s="2">
        <v>64</v>
      </c>
      <c r="I5307" s="2">
        <v>38</v>
      </c>
    </row>
    <row r="5308" spans="1:9" hidden="1" x14ac:dyDescent="0.3">
      <c r="A5308" t="s">
        <v>78</v>
      </c>
      <c r="B5308" s="1">
        <v>44228</v>
      </c>
      <c r="C5308" s="2">
        <v>73</v>
      </c>
      <c r="D5308" s="2" t="s">
        <v>3</v>
      </c>
      <c r="E5308" s="2">
        <v>47</v>
      </c>
      <c r="F5308" s="2" t="s">
        <v>3</v>
      </c>
      <c r="G5308" s="2" t="s">
        <v>3</v>
      </c>
      <c r="H5308" s="2">
        <v>26</v>
      </c>
      <c r="I5308" s="2">
        <v>3</v>
      </c>
    </row>
    <row r="5309" spans="1:9" hidden="1" x14ac:dyDescent="0.3">
      <c r="A5309" t="s">
        <v>78</v>
      </c>
      <c r="B5309" s="1">
        <v>44197</v>
      </c>
      <c r="C5309" s="2">
        <v>73</v>
      </c>
      <c r="D5309" s="2" t="s">
        <v>3</v>
      </c>
      <c r="E5309" s="2">
        <v>50</v>
      </c>
      <c r="F5309" s="2" t="s">
        <v>3</v>
      </c>
      <c r="G5309" s="2" t="s">
        <v>3</v>
      </c>
      <c r="H5309" s="2">
        <v>23</v>
      </c>
      <c r="I5309" s="2">
        <v>5</v>
      </c>
    </row>
    <row r="5310" spans="1:9" hidden="1" x14ac:dyDescent="0.3">
      <c r="A5310" t="s">
        <v>78</v>
      </c>
      <c r="B5310" s="1">
        <v>44166</v>
      </c>
      <c r="C5310" s="2">
        <v>68</v>
      </c>
      <c r="D5310" s="2" t="s">
        <v>3</v>
      </c>
      <c r="E5310" s="2">
        <v>50</v>
      </c>
      <c r="F5310" s="2" t="s">
        <v>3</v>
      </c>
      <c r="G5310" s="2" t="s">
        <v>3</v>
      </c>
      <c r="H5310" s="2">
        <v>18</v>
      </c>
      <c r="I5310" s="2">
        <v>-12</v>
      </c>
    </row>
    <row r="5311" spans="1:9" hidden="1" x14ac:dyDescent="0.3">
      <c r="A5311" t="s">
        <v>78</v>
      </c>
      <c r="B5311" s="1">
        <v>44136</v>
      </c>
      <c r="C5311" s="2">
        <v>82</v>
      </c>
      <c r="D5311" s="2" t="s">
        <v>3</v>
      </c>
      <c r="E5311" s="2">
        <v>52</v>
      </c>
      <c r="F5311" s="2" t="s">
        <v>3</v>
      </c>
      <c r="G5311" s="2" t="s">
        <v>3</v>
      </c>
      <c r="H5311" s="2">
        <v>30</v>
      </c>
      <c r="I5311" s="2">
        <v>11</v>
      </c>
    </row>
    <row r="5312" spans="1:9" hidden="1" x14ac:dyDescent="0.3">
      <c r="A5312" t="s">
        <v>78</v>
      </c>
      <c r="B5312" s="1">
        <v>44105</v>
      </c>
      <c r="C5312" s="2">
        <v>72</v>
      </c>
      <c r="D5312" s="2" t="s">
        <v>3</v>
      </c>
      <c r="E5312" s="2">
        <v>53</v>
      </c>
      <c r="F5312" s="2" t="s">
        <v>3</v>
      </c>
      <c r="G5312" s="2" t="s">
        <v>3</v>
      </c>
      <c r="H5312" s="2">
        <v>19</v>
      </c>
      <c r="I5312" s="2">
        <v>-10</v>
      </c>
    </row>
    <row r="5313" spans="1:9" hidden="1" x14ac:dyDescent="0.3">
      <c r="A5313" t="s">
        <v>78</v>
      </c>
      <c r="B5313" s="1">
        <v>44075</v>
      </c>
      <c r="C5313" s="2">
        <v>83</v>
      </c>
      <c r="D5313" s="2" t="s">
        <v>3</v>
      </c>
      <c r="E5313" s="2">
        <v>54</v>
      </c>
      <c r="F5313" s="2" t="s">
        <v>3</v>
      </c>
      <c r="G5313" s="2" t="s">
        <v>3</v>
      </c>
      <c r="H5313" s="2">
        <v>29</v>
      </c>
      <c r="I5313" s="2">
        <v>0</v>
      </c>
    </row>
    <row r="5314" spans="1:9" hidden="1" x14ac:dyDescent="0.3">
      <c r="A5314" t="s">
        <v>78</v>
      </c>
      <c r="B5314" s="1">
        <v>44044</v>
      </c>
      <c r="C5314" s="2">
        <v>83</v>
      </c>
      <c r="D5314" s="2" t="s">
        <v>3</v>
      </c>
      <c r="E5314" s="2">
        <v>54</v>
      </c>
      <c r="F5314" s="2" t="s">
        <v>3</v>
      </c>
      <c r="G5314" s="2" t="s">
        <v>3</v>
      </c>
      <c r="H5314" s="2">
        <v>29</v>
      </c>
      <c r="I5314" s="2">
        <v>1</v>
      </c>
    </row>
    <row r="5315" spans="1:9" hidden="1" x14ac:dyDescent="0.3">
      <c r="A5315" t="s">
        <v>78</v>
      </c>
      <c r="B5315" s="1">
        <v>44013</v>
      </c>
      <c r="C5315" s="2">
        <v>82</v>
      </c>
      <c r="D5315" s="2" t="s">
        <v>3</v>
      </c>
      <c r="E5315" s="2">
        <v>54</v>
      </c>
      <c r="F5315" s="2" t="s">
        <v>3</v>
      </c>
      <c r="G5315" s="2" t="s">
        <v>3</v>
      </c>
      <c r="H5315" s="2">
        <v>28</v>
      </c>
      <c r="I5315" s="2">
        <v>3</v>
      </c>
    </row>
    <row r="5316" spans="1:9" hidden="1" x14ac:dyDescent="0.3">
      <c r="A5316" t="s">
        <v>78</v>
      </c>
      <c r="B5316" s="1">
        <v>43983</v>
      </c>
      <c r="C5316" s="2">
        <v>82</v>
      </c>
      <c r="D5316" s="2" t="s">
        <v>3</v>
      </c>
      <c r="E5316" s="2">
        <v>57</v>
      </c>
      <c r="F5316" s="2" t="s">
        <v>3</v>
      </c>
      <c r="G5316" s="2" t="s">
        <v>3</v>
      </c>
      <c r="H5316" s="2">
        <v>25</v>
      </c>
      <c r="I5316" s="2">
        <v>-7</v>
      </c>
    </row>
    <row r="5317" spans="1:9" hidden="1" x14ac:dyDescent="0.3">
      <c r="A5317" t="s">
        <v>78</v>
      </c>
      <c r="B5317" s="1">
        <v>43952</v>
      </c>
      <c r="C5317" s="2">
        <v>89</v>
      </c>
      <c r="D5317" s="2" t="s">
        <v>3</v>
      </c>
      <c r="E5317" s="2">
        <v>57</v>
      </c>
      <c r="F5317" s="2" t="s">
        <v>3</v>
      </c>
      <c r="G5317" s="2" t="s">
        <v>3</v>
      </c>
      <c r="H5317" s="2">
        <v>32</v>
      </c>
      <c r="I5317" s="2">
        <v>14</v>
      </c>
    </row>
    <row r="5318" spans="1:9" hidden="1" x14ac:dyDescent="0.3">
      <c r="A5318" t="s">
        <v>78</v>
      </c>
      <c r="B5318" s="1">
        <v>43922</v>
      </c>
      <c r="C5318" s="2">
        <v>68</v>
      </c>
      <c r="D5318" s="2" t="s">
        <v>3</v>
      </c>
      <c r="E5318" s="2">
        <v>50</v>
      </c>
      <c r="F5318" s="2" t="s">
        <v>3</v>
      </c>
      <c r="G5318" s="2" t="s">
        <v>3</v>
      </c>
      <c r="H5318" s="2">
        <v>18</v>
      </c>
      <c r="I5318" s="2">
        <v>7</v>
      </c>
    </row>
    <row r="5319" spans="1:9" hidden="1" x14ac:dyDescent="0.3">
      <c r="A5319" t="s">
        <v>78</v>
      </c>
      <c r="B5319" s="1">
        <v>43891</v>
      </c>
      <c r="C5319" s="2">
        <v>61</v>
      </c>
      <c r="D5319" s="2" t="s">
        <v>3</v>
      </c>
      <c r="E5319" s="2">
        <v>50</v>
      </c>
      <c r="F5319" s="2" t="s">
        <v>3</v>
      </c>
      <c r="G5319" s="2" t="s">
        <v>3</v>
      </c>
      <c r="H5319" s="2">
        <v>11</v>
      </c>
      <c r="I5319" s="2">
        <v>-2</v>
      </c>
    </row>
    <row r="5320" spans="1:9" hidden="1" x14ac:dyDescent="0.3">
      <c r="A5320" t="s">
        <v>78</v>
      </c>
      <c r="B5320" s="1">
        <v>43862</v>
      </c>
      <c r="C5320" s="2">
        <v>68</v>
      </c>
      <c r="D5320" s="2" t="s">
        <v>3</v>
      </c>
      <c r="E5320" s="2">
        <v>55</v>
      </c>
      <c r="F5320" s="2" t="s">
        <v>3</v>
      </c>
      <c r="G5320" s="2" t="s">
        <v>3</v>
      </c>
      <c r="H5320" s="2">
        <v>13</v>
      </c>
      <c r="I5320" s="2">
        <v>10</v>
      </c>
    </row>
    <row r="5321" spans="1:9" hidden="1" x14ac:dyDescent="0.3">
      <c r="A5321" t="s">
        <v>78</v>
      </c>
      <c r="B5321" s="1">
        <v>43831</v>
      </c>
      <c r="C5321" s="2">
        <v>49</v>
      </c>
      <c r="D5321" s="2" t="s">
        <v>3</v>
      </c>
      <c r="E5321" s="2">
        <v>46</v>
      </c>
      <c r="F5321" s="2" t="s">
        <v>3</v>
      </c>
      <c r="G5321" s="2" t="s">
        <v>3</v>
      </c>
      <c r="H5321" s="2">
        <v>3</v>
      </c>
      <c r="I5321" s="2">
        <v>-1</v>
      </c>
    </row>
    <row r="5322" spans="1:9" x14ac:dyDescent="0.3">
      <c r="A5322" t="s">
        <v>79</v>
      </c>
      <c r="B5322" s="1">
        <v>45931</v>
      </c>
      <c r="C5322" s="2" t="s">
        <v>3</v>
      </c>
      <c r="D5322" s="2" t="s">
        <v>3</v>
      </c>
      <c r="E5322" s="2">
        <v>1407</v>
      </c>
      <c r="F5322" s="2">
        <v>-99</v>
      </c>
      <c r="G5322" s="2">
        <v>-713</v>
      </c>
      <c r="H5322" s="2" t="s">
        <v>3</v>
      </c>
      <c r="I5322" s="2" t="s">
        <v>3</v>
      </c>
    </row>
    <row r="5323" spans="1:9" x14ac:dyDescent="0.3">
      <c r="A5323" t="s">
        <v>79</v>
      </c>
      <c r="B5323" s="1">
        <v>45901</v>
      </c>
      <c r="C5323" s="2" t="s">
        <v>3</v>
      </c>
      <c r="D5323" s="2" t="s">
        <v>3</v>
      </c>
      <c r="E5323" s="2">
        <v>1567</v>
      </c>
      <c r="F5323" s="2">
        <v>0</v>
      </c>
      <c r="G5323" s="2">
        <v>-49</v>
      </c>
      <c r="H5323" s="2" t="s">
        <v>3</v>
      </c>
      <c r="I5323" s="2" t="s">
        <v>3</v>
      </c>
    </row>
    <row r="5324" spans="1:9" x14ac:dyDescent="0.3">
      <c r="A5324" t="s">
        <v>79</v>
      </c>
      <c r="B5324" s="1">
        <v>45870</v>
      </c>
      <c r="C5324" s="2" t="s">
        <v>3</v>
      </c>
      <c r="D5324" s="2" t="s">
        <v>3</v>
      </c>
      <c r="E5324" s="2">
        <v>1730</v>
      </c>
      <c r="F5324" s="2">
        <v>67</v>
      </c>
      <c r="G5324" s="2">
        <v>-774</v>
      </c>
      <c r="H5324" s="2" t="s">
        <v>3</v>
      </c>
      <c r="I5324" s="2" t="s">
        <v>3</v>
      </c>
    </row>
    <row r="5325" spans="1:9" x14ac:dyDescent="0.3">
      <c r="A5325" t="s">
        <v>79</v>
      </c>
      <c r="B5325" s="1">
        <v>45839</v>
      </c>
      <c r="C5325" s="2" t="s">
        <v>3</v>
      </c>
      <c r="D5325" s="2" t="s">
        <v>3</v>
      </c>
      <c r="E5325" s="2">
        <v>1776</v>
      </c>
      <c r="F5325" s="2">
        <v>348</v>
      </c>
      <c r="G5325" s="2">
        <v>72</v>
      </c>
      <c r="H5325" s="2" t="s">
        <v>3</v>
      </c>
      <c r="I5325" s="2" t="s">
        <v>3</v>
      </c>
    </row>
    <row r="5326" spans="1:9" x14ac:dyDescent="0.3">
      <c r="A5326" t="s">
        <v>79</v>
      </c>
      <c r="B5326" s="1">
        <v>45809</v>
      </c>
      <c r="C5326" s="2" t="s">
        <v>3</v>
      </c>
      <c r="D5326" s="2" t="s">
        <v>3</v>
      </c>
      <c r="E5326" s="2">
        <v>1653</v>
      </c>
      <c r="F5326" s="2">
        <v>63</v>
      </c>
      <c r="G5326" s="2">
        <v>-822</v>
      </c>
      <c r="H5326" s="2" t="s">
        <v>3</v>
      </c>
      <c r="I5326" s="2" t="s">
        <v>3</v>
      </c>
    </row>
    <row r="5327" spans="1:9" x14ac:dyDescent="0.3">
      <c r="A5327" t="s">
        <v>79</v>
      </c>
      <c r="B5327" s="1">
        <v>45778</v>
      </c>
      <c r="C5327" s="2" t="s">
        <v>3</v>
      </c>
      <c r="D5327" s="2" t="s">
        <v>3</v>
      </c>
      <c r="E5327" s="2">
        <v>1685</v>
      </c>
      <c r="F5327" s="2">
        <v>102</v>
      </c>
      <c r="G5327" s="2">
        <v>-764</v>
      </c>
      <c r="H5327" s="2" t="s">
        <v>3</v>
      </c>
      <c r="I5327" s="2" t="s">
        <v>3</v>
      </c>
    </row>
    <row r="5328" spans="1:9" x14ac:dyDescent="0.3">
      <c r="A5328" t="s">
        <v>79</v>
      </c>
      <c r="B5328" s="1">
        <v>45748</v>
      </c>
      <c r="C5328" s="2" t="s">
        <v>3</v>
      </c>
      <c r="D5328" s="2" t="s">
        <v>3</v>
      </c>
      <c r="E5328" s="2">
        <v>1623</v>
      </c>
      <c r="F5328" s="2">
        <v>14</v>
      </c>
      <c r="G5328" s="2">
        <v>1</v>
      </c>
      <c r="H5328" s="2" t="s">
        <v>3</v>
      </c>
      <c r="I5328" s="2" t="s">
        <v>3</v>
      </c>
    </row>
    <row r="5329" spans="1:9" x14ac:dyDescent="0.3">
      <c r="A5329" t="s">
        <v>79</v>
      </c>
      <c r="B5329" s="1">
        <v>45717</v>
      </c>
      <c r="C5329" s="2" t="s">
        <v>3</v>
      </c>
      <c r="D5329" s="2" t="s">
        <v>3</v>
      </c>
      <c r="E5329" s="2">
        <v>973</v>
      </c>
      <c r="F5329" s="2">
        <v>45</v>
      </c>
      <c r="G5329" s="2">
        <v>1</v>
      </c>
      <c r="H5329" s="2" t="s">
        <v>3</v>
      </c>
      <c r="I5329" s="2" t="s">
        <v>3</v>
      </c>
    </row>
    <row r="5330" spans="1:9" x14ac:dyDescent="0.3">
      <c r="A5330" t="s">
        <v>79</v>
      </c>
      <c r="B5330" s="1">
        <v>45689</v>
      </c>
      <c r="C5330" s="2" t="s">
        <v>3</v>
      </c>
      <c r="D5330" s="2" t="s">
        <v>3</v>
      </c>
      <c r="E5330" s="2">
        <v>929</v>
      </c>
      <c r="F5330" s="2">
        <v>107</v>
      </c>
      <c r="G5330" s="2">
        <v>-587</v>
      </c>
      <c r="H5330" s="2" t="s">
        <v>3</v>
      </c>
      <c r="I5330" s="2" t="s">
        <v>3</v>
      </c>
    </row>
    <row r="5331" spans="1:9" x14ac:dyDescent="0.3">
      <c r="A5331" t="s">
        <v>79</v>
      </c>
      <c r="B5331" s="1">
        <v>45658</v>
      </c>
      <c r="C5331" s="2" t="s">
        <v>3</v>
      </c>
      <c r="D5331" s="2" t="s">
        <v>3</v>
      </c>
      <c r="E5331" s="2">
        <v>1437</v>
      </c>
      <c r="F5331" s="2">
        <v>24</v>
      </c>
      <c r="G5331" s="2">
        <v>-990</v>
      </c>
      <c r="H5331" s="2" t="s">
        <v>3</v>
      </c>
      <c r="I5331" s="2" t="s">
        <v>3</v>
      </c>
    </row>
    <row r="5332" spans="1:9" x14ac:dyDescent="0.3">
      <c r="A5332" t="s">
        <v>79</v>
      </c>
      <c r="B5332" s="1">
        <v>45627</v>
      </c>
      <c r="C5332" s="2" t="s">
        <v>3</v>
      </c>
      <c r="D5332" s="2" t="s">
        <v>3</v>
      </c>
      <c r="E5332" s="2">
        <v>2018</v>
      </c>
      <c r="F5332" s="2">
        <v>-16</v>
      </c>
      <c r="G5332" s="2">
        <v>-997</v>
      </c>
      <c r="H5332" s="2" t="s">
        <v>3</v>
      </c>
      <c r="I5332" s="2" t="s">
        <v>3</v>
      </c>
    </row>
    <row r="5333" spans="1:9" x14ac:dyDescent="0.3">
      <c r="A5333" t="s">
        <v>79</v>
      </c>
      <c r="B5333" s="1">
        <v>45597</v>
      </c>
      <c r="C5333" s="2" t="s">
        <v>3</v>
      </c>
      <c r="D5333" s="2" t="s">
        <v>3</v>
      </c>
      <c r="E5333" s="2">
        <v>1848</v>
      </c>
      <c r="F5333" s="2">
        <v>43</v>
      </c>
      <c r="G5333" s="2">
        <v>-1009</v>
      </c>
      <c r="H5333" s="2" t="s">
        <v>3</v>
      </c>
      <c r="I5333" s="2" t="s">
        <v>3</v>
      </c>
    </row>
    <row r="5334" spans="1:9" x14ac:dyDescent="0.3">
      <c r="A5334" t="s">
        <v>79</v>
      </c>
      <c r="B5334" s="1">
        <v>45566</v>
      </c>
      <c r="C5334" s="2" t="s">
        <v>3</v>
      </c>
      <c r="D5334" s="2" t="s">
        <v>3</v>
      </c>
      <c r="E5334" s="2">
        <v>1848</v>
      </c>
      <c r="F5334" s="2">
        <v>144</v>
      </c>
      <c r="G5334" s="2">
        <v>-892</v>
      </c>
      <c r="H5334" s="2" t="s">
        <v>3</v>
      </c>
      <c r="I5334" s="2" t="s">
        <v>3</v>
      </c>
    </row>
    <row r="5335" spans="1:9" x14ac:dyDescent="0.3">
      <c r="A5335" t="s">
        <v>79</v>
      </c>
      <c r="B5335" s="1">
        <v>45536</v>
      </c>
      <c r="C5335" s="2" t="s">
        <v>3</v>
      </c>
      <c r="D5335" s="2" t="s">
        <v>3</v>
      </c>
      <c r="E5335" s="2">
        <v>1536</v>
      </c>
      <c r="F5335" s="2">
        <v>18</v>
      </c>
      <c r="G5335" s="2">
        <v>-796</v>
      </c>
      <c r="H5335" s="2" t="s">
        <v>3</v>
      </c>
      <c r="I5335" s="2" t="s">
        <v>3</v>
      </c>
    </row>
    <row r="5336" spans="1:9" x14ac:dyDescent="0.3">
      <c r="A5336" t="s">
        <v>79</v>
      </c>
      <c r="B5336" s="1">
        <v>45505</v>
      </c>
      <c r="C5336" s="2" t="s">
        <v>3</v>
      </c>
      <c r="D5336" s="2" t="s">
        <v>3</v>
      </c>
      <c r="E5336" s="2">
        <v>1389</v>
      </c>
      <c r="F5336" s="2">
        <v>114</v>
      </c>
      <c r="G5336" s="2">
        <v>13</v>
      </c>
      <c r="H5336" s="2" t="s">
        <v>3</v>
      </c>
      <c r="I5336" s="2" t="s">
        <v>3</v>
      </c>
    </row>
    <row r="5337" spans="1:9" x14ac:dyDescent="0.3">
      <c r="A5337" t="s">
        <v>79</v>
      </c>
      <c r="B5337" s="1">
        <v>45474</v>
      </c>
      <c r="C5337" s="2" t="s">
        <v>3</v>
      </c>
      <c r="D5337" s="2" t="s">
        <v>3</v>
      </c>
      <c r="E5337" s="2">
        <v>952</v>
      </c>
      <c r="F5337" s="2">
        <v>-65</v>
      </c>
      <c r="G5337" s="2">
        <v>11</v>
      </c>
      <c r="H5337" s="2" t="s">
        <v>3</v>
      </c>
      <c r="I5337" s="2" t="s">
        <v>3</v>
      </c>
    </row>
    <row r="5338" spans="1:9" x14ac:dyDescent="0.3">
      <c r="A5338" t="s">
        <v>79</v>
      </c>
      <c r="B5338" s="1">
        <v>45444</v>
      </c>
      <c r="C5338" s="2" t="s">
        <v>3</v>
      </c>
      <c r="D5338" s="2" t="s">
        <v>3</v>
      </c>
      <c r="E5338" s="2">
        <v>1150</v>
      </c>
      <c r="F5338" s="2">
        <v>44</v>
      </c>
      <c r="G5338" s="2">
        <v>6</v>
      </c>
      <c r="H5338" s="2" t="s">
        <v>3</v>
      </c>
      <c r="I5338" s="2" t="s">
        <v>3</v>
      </c>
    </row>
    <row r="5339" spans="1:9" x14ac:dyDescent="0.3">
      <c r="A5339" t="s">
        <v>79</v>
      </c>
      <c r="B5339" s="1">
        <v>45413</v>
      </c>
      <c r="C5339" s="2" t="s">
        <v>3</v>
      </c>
      <c r="D5339" s="2" t="s">
        <v>3</v>
      </c>
      <c r="E5339" s="2">
        <v>804</v>
      </c>
      <c r="F5339" s="2">
        <v>3</v>
      </c>
      <c r="G5339" s="2">
        <v>4</v>
      </c>
      <c r="H5339" s="2" t="s">
        <v>3</v>
      </c>
      <c r="I5339" s="2" t="s">
        <v>3</v>
      </c>
    </row>
    <row r="5340" spans="1:9" x14ac:dyDescent="0.3">
      <c r="A5340" t="s">
        <v>79</v>
      </c>
      <c r="B5340" s="1">
        <v>45383</v>
      </c>
      <c r="C5340" s="2" t="s">
        <v>3</v>
      </c>
      <c r="D5340" s="2" t="s">
        <v>3</v>
      </c>
      <c r="E5340" s="2">
        <v>738</v>
      </c>
      <c r="F5340" s="2">
        <v>5</v>
      </c>
      <c r="G5340" s="2">
        <v>-4</v>
      </c>
      <c r="H5340" s="2" t="s">
        <v>3</v>
      </c>
      <c r="I5340" s="2" t="s">
        <v>3</v>
      </c>
    </row>
    <row r="5341" spans="1:9" x14ac:dyDescent="0.3">
      <c r="A5341" t="s">
        <v>79</v>
      </c>
      <c r="B5341" s="1">
        <v>45352</v>
      </c>
      <c r="C5341" s="2" t="s">
        <v>3</v>
      </c>
      <c r="D5341" s="2" t="s">
        <v>3</v>
      </c>
      <c r="E5341" s="2">
        <v>781</v>
      </c>
      <c r="F5341" s="2">
        <v>5</v>
      </c>
      <c r="G5341" s="2">
        <v>1</v>
      </c>
      <c r="H5341" s="2" t="s">
        <v>3</v>
      </c>
      <c r="I5341" s="2" t="s">
        <v>3</v>
      </c>
    </row>
    <row r="5342" spans="1:9" x14ac:dyDescent="0.3">
      <c r="A5342" t="s">
        <v>79</v>
      </c>
      <c r="B5342" s="1">
        <v>45323</v>
      </c>
      <c r="C5342" s="2" t="s">
        <v>3</v>
      </c>
      <c r="D5342" s="2" t="s">
        <v>3</v>
      </c>
      <c r="E5342" s="2">
        <v>1229</v>
      </c>
      <c r="F5342" s="2">
        <v>-7</v>
      </c>
      <c r="G5342" s="2">
        <v>9</v>
      </c>
      <c r="H5342" s="2" t="s">
        <v>3</v>
      </c>
      <c r="I5342" s="2" t="s">
        <v>3</v>
      </c>
    </row>
    <row r="5343" spans="1:9" x14ac:dyDescent="0.3">
      <c r="A5343" t="s">
        <v>79</v>
      </c>
      <c r="B5343" s="1">
        <v>45292</v>
      </c>
      <c r="C5343" s="2" t="s">
        <v>3</v>
      </c>
      <c r="D5343" s="2" t="s">
        <v>3</v>
      </c>
      <c r="E5343" s="2">
        <v>1362</v>
      </c>
      <c r="F5343" s="2">
        <v>-37</v>
      </c>
      <c r="G5343" s="2">
        <v>2</v>
      </c>
      <c r="H5343" s="2" t="s">
        <v>3</v>
      </c>
      <c r="I5343" s="2" t="s">
        <v>3</v>
      </c>
    </row>
    <row r="5344" spans="1:9" x14ac:dyDescent="0.3">
      <c r="A5344" t="s">
        <v>79</v>
      </c>
      <c r="B5344" s="1">
        <v>45261</v>
      </c>
      <c r="C5344" s="2" t="s">
        <v>3</v>
      </c>
      <c r="D5344" s="2" t="s">
        <v>3</v>
      </c>
      <c r="E5344" s="2">
        <v>1350</v>
      </c>
      <c r="F5344" s="2">
        <v>-3</v>
      </c>
      <c r="G5344" s="2">
        <v>14</v>
      </c>
      <c r="H5344" s="2" t="s">
        <v>3</v>
      </c>
      <c r="I5344" s="2" t="s">
        <v>3</v>
      </c>
    </row>
    <row r="5345" spans="1:9" x14ac:dyDescent="0.3">
      <c r="A5345" t="s">
        <v>79</v>
      </c>
      <c r="B5345" s="1">
        <v>45231</v>
      </c>
      <c r="C5345" s="2" t="s">
        <v>3</v>
      </c>
      <c r="D5345" s="2" t="s">
        <v>3</v>
      </c>
      <c r="E5345" s="2">
        <v>911</v>
      </c>
      <c r="F5345" s="2">
        <v>3</v>
      </c>
      <c r="G5345" s="2">
        <v>9</v>
      </c>
      <c r="H5345" s="2" t="s">
        <v>3</v>
      </c>
      <c r="I5345" s="2" t="s">
        <v>3</v>
      </c>
    </row>
    <row r="5346" spans="1:9" x14ac:dyDescent="0.3">
      <c r="A5346" t="s">
        <v>79</v>
      </c>
      <c r="B5346" s="1">
        <v>45200</v>
      </c>
      <c r="C5346" s="2" t="s">
        <v>3</v>
      </c>
      <c r="D5346" s="2" t="s">
        <v>3</v>
      </c>
      <c r="E5346" s="2">
        <v>1141</v>
      </c>
      <c r="F5346" s="2">
        <v>19</v>
      </c>
      <c r="G5346" s="2">
        <v>-92</v>
      </c>
      <c r="H5346" s="2" t="s">
        <v>3</v>
      </c>
      <c r="I5346" s="2" t="s">
        <v>3</v>
      </c>
    </row>
    <row r="5347" spans="1:9" x14ac:dyDescent="0.3">
      <c r="A5347" t="s">
        <v>79</v>
      </c>
      <c r="B5347" s="1">
        <v>45170</v>
      </c>
      <c r="C5347" s="2" t="s">
        <v>3</v>
      </c>
      <c r="D5347" s="2" t="s">
        <v>3</v>
      </c>
      <c r="E5347" s="2">
        <v>1030</v>
      </c>
      <c r="F5347" s="2">
        <v>25</v>
      </c>
      <c r="G5347" s="2">
        <v>26</v>
      </c>
      <c r="H5347" s="2" t="s">
        <v>3</v>
      </c>
      <c r="I5347" s="2" t="s">
        <v>3</v>
      </c>
    </row>
    <row r="5348" spans="1:9" x14ac:dyDescent="0.3">
      <c r="A5348" t="s">
        <v>79</v>
      </c>
      <c r="B5348" s="1">
        <v>45139</v>
      </c>
      <c r="C5348" s="2" t="s">
        <v>3</v>
      </c>
      <c r="D5348" s="2" t="s">
        <v>3</v>
      </c>
      <c r="E5348" s="2">
        <v>979</v>
      </c>
      <c r="F5348" s="2">
        <v>72</v>
      </c>
      <c r="G5348" s="2">
        <v>-30</v>
      </c>
      <c r="H5348" s="2" t="s">
        <v>3</v>
      </c>
      <c r="I5348" s="2" t="s">
        <v>3</v>
      </c>
    </row>
    <row r="5349" spans="1:9" x14ac:dyDescent="0.3">
      <c r="A5349" t="s">
        <v>79</v>
      </c>
      <c r="B5349" s="1">
        <v>45108</v>
      </c>
      <c r="C5349" s="2" t="s">
        <v>3</v>
      </c>
      <c r="D5349" s="2" t="s">
        <v>3</v>
      </c>
      <c r="E5349" s="2">
        <v>927</v>
      </c>
      <c r="F5349" s="2">
        <v>51</v>
      </c>
      <c r="G5349" s="2">
        <v>1</v>
      </c>
      <c r="H5349" s="2" t="s">
        <v>3</v>
      </c>
      <c r="I5349" s="2" t="s">
        <v>3</v>
      </c>
    </row>
    <row r="5350" spans="1:9" x14ac:dyDescent="0.3">
      <c r="A5350" t="s">
        <v>79</v>
      </c>
      <c r="B5350" s="1">
        <v>45078</v>
      </c>
      <c r="C5350" s="2" t="s">
        <v>3</v>
      </c>
      <c r="D5350" s="2" t="s">
        <v>3</v>
      </c>
      <c r="E5350" s="2">
        <v>828</v>
      </c>
      <c r="F5350" s="2">
        <v>65</v>
      </c>
      <c r="G5350" s="2">
        <v>-61</v>
      </c>
      <c r="H5350" s="2" t="s">
        <v>3</v>
      </c>
      <c r="I5350" s="2" t="s">
        <v>3</v>
      </c>
    </row>
    <row r="5351" spans="1:9" x14ac:dyDescent="0.3">
      <c r="A5351" t="s">
        <v>79</v>
      </c>
      <c r="B5351" s="1">
        <v>45047</v>
      </c>
      <c r="C5351" s="2" t="s">
        <v>3</v>
      </c>
      <c r="D5351" s="2" t="s">
        <v>3</v>
      </c>
      <c r="E5351" s="2">
        <v>897</v>
      </c>
      <c r="F5351" s="2">
        <v>19</v>
      </c>
      <c r="G5351" s="2">
        <v>-2</v>
      </c>
      <c r="H5351" s="2" t="s">
        <v>3</v>
      </c>
      <c r="I5351" s="2" t="s">
        <v>3</v>
      </c>
    </row>
    <row r="5352" spans="1:9" x14ac:dyDescent="0.3">
      <c r="A5352" t="s">
        <v>79</v>
      </c>
      <c r="B5352" s="1">
        <v>45017</v>
      </c>
      <c r="C5352" s="2" t="s">
        <v>3</v>
      </c>
      <c r="D5352" s="2" t="s">
        <v>3</v>
      </c>
      <c r="E5352" s="2">
        <v>882</v>
      </c>
      <c r="F5352" s="2">
        <v>24</v>
      </c>
      <c r="G5352" s="2">
        <v>-6</v>
      </c>
      <c r="H5352" s="2" t="s">
        <v>3</v>
      </c>
      <c r="I5352" s="2" t="s">
        <v>3</v>
      </c>
    </row>
    <row r="5353" spans="1:9" x14ac:dyDescent="0.3">
      <c r="A5353" t="s">
        <v>79</v>
      </c>
      <c r="B5353" s="1">
        <v>44986</v>
      </c>
      <c r="C5353" s="2" t="s">
        <v>3</v>
      </c>
      <c r="D5353" s="2" t="s">
        <v>3</v>
      </c>
      <c r="E5353" s="2">
        <v>865</v>
      </c>
      <c r="F5353" s="2">
        <v>55</v>
      </c>
      <c r="G5353" s="2">
        <v>3</v>
      </c>
      <c r="H5353" s="2" t="s">
        <v>3</v>
      </c>
      <c r="I5353" s="2" t="s">
        <v>3</v>
      </c>
    </row>
    <row r="5354" spans="1:9" x14ac:dyDescent="0.3">
      <c r="A5354" t="s">
        <v>79</v>
      </c>
      <c r="B5354" s="1">
        <v>44958</v>
      </c>
      <c r="C5354" s="2" t="s">
        <v>3</v>
      </c>
      <c r="D5354" s="2" t="s">
        <v>3</v>
      </c>
      <c r="E5354" s="2">
        <v>806</v>
      </c>
      <c r="F5354" s="2">
        <v>-10</v>
      </c>
      <c r="G5354" s="2">
        <v>-6</v>
      </c>
      <c r="H5354" s="2" t="s">
        <v>3</v>
      </c>
      <c r="I5354" s="2" t="s">
        <v>3</v>
      </c>
    </row>
    <row r="5355" spans="1:9" hidden="1" x14ac:dyDescent="0.3">
      <c r="A5355" t="s">
        <v>79</v>
      </c>
      <c r="B5355" s="1">
        <v>44927</v>
      </c>
      <c r="C5355" s="2" t="s">
        <v>3</v>
      </c>
      <c r="D5355" s="2" t="s">
        <v>3</v>
      </c>
      <c r="E5355" s="2">
        <v>833</v>
      </c>
      <c r="F5355" s="2" t="s">
        <v>3</v>
      </c>
      <c r="G5355" s="2" t="s">
        <v>3</v>
      </c>
      <c r="H5355" s="2" t="s">
        <v>3</v>
      </c>
      <c r="I5355" s="2" t="s">
        <v>3</v>
      </c>
    </row>
    <row r="5356" spans="1:9" hidden="1" x14ac:dyDescent="0.3">
      <c r="A5356" t="s">
        <v>79</v>
      </c>
      <c r="B5356" s="1">
        <v>44896</v>
      </c>
      <c r="C5356" s="2" t="s">
        <v>3</v>
      </c>
      <c r="D5356" s="2" t="s">
        <v>3</v>
      </c>
      <c r="E5356" s="2">
        <v>821</v>
      </c>
      <c r="F5356" s="2" t="s">
        <v>3</v>
      </c>
      <c r="G5356" s="2" t="s">
        <v>3</v>
      </c>
      <c r="H5356" s="2" t="s">
        <v>3</v>
      </c>
      <c r="I5356" s="2" t="s">
        <v>3</v>
      </c>
    </row>
    <row r="5357" spans="1:9" hidden="1" x14ac:dyDescent="0.3">
      <c r="A5357" t="s">
        <v>79</v>
      </c>
      <c r="B5357" s="1">
        <v>44866</v>
      </c>
      <c r="C5357" s="2" t="s">
        <v>3</v>
      </c>
      <c r="D5357" s="2" t="s">
        <v>3</v>
      </c>
      <c r="E5357" s="2">
        <v>821</v>
      </c>
      <c r="F5357" s="2" t="s">
        <v>3</v>
      </c>
      <c r="G5357" s="2" t="s">
        <v>3</v>
      </c>
      <c r="H5357" s="2" t="s">
        <v>3</v>
      </c>
      <c r="I5357" s="2" t="s">
        <v>3</v>
      </c>
    </row>
    <row r="5358" spans="1:9" hidden="1" x14ac:dyDescent="0.3">
      <c r="A5358" t="s">
        <v>79</v>
      </c>
      <c r="B5358" s="1">
        <v>44835</v>
      </c>
      <c r="C5358" s="2" t="s">
        <v>3</v>
      </c>
      <c r="D5358" s="2" t="s">
        <v>3</v>
      </c>
      <c r="E5358" s="2">
        <v>1179</v>
      </c>
      <c r="F5358" s="2" t="s">
        <v>3</v>
      </c>
      <c r="G5358" s="2" t="s">
        <v>3</v>
      </c>
      <c r="H5358" s="2" t="s">
        <v>3</v>
      </c>
      <c r="I5358" s="2" t="s">
        <v>3</v>
      </c>
    </row>
    <row r="5359" spans="1:9" hidden="1" x14ac:dyDescent="0.3">
      <c r="A5359" t="s">
        <v>79</v>
      </c>
      <c r="B5359" s="1">
        <v>44805</v>
      </c>
      <c r="C5359" s="2" t="s">
        <v>3</v>
      </c>
      <c r="D5359" s="2" t="s">
        <v>3</v>
      </c>
      <c r="E5359" s="2">
        <v>1179</v>
      </c>
      <c r="F5359" s="2" t="s">
        <v>3</v>
      </c>
      <c r="G5359" s="2" t="s">
        <v>3</v>
      </c>
      <c r="H5359" s="2" t="s">
        <v>3</v>
      </c>
      <c r="I5359" s="2" t="s">
        <v>3</v>
      </c>
    </row>
    <row r="5360" spans="1:9" hidden="1" x14ac:dyDescent="0.3">
      <c r="A5360" t="s">
        <v>79</v>
      </c>
      <c r="B5360" s="1">
        <v>44774</v>
      </c>
      <c r="C5360" s="2" t="s">
        <v>3</v>
      </c>
      <c r="D5360" s="2" t="s">
        <v>3</v>
      </c>
      <c r="E5360" s="2">
        <v>1181</v>
      </c>
      <c r="F5360" s="2" t="s">
        <v>3</v>
      </c>
      <c r="G5360" s="2" t="s">
        <v>3</v>
      </c>
      <c r="H5360" s="2" t="s">
        <v>3</v>
      </c>
      <c r="I5360" s="2" t="s">
        <v>3</v>
      </c>
    </row>
    <row r="5361" spans="1:9" hidden="1" x14ac:dyDescent="0.3">
      <c r="A5361" t="s">
        <v>79</v>
      </c>
      <c r="B5361" s="1">
        <v>44743</v>
      </c>
      <c r="C5361" s="2" t="s">
        <v>3</v>
      </c>
      <c r="D5361" s="2" t="s">
        <v>3</v>
      </c>
      <c r="E5361" s="2">
        <v>1319</v>
      </c>
      <c r="F5361" s="2" t="s">
        <v>3</v>
      </c>
      <c r="G5361" s="2" t="s">
        <v>3</v>
      </c>
      <c r="H5361" s="2" t="s">
        <v>3</v>
      </c>
      <c r="I5361" s="2" t="s">
        <v>3</v>
      </c>
    </row>
    <row r="5362" spans="1:9" hidden="1" x14ac:dyDescent="0.3">
      <c r="A5362" t="s">
        <v>79</v>
      </c>
      <c r="B5362" s="1">
        <v>44713</v>
      </c>
      <c r="C5362" s="2" t="s">
        <v>3</v>
      </c>
      <c r="D5362" s="2" t="s">
        <v>3</v>
      </c>
      <c r="E5362" s="2">
        <v>1246</v>
      </c>
      <c r="F5362" s="2" t="s">
        <v>3</v>
      </c>
      <c r="G5362" s="2" t="s">
        <v>3</v>
      </c>
      <c r="H5362" s="2" t="s">
        <v>3</v>
      </c>
      <c r="I5362" s="2" t="s">
        <v>3</v>
      </c>
    </row>
    <row r="5363" spans="1:9" hidden="1" x14ac:dyDescent="0.3">
      <c r="A5363" t="s">
        <v>79</v>
      </c>
      <c r="B5363" s="1">
        <v>44682</v>
      </c>
      <c r="C5363" s="2" t="s">
        <v>3</v>
      </c>
      <c r="D5363" s="2" t="s">
        <v>3</v>
      </c>
      <c r="E5363" s="2">
        <v>1134</v>
      </c>
      <c r="F5363" s="2" t="s">
        <v>3</v>
      </c>
      <c r="G5363" s="2" t="s">
        <v>3</v>
      </c>
      <c r="H5363" s="2" t="s">
        <v>3</v>
      </c>
      <c r="I5363" s="2" t="s">
        <v>3</v>
      </c>
    </row>
    <row r="5364" spans="1:9" hidden="1" x14ac:dyDescent="0.3">
      <c r="A5364" t="s">
        <v>79</v>
      </c>
      <c r="B5364" s="1">
        <v>44652</v>
      </c>
      <c r="C5364" s="2" t="s">
        <v>3</v>
      </c>
      <c r="D5364" s="2" t="s">
        <v>3</v>
      </c>
      <c r="E5364" s="2">
        <v>1097</v>
      </c>
      <c r="F5364" s="2" t="s">
        <v>3</v>
      </c>
      <c r="G5364" s="2" t="s">
        <v>3</v>
      </c>
      <c r="H5364" s="2" t="s">
        <v>3</v>
      </c>
      <c r="I5364" s="2" t="s">
        <v>3</v>
      </c>
    </row>
    <row r="5365" spans="1:9" hidden="1" x14ac:dyDescent="0.3">
      <c r="A5365" t="s">
        <v>79</v>
      </c>
      <c r="B5365" s="1">
        <v>44621</v>
      </c>
      <c r="C5365" s="2" t="s">
        <v>3</v>
      </c>
      <c r="D5365" s="2" t="s">
        <v>3</v>
      </c>
      <c r="E5365" s="2">
        <v>1342</v>
      </c>
      <c r="F5365" s="2" t="s">
        <v>3</v>
      </c>
      <c r="G5365" s="2" t="s">
        <v>3</v>
      </c>
      <c r="H5365" s="2" t="s">
        <v>3</v>
      </c>
      <c r="I5365" s="2" t="s">
        <v>3</v>
      </c>
    </row>
    <row r="5366" spans="1:9" hidden="1" x14ac:dyDescent="0.3">
      <c r="A5366" t="s">
        <v>79</v>
      </c>
      <c r="B5366" s="1">
        <v>44593</v>
      </c>
      <c r="C5366" s="2" t="s">
        <v>3</v>
      </c>
      <c r="D5366" s="2" t="s">
        <v>3</v>
      </c>
      <c r="E5366" s="2">
        <v>1279</v>
      </c>
      <c r="F5366" s="2" t="s">
        <v>3</v>
      </c>
      <c r="G5366" s="2" t="s">
        <v>3</v>
      </c>
      <c r="H5366" s="2" t="s">
        <v>3</v>
      </c>
      <c r="I5366" s="2" t="s">
        <v>3</v>
      </c>
    </row>
    <row r="5367" spans="1:9" hidden="1" x14ac:dyDescent="0.3">
      <c r="A5367" t="s">
        <v>79</v>
      </c>
      <c r="B5367" s="1">
        <v>44562</v>
      </c>
      <c r="C5367" s="2" t="s">
        <v>3</v>
      </c>
      <c r="D5367" s="2" t="s">
        <v>3</v>
      </c>
      <c r="E5367" s="2">
        <v>1172</v>
      </c>
      <c r="F5367" s="2" t="s">
        <v>3</v>
      </c>
      <c r="G5367" s="2" t="s">
        <v>3</v>
      </c>
      <c r="H5367" s="2" t="s">
        <v>3</v>
      </c>
      <c r="I5367" s="2" t="s">
        <v>3</v>
      </c>
    </row>
    <row r="5368" spans="1:9" hidden="1" x14ac:dyDescent="0.3">
      <c r="A5368" t="s">
        <v>79</v>
      </c>
      <c r="B5368" s="1">
        <v>44531</v>
      </c>
      <c r="C5368" s="2" t="s">
        <v>3</v>
      </c>
      <c r="D5368" s="2" t="s">
        <v>3</v>
      </c>
      <c r="E5368" s="2">
        <v>1178</v>
      </c>
      <c r="F5368" s="2" t="s">
        <v>3</v>
      </c>
      <c r="G5368" s="2" t="s">
        <v>3</v>
      </c>
      <c r="H5368" s="2" t="s">
        <v>3</v>
      </c>
      <c r="I5368" s="2" t="s">
        <v>3</v>
      </c>
    </row>
    <row r="5369" spans="1:9" hidden="1" x14ac:dyDescent="0.3">
      <c r="A5369" t="s">
        <v>79</v>
      </c>
      <c r="B5369" s="1">
        <v>44501</v>
      </c>
      <c r="C5369" s="2" t="s">
        <v>3</v>
      </c>
      <c r="D5369" s="2" t="s">
        <v>3</v>
      </c>
      <c r="E5369" s="2">
        <v>1149</v>
      </c>
      <c r="F5369" s="2" t="s">
        <v>3</v>
      </c>
      <c r="G5369" s="2" t="s">
        <v>3</v>
      </c>
      <c r="H5369" s="2" t="s">
        <v>3</v>
      </c>
      <c r="I5369" s="2" t="s">
        <v>3</v>
      </c>
    </row>
    <row r="5370" spans="1:9" hidden="1" x14ac:dyDescent="0.3">
      <c r="A5370" t="s">
        <v>79</v>
      </c>
      <c r="B5370" s="1">
        <v>44470</v>
      </c>
      <c r="C5370" s="2" t="s">
        <v>3</v>
      </c>
      <c r="D5370" s="2" t="s">
        <v>3</v>
      </c>
      <c r="E5370" s="2">
        <v>1046</v>
      </c>
      <c r="F5370" s="2" t="s">
        <v>3</v>
      </c>
      <c r="G5370" s="2" t="s">
        <v>3</v>
      </c>
      <c r="H5370" s="2" t="s">
        <v>3</v>
      </c>
      <c r="I5370" s="2" t="s">
        <v>3</v>
      </c>
    </row>
    <row r="5371" spans="1:9" hidden="1" x14ac:dyDescent="0.3">
      <c r="A5371" t="s">
        <v>79</v>
      </c>
      <c r="B5371" s="1">
        <v>44440</v>
      </c>
      <c r="C5371" s="2" t="s">
        <v>3</v>
      </c>
      <c r="D5371" s="2" t="s">
        <v>3</v>
      </c>
      <c r="E5371" s="2">
        <v>930</v>
      </c>
      <c r="F5371" s="2" t="s">
        <v>3</v>
      </c>
      <c r="G5371" s="2" t="s">
        <v>3</v>
      </c>
      <c r="H5371" s="2" t="s">
        <v>3</v>
      </c>
      <c r="I5371" s="2" t="s">
        <v>3</v>
      </c>
    </row>
    <row r="5372" spans="1:9" hidden="1" x14ac:dyDescent="0.3">
      <c r="A5372" t="s">
        <v>79</v>
      </c>
      <c r="B5372" s="1">
        <v>44409</v>
      </c>
      <c r="C5372" s="2" t="s">
        <v>3</v>
      </c>
      <c r="D5372" s="2" t="s">
        <v>3</v>
      </c>
      <c r="E5372" s="2">
        <v>892</v>
      </c>
      <c r="F5372" s="2" t="s">
        <v>3</v>
      </c>
      <c r="G5372" s="2" t="s">
        <v>3</v>
      </c>
      <c r="H5372" s="2" t="s">
        <v>3</v>
      </c>
      <c r="I5372" s="2" t="s">
        <v>3</v>
      </c>
    </row>
    <row r="5373" spans="1:9" hidden="1" x14ac:dyDescent="0.3">
      <c r="A5373" t="s">
        <v>79</v>
      </c>
      <c r="B5373" s="1">
        <v>44378</v>
      </c>
      <c r="C5373" s="2" t="s">
        <v>3</v>
      </c>
      <c r="D5373" s="2" t="s">
        <v>3</v>
      </c>
      <c r="E5373" s="2">
        <v>890</v>
      </c>
      <c r="F5373" s="2" t="s">
        <v>3</v>
      </c>
      <c r="G5373" s="2" t="s">
        <v>3</v>
      </c>
      <c r="H5373" s="2" t="s">
        <v>3</v>
      </c>
      <c r="I5373" s="2" t="s">
        <v>3</v>
      </c>
    </row>
    <row r="5374" spans="1:9" hidden="1" x14ac:dyDescent="0.3">
      <c r="A5374" t="s">
        <v>79</v>
      </c>
      <c r="B5374" s="1">
        <v>44348</v>
      </c>
      <c r="C5374" s="2" t="s">
        <v>3</v>
      </c>
      <c r="D5374" s="2" t="s">
        <v>3</v>
      </c>
      <c r="E5374" s="2">
        <v>734</v>
      </c>
      <c r="F5374" s="2" t="s">
        <v>3</v>
      </c>
      <c r="G5374" s="2" t="s">
        <v>3</v>
      </c>
      <c r="H5374" s="2" t="s">
        <v>3</v>
      </c>
      <c r="I5374" s="2" t="s">
        <v>3</v>
      </c>
    </row>
    <row r="5375" spans="1:9" hidden="1" x14ac:dyDescent="0.3">
      <c r="A5375" t="s">
        <v>79</v>
      </c>
      <c r="B5375" s="1">
        <v>44317</v>
      </c>
      <c r="C5375" s="2" t="s">
        <v>3</v>
      </c>
      <c r="D5375" s="2" t="s">
        <v>3</v>
      </c>
      <c r="E5375" s="2">
        <v>841</v>
      </c>
      <c r="F5375" s="2" t="s">
        <v>3</v>
      </c>
      <c r="G5375" s="2" t="s">
        <v>3</v>
      </c>
      <c r="H5375" s="2" t="s">
        <v>3</v>
      </c>
      <c r="I5375" s="2" t="s">
        <v>3</v>
      </c>
    </row>
    <row r="5376" spans="1:9" hidden="1" x14ac:dyDescent="0.3">
      <c r="A5376" t="s">
        <v>79</v>
      </c>
      <c r="B5376" s="1">
        <v>44287</v>
      </c>
      <c r="C5376" s="2" t="s">
        <v>3</v>
      </c>
      <c r="D5376" s="2" t="s">
        <v>3</v>
      </c>
      <c r="E5376" s="2">
        <v>828</v>
      </c>
      <c r="F5376" s="2" t="s">
        <v>3</v>
      </c>
      <c r="G5376" s="2" t="s">
        <v>3</v>
      </c>
      <c r="H5376" s="2" t="s">
        <v>3</v>
      </c>
      <c r="I5376" s="2" t="s">
        <v>3</v>
      </c>
    </row>
    <row r="5377" spans="1:9" hidden="1" x14ac:dyDescent="0.3">
      <c r="A5377" t="s">
        <v>79</v>
      </c>
      <c r="B5377" s="1">
        <v>44256</v>
      </c>
      <c r="C5377" s="2" t="s">
        <v>3</v>
      </c>
      <c r="D5377" s="2" t="s">
        <v>3</v>
      </c>
      <c r="E5377" s="2">
        <v>785</v>
      </c>
      <c r="F5377" s="2" t="s">
        <v>3</v>
      </c>
      <c r="G5377" s="2" t="s">
        <v>3</v>
      </c>
      <c r="H5377" s="2" t="s">
        <v>3</v>
      </c>
      <c r="I5377" s="2" t="s">
        <v>3</v>
      </c>
    </row>
    <row r="5378" spans="1:9" hidden="1" x14ac:dyDescent="0.3">
      <c r="A5378" t="s">
        <v>79</v>
      </c>
      <c r="B5378" s="1">
        <v>44228</v>
      </c>
      <c r="C5378" s="2" t="s">
        <v>3</v>
      </c>
      <c r="D5378" s="2" t="s">
        <v>3</v>
      </c>
      <c r="E5378" s="2">
        <v>785</v>
      </c>
      <c r="F5378" s="2" t="s">
        <v>3</v>
      </c>
      <c r="G5378" s="2" t="s">
        <v>3</v>
      </c>
      <c r="H5378" s="2" t="s">
        <v>3</v>
      </c>
      <c r="I5378" s="2" t="s">
        <v>3</v>
      </c>
    </row>
    <row r="5379" spans="1:9" hidden="1" x14ac:dyDescent="0.3">
      <c r="A5379" t="s">
        <v>79</v>
      </c>
      <c r="B5379" s="1">
        <v>44197</v>
      </c>
      <c r="C5379" s="2" t="s">
        <v>3</v>
      </c>
      <c r="D5379" s="2" t="s">
        <v>3</v>
      </c>
      <c r="E5379" s="2">
        <v>801</v>
      </c>
      <c r="F5379" s="2" t="s">
        <v>3</v>
      </c>
      <c r="G5379" s="2" t="s">
        <v>3</v>
      </c>
      <c r="H5379" s="2" t="s">
        <v>3</v>
      </c>
      <c r="I5379" s="2" t="s">
        <v>3</v>
      </c>
    </row>
    <row r="5380" spans="1:9" hidden="1" x14ac:dyDescent="0.3">
      <c r="A5380" t="s">
        <v>79</v>
      </c>
      <c r="B5380" s="1">
        <v>44166</v>
      </c>
      <c r="C5380" s="2" t="s">
        <v>3</v>
      </c>
      <c r="D5380" s="2" t="s">
        <v>3</v>
      </c>
      <c r="E5380" s="2">
        <v>918</v>
      </c>
      <c r="F5380" s="2" t="s">
        <v>3</v>
      </c>
      <c r="G5380" s="2" t="s">
        <v>3</v>
      </c>
      <c r="H5380" s="2" t="s">
        <v>3</v>
      </c>
      <c r="I5380" s="2" t="s">
        <v>3</v>
      </c>
    </row>
    <row r="5381" spans="1:9" hidden="1" x14ac:dyDescent="0.3">
      <c r="A5381" t="s">
        <v>79</v>
      </c>
      <c r="B5381" s="1">
        <v>44136</v>
      </c>
      <c r="C5381" s="2" t="s">
        <v>3</v>
      </c>
      <c r="D5381" s="2" t="s">
        <v>3</v>
      </c>
      <c r="E5381" s="2">
        <v>536</v>
      </c>
      <c r="F5381" s="2" t="s">
        <v>3</v>
      </c>
      <c r="G5381" s="2" t="s">
        <v>3</v>
      </c>
      <c r="H5381" s="2" t="s">
        <v>3</v>
      </c>
      <c r="I5381" s="2" t="s">
        <v>3</v>
      </c>
    </row>
    <row r="5382" spans="1:9" hidden="1" x14ac:dyDescent="0.3">
      <c r="A5382" t="s">
        <v>79</v>
      </c>
      <c r="B5382" s="1">
        <v>44105</v>
      </c>
      <c r="C5382" s="2" t="s">
        <v>3</v>
      </c>
      <c r="D5382" s="2" t="s">
        <v>3</v>
      </c>
      <c r="E5382" s="2">
        <v>530</v>
      </c>
      <c r="F5382" s="2" t="s">
        <v>3</v>
      </c>
      <c r="G5382" s="2" t="s">
        <v>3</v>
      </c>
      <c r="H5382" s="2" t="s">
        <v>3</v>
      </c>
      <c r="I5382" s="2" t="s">
        <v>3</v>
      </c>
    </row>
    <row r="5383" spans="1:9" hidden="1" x14ac:dyDescent="0.3">
      <c r="A5383" t="s">
        <v>79</v>
      </c>
      <c r="B5383" s="1">
        <v>44075</v>
      </c>
      <c r="C5383" s="2" t="s">
        <v>3</v>
      </c>
      <c r="D5383" s="2" t="s">
        <v>3</v>
      </c>
      <c r="E5383" s="2">
        <v>563</v>
      </c>
      <c r="F5383" s="2" t="s">
        <v>3</v>
      </c>
      <c r="G5383" s="2" t="s">
        <v>3</v>
      </c>
      <c r="H5383" s="2" t="s">
        <v>3</v>
      </c>
      <c r="I5383" s="2" t="s">
        <v>3</v>
      </c>
    </row>
    <row r="5384" spans="1:9" hidden="1" x14ac:dyDescent="0.3">
      <c r="A5384" t="s">
        <v>79</v>
      </c>
      <c r="B5384" s="1">
        <v>44044</v>
      </c>
      <c r="C5384" s="2" t="s">
        <v>3</v>
      </c>
      <c r="D5384" s="2" t="s">
        <v>3</v>
      </c>
      <c r="E5384" s="2">
        <v>551</v>
      </c>
      <c r="F5384" s="2" t="s">
        <v>3</v>
      </c>
      <c r="G5384" s="2" t="s">
        <v>3</v>
      </c>
      <c r="H5384" s="2" t="s">
        <v>3</v>
      </c>
      <c r="I5384" s="2" t="s">
        <v>3</v>
      </c>
    </row>
    <row r="5385" spans="1:9" hidden="1" x14ac:dyDescent="0.3">
      <c r="A5385" t="s">
        <v>79</v>
      </c>
      <c r="B5385" s="1">
        <v>44013</v>
      </c>
      <c r="C5385" s="2" t="s">
        <v>3</v>
      </c>
      <c r="D5385" s="2" t="s">
        <v>3</v>
      </c>
      <c r="E5385" s="2">
        <v>615</v>
      </c>
      <c r="F5385" s="2" t="s">
        <v>3</v>
      </c>
      <c r="G5385" s="2" t="s">
        <v>3</v>
      </c>
      <c r="H5385" s="2" t="s">
        <v>3</v>
      </c>
      <c r="I5385" s="2" t="s">
        <v>3</v>
      </c>
    </row>
    <row r="5386" spans="1:9" hidden="1" x14ac:dyDescent="0.3">
      <c r="A5386" t="s">
        <v>79</v>
      </c>
      <c r="B5386" s="1">
        <v>43983</v>
      </c>
      <c r="C5386" s="2" t="s">
        <v>3</v>
      </c>
      <c r="D5386" s="2" t="s">
        <v>3</v>
      </c>
      <c r="E5386" s="2">
        <v>631</v>
      </c>
      <c r="F5386" s="2" t="s">
        <v>3</v>
      </c>
      <c r="G5386" s="2" t="s">
        <v>3</v>
      </c>
      <c r="H5386" s="2" t="s">
        <v>3</v>
      </c>
      <c r="I5386" s="2" t="s">
        <v>3</v>
      </c>
    </row>
    <row r="5387" spans="1:9" hidden="1" x14ac:dyDescent="0.3">
      <c r="A5387" t="s">
        <v>79</v>
      </c>
      <c r="B5387" s="1">
        <v>43952</v>
      </c>
      <c r="C5387" s="2" t="s">
        <v>3</v>
      </c>
      <c r="D5387" s="2" t="s">
        <v>3</v>
      </c>
      <c r="E5387" s="2">
        <v>543</v>
      </c>
      <c r="F5387" s="2" t="s">
        <v>3</v>
      </c>
      <c r="G5387" s="2" t="s">
        <v>3</v>
      </c>
      <c r="H5387" s="2" t="s">
        <v>3</v>
      </c>
      <c r="I5387" s="2" t="s">
        <v>3</v>
      </c>
    </row>
    <row r="5388" spans="1:9" hidden="1" x14ac:dyDescent="0.3">
      <c r="A5388" t="s">
        <v>79</v>
      </c>
      <c r="B5388" s="1">
        <v>43922</v>
      </c>
      <c r="C5388" s="2" t="s">
        <v>3</v>
      </c>
      <c r="D5388" s="2" t="s">
        <v>3</v>
      </c>
      <c r="E5388" s="2">
        <v>622</v>
      </c>
      <c r="F5388" s="2" t="s">
        <v>3</v>
      </c>
      <c r="G5388" s="2" t="s">
        <v>3</v>
      </c>
      <c r="H5388" s="2" t="s">
        <v>3</v>
      </c>
      <c r="I5388" s="2" t="s">
        <v>3</v>
      </c>
    </row>
    <row r="5389" spans="1:9" hidden="1" x14ac:dyDescent="0.3">
      <c r="A5389" t="s">
        <v>79</v>
      </c>
      <c r="B5389" s="1">
        <v>43891</v>
      </c>
      <c r="C5389" s="2" t="s">
        <v>3</v>
      </c>
      <c r="D5389" s="2" t="s">
        <v>3</v>
      </c>
      <c r="E5389" s="2">
        <v>688</v>
      </c>
      <c r="F5389" s="2" t="s">
        <v>3</v>
      </c>
      <c r="G5389" s="2" t="s">
        <v>3</v>
      </c>
      <c r="H5389" s="2" t="s">
        <v>3</v>
      </c>
      <c r="I5389" s="2" t="s">
        <v>3</v>
      </c>
    </row>
    <row r="5390" spans="1:9" hidden="1" x14ac:dyDescent="0.3">
      <c r="A5390" t="s">
        <v>79</v>
      </c>
      <c r="B5390" s="1">
        <v>43862</v>
      </c>
      <c r="C5390" s="2" t="s">
        <v>3</v>
      </c>
      <c r="D5390" s="2" t="s">
        <v>3</v>
      </c>
      <c r="E5390" s="2">
        <v>1024</v>
      </c>
      <c r="F5390" s="2" t="s">
        <v>3</v>
      </c>
      <c r="G5390" s="2" t="s">
        <v>3</v>
      </c>
      <c r="H5390" s="2" t="s">
        <v>3</v>
      </c>
      <c r="I5390" s="2" t="s">
        <v>3</v>
      </c>
    </row>
    <row r="5391" spans="1:9" hidden="1" x14ac:dyDescent="0.3">
      <c r="A5391" t="s">
        <v>79</v>
      </c>
      <c r="B5391" s="1">
        <v>43831</v>
      </c>
      <c r="C5391" s="2" t="s">
        <v>3</v>
      </c>
      <c r="D5391" s="2" t="s">
        <v>3</v>
      </c>
      <c r="E5391" s="2">
        <v>895</v>
      </c>
      <c r="F5391" s="2" t="s">
        <v>3</v>
      </c>
      <c r="G5391" s="2" t="s">
        <v>3</v>
      </c>
      <c r="H5391" s="2" t="s">
        <v>3</v>
      </c>
      <c r="I5391" s="2" t="s">
        <v>3</v>
      </c>
    </row>
    <row r="5392" spans="1:9" x14ac:dyDescent="0.3">
      <c r="A5392" t="s">
        <v>80</v>
      </c>
      <c r="B5392" s="1">
        <v>45931</v>
      </c>
      <c r="C5392" s="2">
        <v>3675</v>
      </c>
      <c r="D5392" s="2">
        <v>13</v>
      </c>
      <c r="E5392" s="2">
        <v>3549</v>
      </c>
      <c r="F5392" s="2">
        <v>-22</v>
      </c>
      <c r="G5392" s="2">
        <v>1</v>
      </c>
      <c r="H5392" s="2">
        <v>126</v>
      </c>
      <c r="I5392" s="2">
        <v>35</v>
      </c>
    </row>
    <row r="5393" spans="1:9" x14ac:dyDescent="0.3">
      <c r="A5393" t="s">
        <v>80</v>
      </c>
      <c r="B5393" s="1">
        <v>45901</v>
      </c>
      <c r="C5393" s="2">
        <v>3662</v>
      </c>
      <c r="D5393" s="2">
        <v>-88</v>
      </c>
      <c r="E5393" s="2">
        <v>3571</v>
      </c>
      <c r="F5393" s="2">
        <v>-126</v>
      </c>
      <c r="G5393" s="2">
        <v>2</v>
      </c>
      <c r="H5393" s="2">
        <v>91</v>
      </c>
      <c r="I5393" s="2">
        <v>38</v>
      </c>
    </row>
    <row r="5394" spans="1:9" x14ac:dyDescent="0.3">
      <c r="A5394" t="s">
        <v>80</v>
      </c>
      <c r="B5394" s="1">
        <v>45870</v>
      </c>
      <c r="C5394" s="2">
        <v>3746</v>
      </c>
      <c r="D5394" s="2">
        <v>25</v>
      </c>
      <c r="E5394" s="2">
        <v>3693</v>
      </c>
      <c r="F5394" s="2">
        <v>45</v>
      </c>
      <c r="G5394" s="2">
        <v>17</v>
      </c>
      <c r="H5394" s="2">
        <v>53</v>
      </c>
      <c r="I5394" s="2">
        <v>-20</v>
      </c>
    </row>
    <row r="5395" spans="1:9" x14ac:dyDescent="0.3">
      <c r="A5395" t="s">
        <v>80</v>
      </c>
      <c r="B5395" s="1">
        <v>45839</v>
      </c>
      <c r="C5395" s="2">
        <v>3703</v>
      </c>
      <c r="D5395" s="2">
        <v>99</v>
      </c>
      <c r="E5395" s="2">
        <v>3630</v>
      </c>
      <c r="F5395" s="2">
        <v>89</v>
      </c>
      <c r="G5395" s="2">
        <v>-9</v>
      </c>
      <c r="H5395" s="2">
        <v>73</v>
      </c>
      <c r="I5395" s="2">
        <v>10</v>
      </c>
    </row>
    <row r="5396" spans="1:9" x14ac:dyDescent="0.3">
      <c r="A5396" t="s">
        <v>80</v>
      </c>
      <c r="B5396" s="1">
        <v>45809</v>
      </c>
      <c r="C5396" s="2">
        <v>3606</v>
      </c>
      <c r="D5396" s="2">
        <v>54</v>
      </c>
      <c r="E5396" s="2">
        <v>3543</v>
      </c>
      <c r="F5396" s="2">
        <v>10</v>
      </c>
      <c r="G5396" s="2">
        <v>7</v>
      </c>
      <c r="H5396" s="2">
        <v>63</v>
      </c>
      <c r="I5396" s="2">
        <v>44</v>
      </c>
    </row>
    <row r="5397" spans="1:9" x14ac:dyDescent="0.3">
      <c r="A5397" t="s">
        <v>80</v>
      </c>
      <c r="B5397" s="1">
        <v>45778</v>
      </c>
      <c r="C5397" s="2">
        <v>3544</v>
      </c>
      <c r="D5397" s="2">
        <v>-35</v>
      </c>
      <c r="E5397" s="2">
        <v>3525</v>
      </c>
      <c r="F5397" s="2">
        <v>-36</v>
      </c>
      <c r="G5397" s="2">
        <v>-12</v>
      </c>
      <c r="H5397" s="2">
        <v>19</v>
      </c>
      <c r="I5397" s="2">
        <v>1</v>
      </c>
    </row>
    <row r="5398" spans="1:9" x14ac:dyDescent="0.3">
      <c r="A5398" t="s">
        <v>80</v>
      </c>
      <c r="B5398" s="1">
        <v>45748</v>
      </c>
      <c r="C5398" s="2">
        <v>3591</v>
      </c>
      <c r="D5398" s="2">
        <v>-42</v>
      </c>
      <c r="E5398" s="2">
        <v>3573</v>
      </c>
      <c r="F5398" s="2">
        <v>-37</v>
      </c>
      <c r="G5398" s="2">
        <v>10</v>
      </c>
      <c r="H5398" s="2">
        <v>18</v>
      </c>
      <c r="I5398" s="2">
        <v>-5</v>
      </c>
    </row>
    <row r="5399" spans="1:9" x14ac:dyDescent="0.3">
      <c r="A5399" t="s">
        <v>80</v>
      </c>
      <c r="B5399" s="1">
        <v>45717</v>
      </c>
      <c r="C5399" s="2">
        <v>3623</v>
      </c>
      <c r="D5399" s="2">
        <v>206</v>
      </c>
      <c r="E5399" s="2">
        <v>3600</v>
      </c>
      <c r="F5399" s="2">
        <v>193</v>
      </c>
      <c r="G5399" s="2">
        <v>5</v>
      </c>
      <c r="H5399" s="2">
        <v>23</v>
      </c>
      <c r="I5399" s="2">
        <v>13</v>
      </c>
    </row>
    <row r="5400" spans="1:9" x14ac:dyDescent="0.3">
      <c r="A5400" t="s">
        <v>80</v>
      </c>
      <c r="B5400" s="1">
        <v>45689</v>
      </c>
      <c r="C5400" s="2">
        <v>3406</v>
      </c>
      <c r="D5400" s="2">
        <v>66</v>
      </c>
      <c r="E5400" s="2">
        <v>3396</v>
      </c>
      <c r="F5400" s="2">
        <v>59</v>
      </c>
      <c r="G5400" s="2">
        <v>12</v>
      </c>
      <c r="H5400" s="2">
        <v>10</v>
      </c>
      <c r="I5400" s="2">
        <v>7</v>
      </c>
    </row>
    <row r="5401" spans="1:9" x14ac:dyDescent="0.3">
      <c r="A5401" t="s">
        <v>80</v>
      </c>
      <c r="B5401" s="1">
        <v>45658</v>
      </c>
      <c r="C5401" s="2">
        <v>3328</v>
      </c>
      <c r="D5401" s="2">
        <v>166</v>
      </c>
      <c r="E5401" s="2">
        <v>3325</v>
      </c>
      <c r="F5401" s="2">
        <v>166</v>
      </c>
      <c r="G5401" s="2">
        <v>-1</v>
      </c>
      <c r="H5401" s="2">
        <v>3</v>
      </c>
      <c r="I5401" s="2">
        <v>0</v>
      </c>
    </row>
    <row r="5402" spans="1:9" x14ac:dyDescent="0.3">
      <c r="A5402" t="s">
        <v>80</v>
      </c>
      <c r="B5402" s="1">
        <v>45627</v>
      </c>
      <c r="C5402" s="2">
        <v>3171</v>
      </c>
      <c r="D5402" s="2">
        <v>52</v>
      </c>
      <c r="E5402" s="2">
        <v>3168</v>
      </c>
      <c r="F5402" s="2">
        <v>51</v>
      </c>
      <c r="G5402" s="2">
        <v>19</v>
      </c>
      <c r="H5402" s="2">
        <v>3</v>
      </c>
      <c r="I5402" s="2">
        <v>1</v>
      </c>
    </row>
    <row r="5403" spans="1:9" x14ac:dyDescent="0.3">
      <c r="A5403" t="s">
        <v>80</v>
      </c>
      <c r="B5403" s="1">
        <v>45597</v>
      </c>
      <c r="C5403" s="2">
        <v>3100</v>
      </c>
      <c r="D5403" s="2">
        <v>-88</v>
      </c>
      <c r="E5403" s="2">
        <v>3098</v>
      </c>
      <c r="F5403" s="2">
        <v>-87</v>
      </c>
      <c r="G5403" s="2">
        <v>-12</v>
      </c>
      <c r="H5403" s="2">
        <v>2</v>
      </c>
      <c r="I5403" s="2">
        <v>-1</v>
      </c>
    </row>
    <row r="5404" spans="1:9" x14ac:dyDescent="0.3">
      <c r="A5404" t="s">
        <v>80</v>
      </c>
      <c r="B5404" s="1">
        <v>45566</v>
      </c>
      <c r="C5404" s="2">
        <v>3199</v>
      </c>
      <c r="D5404" s="2">
        <v>73</v>
      </c>
      <c r="E5404" s="2">
        <v>3196</v>
      </c>
      <c r="F5404" s="2">
        <v>137</v>
      </c>
      <c r="G5404" s="2">
        <v>-10</v>
      </c>
      <c r="H5404" s="2">
        <v>3</v>
      </c>
      <c r="I5404" s="2">
        <v>-64</v>
      </c>
    </row>
    <row r="5405" spans="1:9" x14ac:dyDescent="0.3">
      <c r="A5405" t="s">
        <v>80</v>
      </c>
      <c r="B5405" s="1">
        <v>45536</v>
      </c>
      <c r="C5405" s="2">
        <v>3137</v>
      </c>
      <c r="D5405" s="2">
        <v>-175</v>
      </c>
      <c r="E5405" s="2">
        <v>3070</v>
      </c>
      <c r="F5405" s="2">
        <v>-141</v>
      </c>
      <c r="G5405" s="2">
        <v>13</v>
      </c>
      <c r="H5405" s="2">
        <v>67</v>
      </c>
      <c r="I5405" s="2">
        <v>-34</v>
      </c>
    </row>
    <row r="5406" spans="1:9" x14ac:dyDescent="0.3">
      <c r="A5406" t="s">
        <v>80</v>
      </c>
      <c r="B5406" s="1">
        <v>45505</v>
      </c>
      <c r="C5406" s="2">
        <v>3299</v>
      </c>
      <c r="D5406" s="2">
        <v>279</v>
      </c>
      <c r="E5406" s="2">
        <v>3198</v>
      </c>
      <c r="F5406" s="2">
        <v>342</v>
      </c>
      <c r="G5406" s="2">
        <v>13</v>
      </c>
      <c r="H5406" s="2">
        <v>101</v>
      </c>
      <c r="I5406" s="2">
        <v>-63</v>
      </c>
    </row>
    <row r="5407" spans="1:9" x14ac:dyDescent="0.3">
      <c r="A5407" t="s">
        <v>80</v>
      </c>
      <c r="B5407" s="1">
        <v>45474</v>
      </c>
      <c r="C5407" s="2">
        <v>3013</v>
      </c>
      <c r="D5407" s="2">
        <v>22</v>
      </c>
      <c r="E5407" s="2">
        <v>2849</v>
      </c>
      <c r="F5407" s="2">
        <v>-11</v>
      </c>
      <c r="G5407" s="2">
        <v>14</v>
      </c>
      <c r="H5407" s="2">
        <v>164</v>
      </c>
      <c r="I5407" s="2">
        <v>33</v>
      </c>
    </row>
    <row r="5408" spans="1:9" x14ac:dyDescent="0.3">
      <c r="A5408" t="s">
        <v>80</v>
      </c>
      <c r="B5408" s="1">
        <v>45444</v>
      </c>
      <c r="C5408" s="2">
        <v>2977</v>
      </c>
      <c r="D5408" s="2">
        <v>-18</v>
      </c>
      <c r="E5408" s="2">
        <v>2846</v>
      </c>
      <c r="F5408" s="2">
        <v>27</v>
      </c>
      <c r="G5408" s="2">
        <v>12</v>
      </c>
      <c r="H5408" s="2">
        <v>131</v>
      </c>
      <c r="I5408" s="2">
        <v>-45</v>
      </c>
    </row>
    <row r="5409" spans="1:9" x14ac:dyDescent="0.3">
      <c r="A5409" t="s">
        <v>80</v>
      </c>
      <c r="B5409" s="1">
        <v>45413</v>
      </c>
      <c r="C5409" s="2">
        <v>2984</v>
      </c>
      <c r="D5409" s="2">
        <v>4</v>
      </c>
      <c r="E5409" s="2">
        <v>2808</v>
      </c>
      <c r="F5409" s="2">
        <v>31</v>
      </c>
      <c r="G5409" s="2">
        <v>12</v>
      </c>
      <c r="H5409" s="2">
        <v>176</v>
      </c>
      <c r="I5409" s="2">
        <v>-27</v>
      </c>
    </row>
    <row r="5410" spans="1:9" x14ac:dyDescent="0.3">
      <c r="A5410" t="s">
        <v>80</v>
      </c>
      <c r="B5410" s="1">
        <v>45383</v>
      </c>
      <c r="C5410" s="2">
        <v>2968</v>
      </c>
      <c r="D5410" s="2">
        <v>11</v>
      </c>
      <c r="E5410" s="2">
        <v>2765</v>
      </c>
      <c r="F5410" s="2">
        <v>-38</v>
      </c>
      <c r="G5410" s="2">
        <v>3</v>
      </c>
      <c r="H5410" s="2">
        <v>203</v>
      </c>
      <c r="I5410" s="2">
        <v>49</v>
      </c>
    </row>
    <row r="5411" spans="1:9" x14ac:dyDescent="0.3">
      <c r="A5411" t="s">
        <v>80</v>
      </c>
      <c r="B5411" s="1">
        <v>45352</v>
      </c>
      <c r="C5411" s="2">
        <v>2954</v>
      </c>
      <c r="D5411" s="2">
        <v>45</v>
      </c>
      <c r="E5411" s="2">
        <v>2800</v>
      </c>
      <c r="F5411" s="2">
        <v>7</v>
      </c>
      <c r="G5411" s="2">
        <v>10</v>
      </c>
      <c r="H5411" s="2">
        <v>154</v>
      </c>
      <c r="I5411" s="2">
        <v>38</v>
      </c>
    </row>
    <row r="5412" spans="1:9" x14ac:dyDescent="0.3">
      <c r="A5412" t="s">
        <v>80</v>
      </c>
      <c r="B5412" s="1">
        <v>45323</v>
      </c>
      <c r="C5412" s="2">
        <v>2899</v>
      </c>
      <c r="D5412" s="2">
        <v>124</v>
      </c>
      <c r="E5412" s="2">
        <v>2783</v>
      </c>
      <c r="F5412" s="2">
        <v>54</v>
      </c>
      <c r="G5412" s="2">
        <v>-2</v>
      </c>
      <c r="H5412" s="2">
        <v>116</v>
      </c>
      <c r="I5412" s="2">
        <v>70</v>
      </c>
    </row>
    <row r="5413" spans="1:9" x14ac:dyDescent="0.3">
      <c r="A5413" t="s">
        <v>80</v>
      </c>
      <c r="B5413" s="1">
        <v>45292</v>
      </c>
      <c r="C5413" s="2">
        <v>2776</v>
      </c>
      <c r="D5413" s="2">
        <v>-179</v>
      </c>
      <c r="E5413" s="2">
        <v>2730</v>
      </c>
      <c r="F5413" s="2">
        <v>-164</v>
      </c>
      <c r="G5413" s="2">
        <v>9</v>
      </c>
      <c r="H5413" s="2">
        <v>46</v>
      </c>
      <c r="I5413" s="2">
        <v>-15</v>
      </c>
    </row>
    <row r="5414" spans="1:9" x14ac:dyDescent="0.3">
      <c r="A5414" t="s">
        <v>80</v>
      </c>
      <c r="B5414" s="1">
        <v>45261</v>
      </c>
      <c r="C5414" s="2">
        <v>2946</v>
      </c>
      <c r="D5414" s="2">
        <v>-154</v>
      </c>
      <c r="E5414" s="2">
        <v>2885</v>
      </c>
      <c r="F5414" s="2">
        <v>-146</v>
      </c>
      <c r="G5414" s="2">
        <v>19</v>
      </c>
      <c r="H5414" s="2">
        <v>61</v>
      </c>
      <c r="I5414" s="2">
        <v>-8</v>
      </c>
    </row>
    <row r="5415" spans="1:9" x14ac:dyDescent="0.3">
      <c r="A5415" t="s">
        <v>80</v>
      </c>
      <c r="B5415" s="1">
        <v>45231</v>
      </c>
      <c r="C5415" s="2">
        <v>3350</v>
      </c>
      <c r="D5415" s="2">
        <v>-222</v>
      </c>
      <c r="E5415" s="2">
        <v>3281</v>
      </c>
      <c r="F5415" s="2">
        <v>-232</v>
      </c>
      <c r="G5415" s="2">
        <v>23</v>
      </c>
      <c r="H5415" s="2">
        <v>69</v>
      </c>
      <c r="I5415" s="2">
        <v>10</v>
      </c>
    </row>
    <row r="5416" spans="1:9" x14ac:dyDescent="0.3">
      <c r="A5416" t="s">
        <v>80</v>
      </c>
      <c r="B5416" s="1">
        <v>45200</v>
      </c>
      <c r="C5416" s="2">
        <v>3549</v>
      </c>
      <c r="D5416" s="2">
        <v>-130</v>
      </c>
      <c r="E5416" s="2">
        <v>3490</v>
      </c>
      <c r="F5416" s="2">
        <v>-138</v>
      </c>
      <c r="G5416" s="2">
        <v>11</v>
      </c>
      <c r="H5416" s="2">
        <v>59</v>
      </c>
      <c r="I5416" s="2">
        <v>8</v>
      </c>
    </row>
    <row r="5417" spans="1:9" x14ac:dyDescent="0.3">
      <c r="A5417" t="s">
        <v>80</v>
      </c>
      <c r="B5417" s="1">
        <v>45170</v>
      </c>
      <c r="C5417" s="2">
        <v>3667</v>
      </c>
      <c r="D5417" s="2">
        <v>-28</v>
      </c>
      <c r="E5417" s="2">
        <v>3616</v>
      </c>
      <c r="F5417" s="2">
        <v>-27</v>
      </c>
      <c r="G5417" s="2">
        <v>0</v>
      </c>
      <c r="H5417" s="2">
        <v>51</v>
      </c>
      <c r="I5417" s="2">
        <v>-1</v>
      </c>
    </row>
    <row r="5418" spans="1:9" x14ac:dyDescent="0.3">
      <c r="A5418" t="s">
        <v>80</v>
      </c>
      <c r="B5418" s="1">
        <v>45139</v>
      </c>
      <c r="C5418" s="2">
        <v>3696</v>
      </c>
      <c r="D5418" s="2">
        <v>-79</v>
      </c>
      <c r="E5418" s="2">
        <v>3644</v>
      </c>
      <c r="F5418" s="2">
        <v>-79</v>
      </c>
      <c r="G5418" s="2">
        <v>8</v>
      </c>
      <c r="H5418" s="2">
        <v>52</v>
      </c>
      <c r="I5418" s="2">
        <v>0</v>
      </c>
    </row>
    <row r="5419" spans="1:9" x14ac:dyDescent="0.3">
      <c r="A5419" t="s">
        <v>80</v>
      </c>
      <c r="B5419" s="1">
        <v>45108</v>
      </c>
      <c r="C5419" s="2">
        <v>3765</v>
      </c>
      <c r="D5419" s="2">
        <v>-75</v>
      </c>
      <c r="E5419" s="2">
        <v>3713</v>
      </c>
      <c r="F5419" s="2">
        <v>-86</v>
      </c>
      <c r="G5419" s="2">
        <v>10</v>
      </c>
      <c r="H5419" s="2">
        <v>52</v>
      </c>
      <c r="I5419" s="2">
        <v>11</v>
      </c>
    </row>
    <row r="5420" spans="1:9" x14ac:dyDescent="0.3">
      <c r="A5420" t="s">
        <v>80</v>
      </c>
      <c r="B5420" s="1">
        <v>45078</v>
      </c>
      <c r="C5420" s="2">
        <v>3830</v>
      </c>
      <c r="D5420" s="2">
        <v>-29</v>
      </c>
      <c r="E5420" s="2">
        <v>3789</v>
      </c>
      <c r="F5420" s="2">
        <v>1</v>
      </c>
      <c r="G5420" s="2">
        <v>-5</v>
      </c>
      <c r="H5420" s="2">
        <v>41</v>
      </c>
      <c r="I5420" s="2">
        <v>-30</v>
      </c>
    </row>
    <row r="5421" spans="1:9" x14ac:dyDescent="0.3">
      <c r="A5421" t="s">
        <v>80</v>
      </c>
      <c r="B5421" s="1">
        <v>45047</v>
      </c>
      <c r="C5421" s="2">
        <v>3864</v>
      </c>
      <c r="D5421" s="2">
        <v>11</v>
      </c>
      <c r="E5421" s="2">
        <v>3793</v>
      </c>
      <c r="F5421" s="2">
        <v>13</v>
      </c>
      <c r="G5421" s="2">
        <v>-8</v>
      </c>
      <c r="H5421" s="2">
        <v>71</v>
      </c>
      <c r="I5421" s="2">
        <v>-2</v>
      </c>
    </row>
    <row r="5422" spans="1:9" x14ac:dyDescent="0.3">
      <c r="A5422" t="s">
        <v>80</v>
      </c>
      <c r="B5422" s="1">
        <v>45017</v>
      </c>
      <c r="C5422" s="2">
        <v>3861</v>
      </c>
      <c r="D5422" s="2">
        <v>-42</v>
      </c>
      <c r="E5422" s="2">
        <v>3788</v>
      </c>
      <c r="F5422" s="2">
        <v>-8</v>
      </c>
      <c r="G5422" s="2">
        <v>8</v>
      </c>
      <c r="H5422" s="2">
        <v>73</v>
      </c>
      <c r="I5422" s="2">
        <v>-34</v>
      </c>
    </row>
    <row r="5423" spans="1:9" x14ac:dyDescent="0.3">
      <c r="A5423" t="s">
        <v>80</v>
      </c>
      <c r="B5423" s="1">
        <v>44986</v>
      </c>
      <c r="C5423" s="2">
        <v>3895</v>
      </c>
      <c r="D5423" s="2">
        <v>-51</v>
      </c>
      <c r="E5423" s="2">
        <v>3788</v>
      </c>
      <c r="F5423" s="2">
        <v>-95</v>
      </c>
      <c r="G5423" s="2">
        <v>56</v>
      </c>
      <c r="H5423" s="2">
        <v>107</v>
      </c>
      <c r="I5423" s="2">
        <v>44</v>
      </c>
    </row>
    <row r="5424" spans="1:9" x14ac:dyDescent="0.3">
      <c r="A5424" t="s">
        <v>80</v>
      </c>
      <c r="B5424" s="1">
        <v>44958</v>
      </c>
      <c r="C5424" s="2">
        <v>3890</v>
      </c>
      <c r="D5424" s="2">
        <v>-18</v>
      </c>
      <c r="E5424" s="2">
        <v>3827</v>
      </c>
      <c r="F5424" s="2">
        <v>-14</v>
      </c>
      <c r="G5424" s="2">
        <v>-23</v>
      </c>
      <c r="H5424" s="2">
        <v>63</v>
      </c>
      <c r="I5424" s="2">
        <v>-4</v>
      </c>
    </row>
    <row r="5425" spans="1:9" hidden="1" x14ac:dyDescent="0.3">
      <c r="A5425" t="s">
        <v>80</v>
      </c>
      <c r="B5425" s="1">
        <v>44927</v>
      </c>
      <c r="C5425" s="2">
        <v>3931</v>
      </c>
      <c r="D5425" s="2" t="s">
        <v>3</v>
      </c>
      <c r="E5425" s="2">
        <v>3864</v>
      </c>
      <c r="F5425" s="2" t="s">
        <v>3</v>
      </c>
      <c r="G5425" s="2" t="s">
        <v>3</v>
      </c>
      <c r="H5425" s="2">
        <v>67</v>
      </c>
      <c r="I5425" s="2">
        <v>-1</v>
      </c>
    </row>
    <row r="5426" spans="1:9" hidden="1" x14ac:dyDescent="0.3">
      <c r="A5426" t="s">
        <v>80</v>
      </c>
      <c r="B5426" s="1">
        <v>44896</v>
      </c>
      <c r="C5426" s="2">
        <v>3870</v>
      </c>
      <c r="D5426" s="2" t="s">
        <v>3</v>
      </c>
      <c r="E5426" s="2">
        <v>3802</v>
      </c>
      <c r="F5426" s="2" t="s">
        <v>3</v>
      </c>
      <c r="G5426" s="2" t="s">
        <v>3</v>
      </c>
      <c r="H5426" s="2">
        <v>68</v>
      </c>
      <c r="I5426" s="2">
        <v>12</v>
      </c>
    </row>
    <row r="5427" spans="1:9" hidden="1" x14ac:dyDescent="0.3">
      <c r="A5427" t="s">
        <v>80</v>
      </c>
      <c r="B5427" s="1">
        <v>44866</v>
      </c>
      <c r="C5427" s="2">
        <v>3839</v>
      </c>
      <c r="D5427" s="2" t="s">
        <v>3</v>
      </c>
      <c r="E5427" s="2">
        <v>3783</v>
      </c>
      <c r="F5427" s="2" t="s">
        <v>3</v>
      </c>
      <c r="G5427" s="2" t="s">
        <v>3</v>
      </c>
      <c r="H5427" s="2">
        <v>56</v>
      </c>
      <c r="I5427" s="2">
        <v>8</v>
      </c>
    </row>
    <row r="5428" spans="1:9" hidden="1" x14ac:dyDescent="0.3">
      <c r="A5428" t="s">
        <v>80</v>
      </c>
      <c r="B5428" s="1">
        <v>44835</v>
      </c>
      <c r="C5428" s="2">
        <v>3761</v>
      </c>
      <c r="D5428" s="2" t="s">
        <v>3</v>
      </c>
      <c r="E5428" s="2">
        <v>3713</v>
      </c>
      <c r="F5428" s="2" t="s">
        <v>3</v>
      </c>
      <c r="G5428" s="2" t="s">
        <v>3</v>
      </c>
      <c r="H5428" s="2">
        <v>48</v>
      </c>
      <c r="I5428" s="2">
        <v>26</v>
      </c>
    </row>
    <row r="5429" spans="1:9" hidden="1" x14ac:dyDescent="0.3">
      <c r="A5429" t="s">
        <v>80</v>
      </c>
      <c r="B5429" s="1">
        <v>44805</v>
      </c>
      <c r="C5429" s="2">
        <v>3739</v>
      </c>
      <c r="D5429" s="2" t="s">
        <v>3</v>
      </c>
      <c r="E5429" s="2">
        <v>3717</v>
      </c>
      <c r="F5429" s="2" t="s">
        <v>3</v>
      </c>
      <c r="G5429" s="2" t="s">
        <v>3</v>
      </c>
      <c r="H5429" s="2">
        <v>22</v>
      </c>
      <c r="I5429" s="2">
        <v>11</v>
      </c>
    </row>
    <row r="5430" spans="1:9" hidden="1" x14ac:dyDescent="0.3">
      <c r="A5430" t="s">
        <v>80</v>
      </c>
      <c r="B5430" s="1">
        <v>44774</v>
      </c>
      <c r="C5430" s="2">
        <v>3708</v>
      </c>
      <c r="D5430" s="2" t="s">
        <v>3</v>
      </c>
      <c r="E5430" s="2">
        <v>3697</v>
      </c>
      <c r="F5430" s="2" t="s">
        <v>3</v>
      </c>
      <c r="G5430" s="2" t="s">
        <v>3</v>
      </c>
      <c r="H5430" s="2">
        <v>11</v>
      </c>
      <c r="I5430" s="2">
        <v>2</v>
      </c>
    </row>
    <row r="5431" spans="1:9" hidden="1" x14ac:dyDescent="0.3">
      <c r="A5431" t="s">
        <v>80</v>
      </c>
      <c r="B5431" s="1">
        <v>44743</v>
      </c>
      <c r="C5431" s="2">
        <v>3783</v>
      </c>
      <c r="D5431" s="2" t="s">
        <v>3</v>
      </c>
      <c r="E5431" s="2">
        <v>3774</v>
      </c>
      <c r="F5431" s="2" t="s">
        <v>3</v>
      </c>
      <c r="G5431" s="2" t="s">
        <v>3</v>
      </c>
      <c r="H5431" s="2">
        <v>9</v>
      </c>
      <c r="I5431" s="2">
        <v>2</v>
      </c>
    </row>
    <row r="5432" spans="1:9" hidden="1" x14ac:dyDescent="0.3">
      <c r="A5432" t="s">
        <v>80</v>
      </c>
      <c r="B5432" s="1">
        <v>44713</v>
      </c>
      <c r="C5432" s="2">
        <v>3892</v>
      </c>
      <c r="D5432" s="2" t="s">
        <v>3</v>
      </c>
      <c r="E5432" s="2">
        <v>3885</v>
      </c>
      <c r="F5432" s="2" t="s">
        <v>3</v>
      </c>
      <c r="G5432" s="2" t="s">
        <v>3</v>
      </c>
      <c r="H5432" s="2">
        <v>7</v>
      </c>
      <c r="I5432" s="2">
        <v>-20</v>
      </c>
    </row>
    <row r="5433" spans="1:9" hidden="1" x14ac:dyDescent="0.3">
      <c r="A5433" t="s">
        <v>80</v>
      </c>
      <c r="B5433" s="1">
        <v>44682</v>
      </c>
      <c r="C5433" s="2">
        <v>3699</v>
      </c>
      <c r="D5433" s="2" t="s">
        <v>3</v>
      </c>
      <c r="E5433" s="2">
        <v>3672</v>
      </c>
      <c r="F5433" s="2" t="s">
        <v>3</v>
      </c>
      <c r="G5433" s="2" t="s">
        <v>3</v>
      </c>
      <c r="H5433" s="2">
        <v>27</v>
      </c>
      <c r="I5433" s="2">
        <v>2</v>
      </c>
    </row>
    <row r="5434" spans="1:9" hidden="1" x14ac:dyDescent="0.3">
      <c r="A5434" t="s">
        <v>80</v>
      </c>
      <c r="B5434" s="1">
        <v>44652</v>
      </c>
      <c r="C5434" s="2">
        <v>3697</v>
      </c>
      <c r="D5434" s="2" t="s">
        <v>3</v>
      </c>
      <c r="E5434" s="2">
        <v>3672</v>
      </c>
      <c r="F5434" s="2" t="s">
        <v>3</v>
      </c>
      <c r="G5434" s="2" t="s">
        <v>3</v>
      </c>
      <c r="H5434" s="2">
        <v>25</v>
      </c>
      <c r="I5434" s="2">
        <v>18</v>
      </c>
    </row>
    <row r="5435" spans="1:9" hidden="1" x14ac:dyDescent="0.3">
      <c r="A5435" t="s">
        <v>80</v>
      </c>
      <c r="B5435" s="1">
        <v>44621</v>
      </c>
      <c r="C5435" s="2">
        <v>3672</v>
      </c>
      <c r="D5435" s="2" t="s">
        <v>3</v>
      </c>
      <c r="E5435" s="2">
        <v>3665</v>
      </c>
      <c r="F5435" s="2" t="s">
        <v>3</v>
      </c>
      <c r="G5435" s="2" t="s">
        <v>3</v>
      </c>
      <c r="H5435" s="2">
        <v>7</v>
      </c>
      <c r="I5435" s="2">
        <v>-1</v>
      </c>
    </row>
    <row r="5436" spans="1:9" hidden="1" x14ac:dyDescent="0.3">
      <c r="A5436" t="s">
        <v>80</v>
      </c>
      <c r="B5436" s="1">
        <v>44593</v>
      </c>
      <c r="C5436" s="2">
        <v>3720</v>
      </c>
      <c r="D5436" s="2" t="s">
        <v>3</v>
      </c>
      <c r="E5436" s="2">
        <v>3712</v>
      </c>
      <c r="F5436" s="2" t="s">
        <v>3</v>
      </c>
      <c r="G5436" s="2" t="s">
        <v>3</v>
      </c>
      <c r="H5436" s="2">
        <v>8</v>
      </c>
      <c r="I5436" s="2">
        <v>8</v>
      </c>
    </row>
    <row r="5437" spans="1:9" hidden="1" x14ac:dyDescent="0.3">
      <c r="A5437" t="s">
        <v>80</v>
      </c>
      <c r="B5437" s="1">
        <v>44562</v>
      </c>
      <c r="C5437" s="2">
        <v>3733</v>
      </c>
      <c r="D5437" s="2" t="s">
        <v>3</v>
      </c>
      <c r="E5437" s="2">
        <v>3733</v>
      </c>
      <c r="F5437" s="2" t="s">
        <v>3</v>
      </c>
      <c r="G5437" s="2" t="s">
        <v>3</v>
      </c>
      <c r="H5437" s="2">
        <v>0</v>
      </c>
      <c r="I5437" s="2">
        <v>-1</v>
      </c>
    </row>
    <row r="5438" spans="1:9" hidden="1" x14ac:dyDescent="0.3">
      <c r="A5438" t="s">
        <v>80</v>
      </c>
      <c r="B5438" s="1">
        <v>44531</v>
      </c>
      <c r="C5438" s="2">
        <v>3763</v>
      </c>
      <c r="D5438" s="2" t="s">
        <v>3</v>
      </c>
      <c r="E5438" s="2">
        <v>3762</v>
      </c>
      <c r="F5438" s="2" t="s">
        <v>3</v>
      </c>
      <c r="G5438" s="2" t="s">
        <v>3</v>
      </c>
      <c r="H5438" s="2">
        <v>1</v>
      </c>
      <c r="I5438" s="2">
        <v>0</v>
      </c>
    </row>
    <row r="5439" spans="1:9" hidden="1" x14ac:dyDescent="0.3">
      <c r="A5439" t="s">
        <v>80</v>
      </c>
      <c r="B5439" s="1">
        <v>44501</v>
      </c>
      <c r="C5439" s="2">
        <v>3769</v>
      </c>
      <c r="D5439" s="2" t="s">
        <v>3</v>
      </c>
      <c r="E5439" s="2">
        <v>3768</v>
      </c>
      <c r="F5439" s="2" t="s">
        <v>3</v>
      </c>
      <c r="G5439" s="2" t="s">
        <v>3</v>
      </c>
      <c r="H5439" s="2">
        <v>1</v>
      </c>
      <c r="I5439" s="2">
        <v>-1</v>
      </c>
    </row>
    <row r="5440" spans="1:9" hidden="1" x14ac:dyDescent="0.3">
      <c r="A5440" t="s">
        <v>80</v>
      </c>
      <c r="B5440" s="1">
        <v>44470</v>
      </c>
      <c r="C5440" s="2">
        <v>3768</v>
      </c>
      <c r="D5440" s="2" t="s">
        <v>3</v>
      </c>
      <c r="E5440" s="2">
        <v>3766</v>
      </c>
      <c r="F5440" s="2" t="s">
        <v>3</v>
      </c>
      <c r="G5440" s="2" t="s">
        <v>3</v>
      </c>
      <c r="H5440" s="2">
        <v>2</v>
      </c>
      <c r="I5440" s="2">
        <v>2</v>
      </c>
    </row>
    <row r="5441" spans="1:9" hidden="1" x14ac:dyDescent="0.3">
      <c r="A5441" t="s">
        <v>80</v>
      </c>
      <c r="B5441" s="1">
        <v>44440</v>
      </c>
      <c r="C5441" s="2">
        <v>3783</v>
      </c>
      <c r="D5441" s="2" t="s">
        <v>3</v>
      </c>
      <c r="E5441" s="2">
        <v>3783</v>
      </c>
      <c r="F5441" s="2" t="s">
        <v>3</v>
      </c>
      <c r="G5441" s="2" t="s">
        <v>3</v>
      </c>
      <c r="H5441" s="2">
        <v>0</v>
      </c>
      <c r="I5441" s="2">
        <v>-1</v>
      </c>
    </row>
    <row r="5442" spans="1:9" hidden="1" x14ac:dyDescent="0.3">
      <c r="A5442" t="s">
        <v>80</v>
      </c>
      <c r="B5442" s="1">
        <v>44409</v>
      </c>
      <c r="C5442" s="2">
        <v>4083</v>
      </c>
      <c r="D5442" s="2" t="s">
        <v>3</v>
      </c>
      <c r="E5442" s="2">
        <v>4082</v>
      </c>
      <c r="F5442" s="2" t="s">
        <v>3</v>
      </c>
      <c r="G5442" s="2" t="s">
        <v>3</v>
      </c>
      <c r="H5442" s="2">
        <v>1</v>
      </c>
      <c r="I5442" s="2">
        <v>0</v>
      </c>
    </row>
    <row r="5443" spans="1:9" hidden="1" x14ac:dyDescent="0.3">
      <c r="A5443" t="s">
        <v>80</v>
      </c>
      <c r="B5443" s="1">
        <v>44378</v>
      </c>
      <c r="C5443" s="2">
        <v>4091</v>
      </c>
      <c r="D5443" s="2" t="s">
        <v>3</v>
      </c>
      <c r="E5443" s="2">
        <v>4090</v>
      </c>
      <c r="F5443" s="2" t="s">
        <v>3</v>
      </c>
      <c r="G5443" s="2" t="s">
        <v>3</v>
      </c>
      <c r="H5443" s="2">
        <v>1</v>
      </c>
      <c r="I5443" s="2">
        <v>0</v>
      </c>
    </row>
    <row r="5444" spans="1:9" hidden="1" x14ac:dyDescent="0.3">
      <c r="A5444" t="s">
        <v>80</v>
      </c>
      <c r="B5444" s="1">
        <v>44348</v>
      </c>
      <c r="C5444" s="2">
        <v>4080</v>
      </c>
      <c r="D5444" s="2" t="s">
        <v>3</v>
      </c>
      <c r="E5444" s="2">
        <v>4079</v>
      </c>
      <c r="F5444" s="2" t="s">
        <v>3</v>
      </c>
      <c r="G5444" s="2" t="s">
        <v>3</v>
      </c>
      <c r="H5444" s="2">
        <v>1</v>
      </c>
      <c r="I5444" s="2">
        <v>0</v>
      </c>
    </row>
    <row r="5445" spans="1:9" hidden="1" x14ac:dyDescent="0.3">
      <c r="A5445" t="s">
        <v>80</v>
      </c>
      <c r="B5445" s="1">
        <v>44317</v>
      </c>
      <c r="C5445" s="2">
        <v>4084</v>
      </c>
      <c r="D5445" s="2" t="s">
        <v>3</v>
      </c>
      <c r="E5445" s="2">
        <v>4083</v>
      </c>
      <c r="F5445" s="2" t="s">
        <v>3</v>
      </c>
      <c r="G5445" s="2" t="s">
        <v>3</v>
      </c>
      <c r="H5445" s="2">
        <v>1</v>
      </c>
      <c r="I5445" s="2">
        <v>0</v>
      </c>
    </row>
    <row r="5446" spans="1:9" hidden="1" x14ac:dyDescent="0.3">
      <c r="A5446" t="s">
        <v>80</v>
      </c>
      <c r="B5446" s="1">
        <v>44287</v>
      </c>
      <c r="C5446" s="2">
        <v>4079</v>
      </c>
      <c r="D5446" s="2" t="s">
        <v>3</v>
      </c>
      <c r="E5446" s="2">
        <v>4078</v>
      </c>
      <c r="F5446" s="2" t="s">
        <v>3</v>
      </c>
      <c r="G5446" s="2" t="s">
        <v>3</v>
      </c>
      <c r="H5446" s="2">
        <v>1</v>
      </c>
      <c r="I5446" s="2">
        <v>-1</v>
      </c>
    </row>
    <row r="5447" spans="1:9" hidden="1" x14ac:dyDescent="0.3">
      <c r="A5447" t="s">
        <v>80</v>
      </c>
      <c r="B5447" s="1">
        <v>44256</v>
      </c>
      <c r="C5447" s="2">
        <v>4085</v>
      </c>
      <c r="D5447" s="2" t="s">
        <v>3</v>
      </c>
      <c r="E5447" s="2">
        <v>4083</v>
      </c>
      <c r="F5447" s="2" t="s">
        <v>3</v>
      </c>
      <c r="G5447" s="2" t="s">
        <v>3</v>
      </c>
      <c r="H5447" s="2">
        <v>2</v>
      </c>
      <c r="I5447" s="2">
        <v>0</v>
      </c>
    </row>
    <row r="5448" spans="1:9" hidden="1" x14ac:dyDescent="0.3">
      <c r="A5448" t="s">
        <v>80</v>
      </c>
      <c r="B5448" s="1">
        <v>44228</v>
      </c>
      <c r="C5448" s="2">
        <v>4079</v>
      </c>
      <c r="D5448" s="2" t="s">
        <v>3</v>
      </c>
      <c r="E5448" s="2">
        <v>4077</v>
      </c>
      <c r="F5448" s="2" t="s">
        <v>3</v>
      </c>
      <c r="G5448" s="2" t="s">
        <v>3</v>
      </c>
      <c r="H5448" s="2">
        <v>2</v>
      </c>
      <c r="I5448" s="2">
        <v>-1</v>
      </c>
    </row>
    <row r="5449" spans="1:9" hidden="1" x14ac:dyDescent="0.3">
      <c r="A5449" t="s">
        <v>80</v>
      </c>
      <c r="B5449" s="1">
        <v>44197</v>
      </c>
      <c r="C5449" s="2">
        <v>4168</v>
      </c>
      <c r="D5449" s="2" t="s">
        <v>3</v>
      </c>
      <c r="E5449" s="2">
        <v>4165</v>
      </c>
      <c r="F5449" s="2" t="s">
        <v>3</v>
      </c>
      <c r="G5449" s="2" t="s">
        <v>3</v>
      </c>
      <c r="H5449" s="2">
        <v>3</v>
      </c>
      <c r="I5449" s="2">
        <v>-1</v>
      </c>
    </row>
    <row r="5450" spans="1:9" hidden="1" x14ac:dyDescent="0.3">
      <c r="A5450" t="s">
        <v>80</v>
      </c>
      <c r="B5450" s="1">
        <v>44166</v>
      </c>
      <c r="C5450" s="2">
        <v>3969</v>
      </c>
      <c r="D5450" s="2" t="s">
        <v>3</v>
      </c>
      <c r="E5450" s="2">
        <v>3965</v>
      </c>
      <c r="F5450" s="2" t="s">
        <v>3</v>
      </c>
      <c r="G5450" s="2" t="s">
        <v>3</v>
      </c>
      <c r="H5450" s="2">
        <v>4</v>
      </c>
      <c r="I5450" s="2">
        <v>-1</v>
      </c>
    </row>
    <row r="5451" spans="1:9" hidden="1" x14ac:dyDescent="0.3">
      <c r="A5451" t="s">
        <v>80</v>
      </c>
      <c r="B5451" s="1">
        <v>44136</v>
      </c>
      <c r="C5451" s="2">
        <v>3957</v>
      </c>
      <c r="D5451" s="2" t="s">
        <v>3</v>
      </c>
      <c r="E5451" s="2">
        <v>3952</v>
      </c>
      <c r="F5451" s="2" t="s">
        <v>3</v>
      </c>
      <c r="G5451" s="2" t="s">
        <v>3</v>
      </c>
      <c r="H5451" s="2">
        <v>5</v>
      </c>
      <c r="I5451" s="2">
        <v>-2</v>
      </c>
    </row>
    <row r="5452" spans="1:9" hidden="1" x14ac:dyDescent="0.3">
      <c r="A5452" t="s">
        <v>80</v>
      </c>
      <c r="B5452" s="1">
        <v>44105</v>
      </c>
      <c r="C5452" s="2">
        <v>3967</v>
      </c>
      <c r="D5452" s="2" t="s">
        <v>3</v>
      </c>
      <c r="E5452" s="2">
        <v>3960</v>
      </c>
      <c r="F5452" s="2" t="s">
        <v>3</v>
      </c>
      <c r="G5452" s="2" t="s">
        <v>3</v>
      </c>
      <c r="H5452" s="2">
        <v>7</v>
      </c>
      <c r="I5452" s="2">
        <v>0</v>
      </c>
    </row>
    <row r="5453" spans="1:9" hidden="1" x14ac:dyDescent="0.3">
      <c r="A5453" t="s">
        <v>80</v>
      </c>
      <c r="B5453" s="1">
        <v>44075</v>
      </c>
      <c r="C5453" s="2">
        <v>4021</v>
      </c>
      <c r="D5453" s="2" t="s">
        <v>3</v>
      </c>
      <c r="E5453" s="2">
        <v>4014</v>
      </c>
      <c r="F5453" s="2" t="s">
        <v>3</v>
      </c>
      <c r="G5453" s="2" t="s">
        <v>3</v>
      </c>
      <c r="H5453" s="2">
        <v>7</v>
      </c>
      <c r="I5453" s="2">
        <v>-3</v>
      </c>
    </row>
    <row r="5454" spans="1:9" hidden="1" x14ac:dyDescent="0.3">
      <c r="A5454" t="s">
        <v>80</v>
      </c>
      <c r="B5454" s="1">
        <v>44044</v>
      </c>
      <c r="C5454" s="2">
        <v>4066</v>
      </c>
      <c r="D5454" s="2" t="s">
        <v>3</v>
      </c>
      <c r="E5454" s="2">
        <v>4056</v>
      </c>
      <c r="F5454" s="2" t="s">
        <v>3</v>
      </c>
      <c r="G5454" s="2" t="s">
        <v>3</v>
      </c>
      <c r="H5454" s="2">
        <v>10</v>
      </c>
      <c r="I5454" s="2">
        <v>-7</v>
      </c>
    </row>
    <row r="5455" spans="1:9" hidden="1" x14ac:dyDescent="0.3">
      <c r="A5455" t="s">
        <v>80</v>
      </c>
      <c r="B5455" s="1">
        <v>44013</v>
      </c>
      <c r="C5455" s="2">
        <v>4116</v>
      </c>
      <c r="D5455" s="2" t="s">
        <v>3</v>
      </c>
      <c r="E5455" s="2">
        <v>4099</v>
      </c>
      <c r="F5455" s="2" t="s">
        <v>3</v>
      </c>
      <c r="G5455" s="2" t="s">
        <v>3</v>
      </c>
      <c r="H5455" s="2">
        <v>17</v>
      </c>
      <c r="I5455" s="2">
        <v>-1</v>
      </c>
    </row>
    <row r="5456" spans="1:9" hidden="1" x14ac:dyDescent="0.3">
      <c r="A5456" t="s">
        <v>80</v>
      </c>
      <c r="B5456" s="1">
        <v>43983</v>
      </c>
      <c r="C5456" s="2">
        <v>4205</v>
      </c>
      <c r="D5456" s="2" t="s">
        <v>3</v>
      </c>
      <c r="E5456" s="2">
        <v>4187</v>
      </c>
      <c r="F5456" s="2" t="s">
        <v>3</v>
      </c>
      <c r="G5456" s="2" t="s">
        <v>3</v>
      </c>
      <c r="H5456" s="2">
        <v>18</v>
      </c>
      <c r="I5456" s="2">
        <v>-1</v>
      </c>
    </row>
    <row r="5457" spans="1:9" hidden="1" x14ac:dyDescent="0.3">
      <c r="A5457" t="s">
        <v>80</v>
      </c>
      <c r="B5457" s="1">
        <v>43952</v>
      </c>
      <c r="C5457" s="2">
        <v>4141</v>
      </c>
      <c r="D5457" s="2" t="s">
        <v>3</v>
      </c>
      <c r="E5457" s="2">
        <v>4122</v>
      </c>
      <c r="F5457" s="2" t="s">
        <v>3</v>
      </c>
      <c r="G5457" s="2" t="s">
        <v>3</v>
      </c>
      <c r="H5457" s="2">
        <v>19</v>
      </c>
      <c r="I5457" s="2">
        <v>-7</v>
      </c>
    </row>
    <row r="5458" spans="1:9" hidden="1" x14ac:dyDescent="0.3">
      <c r="A5458" t="s">
        <v>80</v>
      </c>
      <c r="B5458" s="1">
        <v>43922</v>
      </c>
      <c r="C5458" s="2">
        <v>4130</v>
      </c>
      <c r="D5458" s="2" t="s">
        <v>3</v>
      </c>
      <c r="E5458" s="2">
        <v>4104</v>
      </c>
      <c r="F5458" s="2" t="s">
        <v>3</v>
      </c>
      <c r="G5458" s="2" t="s">
        <v>3</v>
      </c>
      <c r="H5458" s="2">
        <v>26</v>
      </c>
      <c r="I5458" s="2">
        <v>4</v>
      </c>
    </row>
    <row r="5459" spans="1:9" hidden="1" x14ac:dyDescent="0.3">
      <c r="A5459" t="s">
        <v>80</v>
      </c>
      <c r="B5459" s="1">
        <v>43891</v>
      </c>
      <c r="C5459" s="2">
        <v>4275</v>
      </c>
      <c r="D5459" s="2" t="s">
        <v>3</v>
      </c>
      <c r="E5459" s="2">
        <v>4253</v>
      </c>
      <c r="F5459" s="2" t="s">
        <v>3</v>
      </c>
      <c r="G5459" s="2" t="s">
        <v>3</v>
      </c>
      <c r="H5459" s="2">
        <v>22</v>
      </c>
      <c r="I5459" s="2">
        <v>14</v>
      </c>
    </row>
    <row r="5460" spans="1:9" hidden="1" x14ac:dyDescent="0.3">
      <c r="A5460" t="s">
        <v>80</v>
      </c>
      <c r="B5460" s="1">
        <v>43862</v>
      </c>
      <c r="C5460" s="2">
        <v>4571</v>
      </c>
      <c r="D5460" s="2" t="s">
        <v>3</v>
      </c>
      <c r="E5460" s="2">
        <v>4563</v>
      </c>
      <c r="F5460" s="2" t="s">
        <v>3</v>
      </c>
      <c r="G5460" s="2" t="s">
        <v>3</v>
      </c>
      <c r="H5460" s="2">
        <v>8</v>
      </c>
      <c r="I5460" s="2">
        <v>2</v>
      </c>
    </row>
    <row r="5461" spans="1:9" hidden="1" x14ac:dyDescent="0.3">
      <c r="A5461" t="s">
        <v>80</v>
      </c>
      <c r="B5461" s="1">
        <v>43831</v>
      </c>
      <c r="C5461" s="2">
        <v>4731</v>
      </c>
      <c r="D5461" s="2" t="s">
        <v>3</v>
      </c>
      <c r="E5461" s="2">
        <v>4725</v>
      </c>
      <c r="F5461" s="2" t="s">
        <v>3</v>
      </c>
      <c r="G5461" s="2" t="s">
        <v>3</v>
      </c>
      <c r="H5461" s="2">
        <v>6</v>
      </c>
      <c r="I5461" s="2">
        <v>-6</v>
      </c>
    </row>
    <row r="5462" spans="1:9" x14ac:dyDescent="0.3">
      <c r="A5462" t="s">
        <v>81</v>
      </c>
      <c r="B5462" s="1">
        <v>45931</v>
      </c>
      <c r="C5462" s="2">
        <v>13233</v>
      </c>
      <c r="D5462" s="2">
        <v>1482</v>
      </c>
      <c r="E5462" s="2">
        <v>8316</v>
      </c>
      <c r="F5462" s="2">
        <v>585</v>
      </c>
      <c r="G5462" s="2">
        <v>17</v>
      </c>
      <c r="H5462" s="2">
        <v>4917</v>
      </c>
      <c r="I5462" s="2">
        <v>897</v>
      </c>
    </row>
    <row r="5463" spans="1:9" x14ac:dyDescent="0.3">
      <c r="A5463" t="s">
        <v>81</v>
      </c>
      <c r="B5463" s="1">
        <v>45901</v>
      </c>
      <c r="C5463" s="2">
        <v>14146</v>
      </c>
      <c r="D5463" s="2">
        <v>-4522</v>
      </c>
      <c r="E5463" s="2">
        <v>10126</v>
      </c>
      <c r="F5463" s="2">
        <v>-897</v>
      </c>
      <c r="G5463" s="2">
        <v>37</v>
      </c>
      <c r="H5463" s="2">
        <v>4020</v>
      </c>
      <c r="I5463" s="2">
        <v>-3625</v>
      </c>
    </row>
    <row r="5464" spans="1:9" x14ac:dyDescent="0.3">
      <c r="A5464" t="s">
        <v>81</v>
      </c>
      <c r="B5464" s="1">
        <v>45870</v>
      </c>
      <c r="C5464" s="2">
        <v>18671</v>
      </c>
      <c r="D5464" s="2">
        <v>2828</v>
      </c>
      <c r="E5464" s="2">
        <v>11026</v>
      </c>
      <c r="F5464" s="2">
        <v>555</v>
      </c>
      <c r="G5464" s="2">
        <v>-37</v>
      </c>
      <c r="H5464" s="2">
        <v>7645</v>
      </c>
      <c r="I5464" s="2">
        <v>2273</v>
      </c>
    </row>
    <row r="5465" spans="1:9" x14ac:dyDescent="0.3">
      <c r="A5465" t="s">
        <v>81</v>
      </c>
      <c r="B5465" s="1">
        <v>45839</v>
      </c>
      <c r="C5465" s="2">
        <v>15876</v>
      </c>
      <c r="D5465" s="2">
        <v>668</v>
      </c>
      <c r="E5465" s="2">
        <v>10504</v>
      </c>
      <c r="F5465" s="2">
        <v>646</v>
      </c>
      <c r="G5465" s="2">
        <v>81</v>
      </c>
      <c r="H5465" s="2">
        <v>5372</v>
      </c>
      <c r="I5465" s="2">
        <v>22</v>
      </c>
    </row>
    <row r="5466" spans="1:9" x14ac:dyDescent="0.3">
      <c r="A5466" t="s">
        <v>81</v>
      </c>
      <c r="B5466" s="1">
        <v>45809</v>
      </c>
      <c r="C5466" s="2">
        <v>15138</v>
      </c>
      <c r="D5466" s="2">
        <v>32</v>
      </c>
      <c r="E5466" s="2">
        <v>9788</v>
      </c>
      <c r="F5466" s="2">
        <v>-30</v>
      </c>
      <c r="G5466" s="2">
        <v>-29</v>
      </c>
      <c r="H5466" s="2">
        <v>5350</v>
      </c>
      <c r="I5466" s="2">
        <v>62</v>
      </c>
    </row>
    <row r="5467" spans="1:9" x14ac:dyDescent="0.3">
      <c r="A5467" t="s">
        <v>81</v>
      </c>
      <c r="B5467" s="1">
        <v>45778</v>
      </c>
      <c r="C5467" s="2">
        <v>15137</v>
      </c>
      <c r="D5467" s="2">
        <v>-1897</v>
      </c>
      <c r="E5467" s="2">
        <v>9849</v>
      </c>
      <c r="F5467" s="2">
        <v>-787</v>
      </c>
      <c r="G5467" s="2">
        <v>-35</v>
      </c>
      <c r="H5467" s="2">
        <v>5288</v>
      </c>
      <c r="I5467" s="2">
        <v>-1110</v>
      </c>
    </row>
    <row r="5468" spans="1:9" x14ac:dyDescent="0.3">
      <c r="A5468" t="s">
        <v>81</v>
      </c>
      <c r="B5468" s="1">
        <v>45748</v>
      </c>
      <c r="C5468" s="2">
        <v>17864</v>
      </c>
      <c r="D5468" s="2">
        <v>-316</v>
      </c>
      <c r="E5468" s="2">
        <v>11466</v>
      </c>
      <c r="F5468" s="2">
        <v>104</v>
      </c>
      <c r="G5468" s="2">
        <v>256</v>
      </c>
      <c r="H5468" s="2">
        <v>6398</v>
      </c>
      <c r="I5468" s="2">
        <v>-420</v>
      </c>
    </row>
    <row r="5469" spans="1:9" x14ac:dyDescent="0.3">
      <c r="A5469" t="s">
        <v>81</v>
      </c>
      <c r="B5469" s="1">
        <v>45717</v>
      </c>
      <c r="C5469" s="2">
        <v>18020</v>
      </c>
      <c r="D5469" s="2">
        <v>150</v>
      </c>
      <c r="E5469" s="2">
        <v>11202</v>
      </c>
      <c r="F5469" s="2">
        <v>556</v>
      </c>
      <c r="G5469" s="2">
        <v>-16</v>
      </c>
      <c r="H5469" s="2">
        <v>6818</v>
      </c>
      <c r="I5469" s="2">
        <v>-406</v>
      </c>
    </row>
    <row r="5470" spans="1:9" x14ac:dyDescent="0.3">
      <c r="A5470" t="s">
        <v>81</v>
      </c>
      <c r="B5470" s="1">
        <v>45689</v>
      </c>
      <c r="C5470" s="2">
        <v>17885</v>
      </c>
      <c r="D5470" s="2">
        <v>61</v>
      </c>
      <c r="E5470" s="2">
        <v>10661</v>
      </c>
      <c r="F5470" s="2">
        <v>-452</v>
      </c>
      <c r="G5470" s="2">
        <v>60</v>
      </c>
      <c r="H5470" s="2">
        <v>7224</v>
      </c>
      <c r="I5470" s="2">
        <v>513</v>
      </c>
    </row>
    <row r="5471" spans="1:9" x14ac:dyDescent="0.3">
      <c r="A5471" t="s">
        <v>81</v>
      </c>
      <c r="B5471" s="1">
        <v>45658</v>
      </c>
      <c r="C5471" s="2">
        <v>17819</v>
      </c>
      <c r="D5471" s="2">
        <v>1884</v>
      </c>
      <c r="E5471" s="2">
        <v>11108</v>
      </c>
      <c r="F5471" s="2">
        <v>159</v>
      </c>
      <c r="G5471" s="2">
        <v>31</v>
      </c>
      <c r="H5471" s="2">
        <v>6711</v>
      </c>
      <c r="I5471" s="2">
        <v>1725</v>
      </c>
    </row>
    <row r="5472" spans="1:9" x14ac:dyDescent="0.3">
      <c r="A5472" t="s">
        <v>81</v>
      </c>
      <c r="B5472" s="1">
        <v>45627</v>
      </c>
      <c r="C5472" s="2">
        <v>15952</v>
      </c>
      <c r="D5472" s="2">
        <v>-375</v>
      </c>
      <c r="E5472" s="2">
        <v>10966</v>
      </c>
      <c r="F5472" s="2">
        <v>270</v>
      </c>
      <c r="G5472" s="2">
        <v>-25</v>
      </c>
      <c r="H5472" s="2">
        <v>4986</v>
      </c>
      <c r="I5472" s="2">
        <v>-645</v>
      </c>
    </row>
    <row r="5473" spans="1:9" x14ac:dyDescent="0.3">
      <c r="A5473" t="s">
        <v>81</v>
      </c>
      <c r="B5473" s="1">
        <v>45597</v>
      </c>
      <c r="C5473" s="2">
        <v>16325</v>
      </c>
      <c r="D5473" s="2">
        <v>-1737</v>
      </c>
      <c r="E5473" s="2">
        <v>10694</v>
      </c>
      <c r="F5473" s="2">
        <v>1087</v>
      </c>
      <c r="G5473" s="2">
        <v>27</v>
      </c>
      <c r="H5473" s="2">
        <v>5631</v>
      </c>
      <c r="I5473" s="2">
        <v>-2824</v>
      </c>
    </row>
    <row r="5474" spans="1:9" x14ac:dyDescent="0.3">
      <c r="A5474" t="s">
        <v>81</v>
      </c>
      <c r="B5474" s="1">
        <v>45566</v>
      </c>
      <c r="C5474" s="2">
        <v>18112</v>
      </c>
      <c r="D5474" s="2">
        <v>1712</v>
      </c>
      <c r="E5474" s="2">
        <v>9657</v>
      </c>
      <c r="F5474" s="2">
        <v>353</v>
      </c>
      <c r="G5474" s="2">
        <v>-519</v>
      </c>
      <c r="H5474" s="2">
        <v>8455</v>
      </c>
      <c r="I5474" s="2">
        <v>1359</v>
      </c>
    </row>
    <row r="5475" spans="1:9" x14ac:dyDescent="0.3">
      <c r="A5475" t="s">
        <v>81</v>
      </c>
      <c r="B5475" s="1">
        <v>45536</v>
      </c>
      <c r="C5475" s="2">
        <v>16931</v>
      </c>
      <c r="D5475" s="2">
        <v>329</v>
      </c>
      <c r="E5475" s="2">
        <v>9835</v>
      </c>
      <c r="F5475" s="2">
        <v>-205</v>
      </c>
      <c r="G5475" s="2">
        <v>43</v>
      </c>
      <c r="H5475" s="2">
        <v>7096</v>
      </c>
      <c r="I5475" s="2">
        <v>534</v>
      </c>
    </row>
    <row r="5476" spans="1:9" x14ac:dyDescent="0.3">
      <c r="A5476" t="s">
        <v>81</v>
      </c>
      <c r="B5476" s="1">
        <v>45505</v>
      </c>
      <c r="C5476" s="2">
        <v>16660</v>
      </c>
      <c r="D5476" s="2">
        <v>-1022</v>
      </c>
      <c r="E5476" s="2">
        <v>10098</v>
      </c>
      <c r="F5476" s="2">
        <v>-11</v>
      </c>
      <c r="G5476" s="2">
        <v>167</v>
      </c>
      <c r="H5476" s="2">
        <v>6562</v>
      </c>
      <c r="I5476" s="2">
        <v>-1011</v>
      </c>
    </row>
    <row r="5477" spans="1:9" x14ac:dyDescent="0.3">
      <c r="A5477" t="s">
        <v>81</v>
      </c>
      <c r="B5477" s="1">
        <v>45474</v>
      </c>
      <c r="C5477" s="2">
        <v>17604</v>
      </c>
      <c r="D5477" s="2">
        <v>974</v>
      </c>
      <c r="E5477" s="2">
        <v>10031</v>
      </c>
      <c r="F5477" s="2">
        <v>-695</v>
      </c>
      <c r="G5477" s="2">
        <v>70</v>
      </c>
      <c r="H5477" s="2">
        <v>7573</v>
      </c>
      <c r="I5477" s="2">
        <v>1669</v>
      </c>
    </row>
    <row r="5478" spans="1:9" x14ac:dyDescent="0.3">
      <c r="A5478" t="s">
        <v>81</v>
      </c>
      <c r="B5478" s="1">
        <v>45444</v>
      </c>
      <c r="C5478" s="2">
        <v>16560</v>
      </c>
      <c r="D5478" s="2">
        <v>565</v>
      </c>
      <c r="E5478" s="2">
        <v>10656</v>
      </c>
      <c r="F5478" s="2">
        <v>573</v>
      </c>
      <c r="G5478" s="2">
        <v>90</v>
      </c>
      <c r="H5478" s="2">
        <v>5904</v>
      </c>
      <c r="I5478" s="2">
        <v>-8</v>
      </c>
    </row>
    <row r="5479" spans="1:9" x14ac:dyDescent="0.3">
      <c r="A5479" t="s">
        <v>81</v>
      </c>
      <c r="B5479" s="1">
        <v>45413</v>
      </c>
      <c r="C5479" s="2">
        <v>16010</v>
      </c>
      <c r="D5479" s="2">
        <v>612</v>
      </c>
      <c r="E5479" s="2">
        <v>10098</v>
      </c>
      <c r="F5479" s="2">
        <v>-604</v>
      </c>
      <c r="G5479" s="2">
        <v>-81</v>
      </c>
      <c r="H5479" s="2">
        <v>5912</v>
      </c>
      <c r="I5479" s="2">
        <v>1216</v>
      </c>
    </row>
    <row r="5480" spans="1:9" x14ac:dyDescent="0.3">
      <c r="A5480" t="s">
        <v>81</v>
      </c>
      <c r="B5480" s="1">
        <v>45383</v>
      </c>
      <c r="C5480" s="2">
        <v>15453</v>
      </c>
      <c r="D5480" s="2">
        <v>-428</v>
      </c>
      <c r="E5480" s="2">
        <v>10757</v>
      </c>
      <c r="F5480" s="2">
        <v>-995</v>
      </c>
      <c r="G5480" s="2">
        <v>-59</v>
      </c>
      <c r="H5480" s="2">
        <v>4696</v>
      </c>
      <c r="I5480" s="2">
        <v>567</v>
      </c>
    </row>
    <row r="5481" spans="1:9" x14ac:dyDescent="0.3">
      <c r="A5481" t="s">
        <v>81</v>
      </c>
      <c r="B5481" s="1">
        <v>45352</v>
      </c>
      <c r="C5481" s="2">
        <v>16522</v>
      </c>
      <c r="D5481" s="2">
        <v>-1964</v>
      </c>
      <c r="E5481" s="2">
        <v>12393</v>
      </c>
      <c r="F5481" s="2">
        <v>-434</v>
      </c>
      <c r="G5481" s="2">
        <v>92</v>
      </c>
      <c r="H5481" s="2">
        <v>4129</v>
      </c>
      <c r="I5481" s="2">
        <v>-1530</v>
      </c>
    </row>
    <row r="5482" spans="1:9" x14ac:dyDescent="0.3">
      <c r="A5482" t="s">
        <v>81</v>
      </c>
      <c r="B5482" s="1">
        <v>45323</v>
      </c>
      <c r="C5482" s="2">
        <v>18541</v>
      </c>
      <c r="D5482" s="2">
        <v>2347</v>
      </c>
      <c r="E5482" s="2">
        <v>12882</v>
      </c>
      <c r="F5482" s="2">
        <v>897</v>
      </c>
      <c r="G5482" s="2">
        <v>-79</v>
      </c>
      <c r="H5482" s="2">
        <v>5659</v>
      </c>
      <c r="I5482" s="2">
        <v>1450</v>
      </c>
    </row>
    <row r="5483" spans="1:9" x14ac:dyDescent="0.3">
      <c r="A5483" t="s">
        <v>81</v>
      </c>
      <c r="B5483" s="1">
        <v>45292</v>
      </c>
      <c r="C5483" s="2">
        <v>15991</v>
      </c>
      <c r="D5483" s="2">
        <v>-609</v>
      </c>
      <c r="E5483" s="2">
        <v>11782</v>
      </c>
      <c r="F5483" s="2">
        <v>-912</v>
      </c>
      <c r="G5483" s="2">
        <v>-423</v>
      </c>
      <c r="H5483" s="2">
        <v>4209</v>
      </c>
      <c r="I5483" s="2">
        <v>303</v>
      </c>
    </row>
    <row r="5484" spans="1:9" x14ac:dyDescent="0.3">
      <c r="A5484" t="s">
        <v>81</v>
      </c>
      <c r="B5484" s="1">
        <v>45261</v>
      </c>
      <c r="C5484" s="2">
        <v>16020</v>
      </c>
      <c r="D5484" s="2">
        <v>-177</v>
      </c>
      <c r="E5484" s="2">
        <v>12114</v>
      </c>
      <c r="F5484" s="2">
        <v>-40</v>
      </c>
      <c r="G5484" s="2">
        <v>23</v>
      </c>
      <c r="H5484" s="2">
        <v>3906</v>
      </c>
      <c r="I5484" s="2">
        <v>-137</v>
      </c>
    </row>
    <row r="5485" spans="1:9" x14ac:dyDescent="0.3">
      <c r="A5485" t="s">
        <v>81</v>
      </c>
      <c r="B5485" s="1">
        <v>45231</v>
      </c>
      <c r="C5485" s="2">
        <v>15971</v>
      </c>
      <c r="D5485" s="2">
        <v>-252</v>
      </c>
      <c r="E5485" s="2">
        <v>11928</v>
      </c>
      <c r="F5485" s="2">
        <v>128</v>
      </c>
      <c r="G5485" s="2">
        <v>17</v>
      </c>
      <c r="H5485" s="2">
        <v>4043</v>
      </c>
      <c r="I5485" s="2">
        <v>-380</v>
      </c>
    </row>
    <row r="5486" spans="1:9" x14ac:dyDescent="0.3">
      <c r="A5486" t="s">
        <v>81</v>
      </c>
      <c r="B5486" s="1">
        <v>45200</v>
      </c>
      <c r="C5486" s="2">
        <v>16483</v>
      </c>
      <c r="D5486" s="2">
        <v>473</v>
      </c>
      <c r="E5486" s="2">
        <v>12060</v>
      </c>
      <c r="F5486" s="2">
        <v>-65</v>
      </c>
      <c r="G5486" s="2">
        <v>115</v>
      </c>
      <c r="H5486" s="2">
        <v>4423</v>
      </c>
      <c r="I5486" s="2">
        <v>538</v>
      </c>
    </row>
    <row r="5487" spans="1:9" x14ac:dyDescent="0.3">
      <c r="A5487" t="s">
        <v>81</v>
      </c>
      <c r="B5487" s="1">
        <v>45170</v>
      </c>
      <c r="C5487" s="2">
        <v>16908</v>
      </c>
      <c r="D5487" s="2">
        <v>954</v>
      </c>
      <c r="E5487" s="2">
        <v>13023</v>
      </c>
      <c r="F5487" s="2">
        <v>604</v>
      </c>
      <c r="G5487" s="2">
        <v>45</v>
      </c>
      <c r="H5487" s="2">
        <v>3885</v>
      </c>
      <c r="I5487" s="2">
        <v>350</v>
      </c>
    </row>
    <row r="5488" spans="1:9" x14ac:dyDescent="0.3">
      <c r="A5488" t="s">
        <v>81</v>
      </c>
      <c r="B5488" s="1">
        <v>45139</v>
      </c>
      <c r="C5488" s="2">
        <v>16321</v>
      </c>
      <c r="D5488" s="2">
        <v>965</v>
      </c>
      <c r="E5488" s="2">
        <v>12786</v>
      </c>
      <c r="F5488" s="2">
        <v>722</v>
      </c>
      <c r="G5488" s="2">
        <v>-787</v>
      </c>
      <c r="H5488" s="2">
        <v>3535</v>
      </c>
      <c r="I5488" s="2">
        <v>243</v>
      </c>
    </row>
    <row r="5489" spans="1:9" x14ac:dyDescent="0.3">
      <c r="A5489" t="s">
        <v>81</v>
      </c>
      <c r="B5489" s="1">
        <v>45108</v>
      </c>
      <c r="C5489" s="2">
        <v>16823</v>
      </c>
      <c r="D5489" s="2">
        <v>301</v>
      </c>
      <c r="E5489" s="2">
        <v>13531</v>
      </c>
      <c r="F5489" s="2">
        <v>-206</v>
      </c>
      <c r="G5489" s="2">
        <v>170</v>
      </c>
      <c r="H5489" s="2">
        <v>3292</v>
      </c>
      <c r="I5489" s="2">
        <v>507</v>
      </c>
    </row>
    <row r="5490" spans="1:9" x14ac:dyDescent="0.3">
      <c r="A5490" t="s">
        <v>81</v>
      </c>
      <c r="B5490" s="1">
        <v>45078</v>
      </c>
      <c r="C5490" s="2">
        <v>17065</v>
      </c>
      <c r="D5490" s="2">
        <v>-8</v>
      </c>
      <c r="E5490" s="2">
        <v>14280</v>
      </c>
      <c r="F5490" s="2">
        <v>726</v>
      </c>
      <c r="G5490" s="2">
        <v>1465</v>
      </c>
      <c r="H5490" s="2">
        <v>2785</v>
      </c>
      <c r="I5490" s="2">
        <v>-734</v>
      </c>
    </row>
    <row r="5491" spans="1:9" x14ac:dyDescent="0.3">
      <c r="A5491" t="s">
        <v>81</v>
      </c>
      <c r="B5491" s="1">
        <v>45047</v>
      </c>
      <c r="C5491" s="2">
        <v>15365</v>
      </c>
      <c r="D5491" s="2">
        <v>1118</v>
      </c>
      <c r="E5491" s="2">
        <v>11846</v>
      </c>
      <c r="F5491" s="2">
        <v>522</v>
      </c>
      <c r="G5491" s="2">
        <v>267</v>
      </c>
      <c r="H5491" s="2">
        <v>3519</v>
      </c>
      <c r="I5491" s="2">
        <v>596</v>
      </c>
    </row>
    <row r="5492" spans="1:9" x14ac:dyDescent="0.3">
      <c r="A5492" t="s">
        <v>81</v>
      </c>
      <c r="B5492" s="1">
        <v>45017</v>
      </c>
      <c r="C5492" s="2">
        <v>14306</v>
      </c>
      <c r="D5492" s="2">
        <v>-420</v>
      </c>
      <c r="E5492" s="2">
        <v>11383</v>
      </c>
      <c r="F5492" s="2">
        <v>13</v>
      </c>
      <c r="G5492" s="2">
        <v>196</v>
      </c>
      <c r="H5492" s="2">
        <v>2923</v>
      </c>
      <c r="I5492" s="2">
        <v>-433</v>
      </c>
    </row>
    <row r="5493" spans="1:9" x14ac:dyDescent="0.3">
      <c r="A5493" t="s">
        <v>81</v>
      </c>
      <c r="B5493" s="1">
        <v>44986</v>
      </c>
      <c r="C5493" s="2">
        <v>15309</v>
      </c>
      <c r="D5493" s="2">
        <v>694</v>
      </c>
      <c r="E5493" s="2">
        <v>11953</v>
      </c>
      <c r="F5493" s="2">
        <v>281</v>
      </c>
      <c r="G5493" s="2">
        <v>117</v>
      </c>
      <c r="H5493" s="2">
        <v>3356</v>
      </c>
      <c r="I5493" s="2">
        <v>413</v>
      </c>
    </row>
    <row r="5494" spans="1:9" x14ac:dyDescent="0.3">
      <c r="A5494" t="s">
        <v>81</v>
      </c>
      <c r="B5494" s="1">
        <v>44958</v>
      </c>
      <c r="C5494" s="2">
        <v>14067</v>
      </c>
      <c r="D5494" s="2">
        <v>-944</v>
      </c>
      <c r="E5494" s="2">
        <v>11124</v>
      </c>
      <c r="F5494" s="2">
        <v>-345</v>
      </c>
      <c r="G5494" s="2">
        <v>345</v>
      </c>
      <c r="H5494" s="2">
        <v>2943</v>
      </c>
      <c r="I5494" s="2">
        <v>-599</v>
      </c>
    </row>
    <row r="5495" spans="1:9" hidden="1" x14ac:dyDescent="0.3">
      <c r="A5495" t="s">
        <v>81</v>
      </c>
      <c r="B5495" s="1">
        <v>44927</v>
      </c>
      <c r="C5495" s="2">
        <v>15127</v>
      </c>
      <c r="D5495" s="2" t="s">
        <v>3</v>
      </c>
      <c r="E5495" s="2">
        <v>11585</v>
      </c>
      <c r="F5495" s="2" t="s">
        <v>3</v>
      </c>
      <c r="G5495" s="2" t="s">
        <v>3</v>
      </c>
      <c r="H5495" s="2">
        <v>3542</v>
      </c>
      <c r="I5495" s="2">
        <v>920</v>
      </c>
    </row>
    <row r="5496" spans="1:9" hidden="1" x14ac:dyDescent="0.3">
      <c r="A5496" t="s">
        <v>81</v>
      </c>
      <c r="B5496" s="1">
        <v>44896</v>
      </c>
      <c r="C5496" s="2">
        <v>14964</v>
      </c>
      <c r="D5496" s="2" t="s">
        <v>3</v>
      </c>
      <c r="E5496" s="2">
        <v>12342</v>
      </c>
      <c r="F5496" s="2" t="s">
        <v>3</v>
      </c>
      <c r="G5496" s="2" t="s">
        <v>3</v>
      </c>
      <c r="H5496" s="2">
        <v>2622</v>
      </c>
      <c r="I5496" s="2">
        <v>-374</v>
      </c>
    </row>
    <row r="5497" spans="1:9" hidden="1" x14ac:dyDescent="0.3">
      <c r="A5497" t="s">
        <v>81</v>
      </c>
      <c r="B5497" s="1">
        <v>44866</v>
      </c>
      <c r="C5497" s="2">
        <v>15255</v>
      </c>
      <c r="D5497" s="2" t="s">
        <v>3</v>
      </c>
      <c r="E5497" s="2">
        <v>12259</v>
      </c>
      <c r="F5497" s="2" t="s">
        <v>3</v>
      </c>
      <c r="G5497" s="2" t="s">
        <v>3</v>
      </c>
      <c r="H5497" s="2">
        <v>2996</v>
      </c>
      <c r="I5497" s="2">
        <v>340</v>
      </c>
    </row>
    <row r="5498" spans="1:9" hidden="1" x14ac:dyDescent="0.3">
      <c r="A5498" t="s">
        <v>81</v>
      </c>
      <c r="B5498" s="1">
        <v>44835</v>
      </c>
      <c r="C5498" s="2">
        <v>16235</v>
      </c>
      <c r="D5498" s="2" t="s">
        <v>3</v>
      </c>
      <c r="E5498" s="2">
        <v>13579</v>
      </c>
      <c r="F5498" s="2" t="s">
        <v>3</v>
      </c>
      <c r="G5498" s="2" t="s">
        <v>3</v>
      </c>
      <c r="H5498" s="2">
        <v>2656</v>
      </c>
      <c r="I5498" s="2">
        <v>144</v>
      </c>
    </row>
    <row r="5499" spans="1:9" hidden="1" x14ac:dyDescent="0.3">
      <c r="A5499" t="s">
        <v>81</v>
      </c>
      <c r="B5499" s="1">
        <v>44805</v>
      </c>
      <c r="C5499" s="2">
        <v>17815</v>
      </c>
      <c r="D5499" s="2" t="s">
        <v>3</v>
      </c>
      <c r="E5499" s="2">
        <v>15303</v>
      </c>
      <c r="F5499" s="2" t="s">
        <v>3</v>
      </c>
      <c r="G5499" s="2" t="s">
        <v>3</v>
      </c>
      <c r="H5499" s="2">
        <v>2512</v>
      </c>
      <c r="I5499" s="2">
        <v>1053</v>
      </c>
    </row>
    <row r="5500" spans="1:9" hidden="1" x14ac:dyDescent="0.3">
      <c r="A5500" t="s">
        <v>81</v>
      </c>
      <c r="B5500" s="1">
        <v>44774</v>
      </c>
      <c r="C5500" s="2">
        <v>16204</v>
      </c>
      <c r="D5500" s="2" t="s">
        <v>3</v>
      </c>
      <c r="E5500" s="2">
        <v>14745</v>
      </c>
      <c r="F5500" s="2" t="s">
        <v>3</v>
      </c>
      <c r="G5500" s="2" t="s">
        <v>3</v>
      </c>
      <c r="H5500" s="2">
        <v>1459</v>
      </c>
      <c r="I5500" s="2">
        <v>-551</v>
      </c>
    </row>
    <row r="5501" spans="1:9" hidden="1" x14ac:dyDescent="0.3">
      <c r="A5501" t="s">
        <v>81</v>
      </c>
      <c r="B5501" s="1">
        <v>44743</v>
      </c>
      <c r="C5501" s="2">
        <v>16089</v>
      </c>
      <c r="D5501" s="2" t="s">
        <v>3</v>
      </c>
      <c r="E5501" s="2">
        <v>14079</v>
      </c>
      <c r="F5501" s="2" t="s">
        <v>3</v>
      </c>
      <c r="G5501" s="2" t="s">
        <v>3</v>
      </c>
      <c r="H5501" s="2">
        <v>2010</v>
      </c>
      <c r="I5501" s="2">
        <v>-93</v>
      </c>
    </row>
    <row r="5502" spans="1:9" hidden="1" x14ac:dyDescent="0.3">
      <c r="A5502" t="s">
        <v>81</v>
      </c>
      <c r="B5502" s="1">
        <v>44713</v>
      </c>
      <c r="C5502" s="2">
        <v>15602</v>
      </c>
      <c r="D5502" s="2" t="s">
        <v>3</v>
      </c>
      <c r="E5502" s="2">
        <v>13499</v>
      </c>
      <c r="F5502" s="2" t="s">
        <v>3</v>
      </c>
      <c r="G5502" s="2" t="s">
        <v>3</v>
      </c>
      <c r="H5502" s="2">
        <v>2103</v>
      </c>
      <c r="I5502" s="2">
        <v>-211</v>
      </c>
    </row>
    <row r="5503" spans="1:9" hidden="1" x14ac:dyDescent="0.3">
      <c r="A5503" t="s">
        <v>81</v>
      </c>
      <c r="B5503" s="1">
        <v>44682</v>
      </c>
      <c r="C5503" s="2">
        <v>14789</v>
      </c>
      <c r="D5503" s="2" t="s">
        <v>3</v>
      </c>
      <c r="E5503" s="2">
        <v>12475</v>
      </c>
      <c r="F5503" s="2" t="s">
        <v>3</v>
      </c>
      <c r="G5503" s="2" t="s">
        <v>3</v>
      </c>
      <c r="H5503" s="2">
        <v>2314</v>
      </c>
      <c r="I5503" s="2">
        <v>-856</v>
      </c>
    </row>
    <row r="5504" spans="1:9" hidden="1" x14ac:dyDescent="0.3">
      <c r="A5504" t="s">
        <v>81</v>
      </c>
      <c r="B5504" s="1">
        <v>44652</v>
      </c>
      <c r="C5504" s="2">
        <v>16401</v>
      </c>
      <c r="D5504" s="2" t="s">
        <v>3</v>
      </c>
      <c r="E5504" s="2">
        <v>13231</v>
      </c>
      <c r="F5504" s="2" t="s">
        <v>3</v>
      </c>
      <c r="G5504" s="2" t="s">
        <v>3</v>
      </c>
      <c r="H5504" s="2">
        <v>3170</v>
      </c>
      <c r="I5504" s="2">
        <v>-746</v>
      </c>
    </row>
    <row r="5505" spans="1:9" hidden="1" x14ac:dyDescent="0.3">
      <c r="A5505" t="s">
        <v>81</v>
      </c>
      <c r="B5505" s="1">
        <v>44621</v>
      </c>
      <c r="C5505" s="2">
        <v>16909</v>
      </c>
      <c r="D5505" s="2" t="s">
        <v>3</v>
      </c>
      <c r="E5505" s="2">
        <v>12993</v>
      </c>
      <c r="F5505" s="2" t="s">
        <v>3</v>
      </c>
      <c r="G5505" s="2" t="s">
        <v>3</v>
      </c>
      <c r="H5505" s="2">
        <v>3916</v>
      </c>
      <c r="I5505" s="2">
        <v>-550</v>
      </c>
    </row>
    <row r="5506" spans="1:9" hidden="1" x14ac:dyDescent="0.3">
      <c r="A5506" t="s">
        <v>81</v>
      </c>
      <c r="B5506" s="1">
        <v>44593</v>
      </c>
      <c r="C5506" s="2">
        <v>15987</v>
      </c>
      <c r="D5506" s="2" t="s">
        <v>3</v>
      </c>
      <c r="E5506" s="2">
        <v>11521</v>
      </c>
      <c r="F5506" s="2" t="s">
        <v>3</v>
      </c>
      <c r="G5506" s="2" t="s">
        <v>3</v>
      </c>
      <c r="H5506" s="2">
        <v>4466</v>
      </c>
      <c r="I5506" s="2">
        <v>350</v>
      </c>
    </row>
    <row r="5507" spans="1:9" hidden="1" x14ac:dyDescent="0.3">
      <c r="A5507" t="s">
        <v>81</v>
      </c>
      <c r="B5507" s="1">
        <v>44562</v>
      </c>
      <c r="C5507" s="2">
        <v>9182</v>
      </c>
      <c r="D5507" s="2" t="s">
        <v>3</v>
      </c>
      <c r="E5507" s="2">
        <v>5066</v>
      </c>
      <c r="F5507" s="2" t="s">
        <v>3</v>
      </c>
      <c r="G5507" s="2" t="s">
        <v>3</v>
      </c>
      <c r="H5507" s="2">
        <v>4116</v>
      </c>
      <c r="I5507" s="2">
        <v>-1926</v>
      </c>
    </row>
    <row r="5508" spans="1:9" hidden="1" x14ac:dyDescent="0.3">
      <c r="A5508" t="s">
        <v>81</v>
      </c>
      <c r="B5508" s="1">
        <v>44531</v>
      </c>
      <c r="C5508" s="2">
        <v>16324</v>
      </c>
      <c r="D5508" s="2" t="s">
        <v>3</v>
      </c>
      <c r="E5508" s="2">
        <v>10282</v>
      </c>
      <c r="F5508" s="2" t="s">
        <v>3</v>
      </c>
      <c r="G5508" s="2" t="s">
        <v>3</v>
      </c>
      <c r="H5508" s="2">
        <v>6042</v>
      </c>
      <c r="I5508" s="2">
        <v>2002</v>
      </c>
    </row>
    <row r="5509" spans="1:9" hidden="1" x14ac:dyDescent="0.3">
      <c r="A5509" t="s">
        <v>81</v>
      </c>
      <c r="B5509" s="1">
        <v>44501</v>
      </c>
      <c r="C5509" s="2">
        <v>16943</v>
      </c>
      <c r="D5509" s="2" t="s">
        <v>3</v>
      </c>
      <c r="E5509" s="2">
        <v>12903</v>
      </c>
      <c r="F5509" s="2" t="s">
        <v>3</v>
      </c>
      <c r="G5509" s="2" t="s">
        <v>3</v>
      </c>
      <c r="H5509" s="2">
        <v>4040</v>
      </c>
      <c r="I5509" s="2">
        <v>-327</v>
      </c>
    </row>
    <row r="5510" spans="1:9" hidden="1" x14ac:dyDescent="0.3">
      <c r="A5510" t="s">
        <v>81</v>
      </c>
      <c r="B5510" s="1">
        <v>44470</v>
      </c>
      <c r="C5510" s="2">
        <v>16895</v>
      </c>
      <c r="D5510" s="2" t="s">
        <v>3</v>
      </c>
      <c r="E5510" s="2">
        <v>12528</v>
      </c>
      <c r="F5510" s="2" t="s">
        <v>3</v>
      </c>
      <c r="G5510" s="2" t="s">
        <v>3</v>
      </c>
      <c r="H5510" s="2">
        <v>4367</v>
      </c>
      <c r="I5510" s="2">
        <v>-2159</v>
      </c>
    </row>
    <row r="5511" spans="1:9" hidden="1" x14ac:dyDescent="0.3">
      <c r="A5511" t="s">
        <v>81</v>
      </c>
      <c r="B5511" s="1">
        <v>44440</v>
      </c>
      <c r="C5511" s="2">
        <v>18282</v>
      </c>
      <c r="D5511" s="2" t="s">
        <v>3</v>
      </c>
      <c r="E5511" s="2">
        <v>11756</v>
      </c>
      <c r="F5511" s="2" t="s">
        <v>3</v>
      </c>
      <c r="G5511" s="2" t="s">
        <v>3</v>
      </c>
      <c r="H5511" s="2">
        <v>6526</v>
      </c>
      <c r="I5511" s="2">
        <v>-1044</v>
      </c>
    </row>
    <row r="5512" spans="1:9" hidden="1" x14ac:dyDescent="0.3">
      <c r="A5512" t="s">
        <v>81</v>
      </c>
      <c r="B5512" s="1">
        <v>44409</v>
      </c>
      <c r="C5512" s="2">
        <v>18980</v>
      </c>
      <c r="D5512" s="2" t="s">
        <v>3</v>
      </c>
      <c r="E5512" s="2">
        <v>11410</v>
      </c>
      <c r="F5512" s="2" t="s">
        <v>3</v>
      </c>
      <c r="G5512" s="2" t="s">
        <v>3</v>
      </c>
      <c r="H5512" s="2">
        <v>7570</v>
      </c>
      <c r="I5512" s="2">
        <v>-116</v>
      </c>
    </row>
    <row r="5513" spans="1:9" hidden="1" x14ac:dyDescent="0.3">
      <c r="A5513" t="s">
        <v>81</v>
      </c>
      <c r="B5513" s="1">
        <v>44378</v>
      </c>
      <c r="C5513" s="2">
        <v>18422</v>
      </c>
      <c r="D5513" s="2" t="s">
        <v>3</v>
      </c>
      <c r="E5513" s="2">
        <v>10736</v>
      </c>
      <c r="F5513" s="2" t="s">
        <v>3</v>
      </c>
      <c r="G5513" s="2" t="s">
        <v>3</v>
      </c>
      <c r="H5513" s="2">
        <v>7686</v>
      </c>
      <c r="I5513" s="2">
        <v>-212</v>
      </c>
    </row>
    <row r="5514" spans="1:9" hidden="1" x14ac:dyDescent="0.3">
      <c r="A5514" t="s">
        <v>81</v>
      </c>
      <c r="B5514" s="1">
        <v>44348</v>
      </c>
      <c r="C5514" s="2">
        <v>16106</v>
      </c>
      <c r="D5514" s="2" t="s">
        <v>3</v>
      </c>
      <c r="E5514" s="2">
        <v>8208</v>
      </c>
      <c r="F5514" s="2" t="s">
        <v>3</v>
      </c>
      <c r="G5514" s="2" t="s">
        <v>3</v>
      </c>
      <c r="H5514" s="2">
        <v>7898</v>
      </c>
      <c r="I5514" s="2">
        <v>-889</v>
      </c>
    </row>
    <row r="5515" spans="1:9" hidden="1" x14ac:dyDescent="0.3">
      <c r="A5515" t="s">
        <v>81</v>
      </c>
      <c r="B5515" s="1">
        <v>44317</v>
      </c>
      <c r="C5515" s="2">
        <v>17222</v>
      </c>
      <c r="D5515" s="2" t="s">
        <v>3</v>
      </c>
      <c r="E5515" s="2">
        <v>8435</v>
      </c>
      <c r="F5515" s="2" t="s">
        <v>3</v>
      </c>
      <c r="G5515" s="2" t="s">
        <v>3</v>
      </c>
      <c r="H5515" s="2">
        <v>8787</v>
      </c>
      <c r="I5515" s="2">
        <v>62</v>
      </c>
    </row>
    <row r="5516" spans="1:9" hidden="1" x14ac:dyDescent="0.3">
      <c r="A5516" t="s">
        <v>81</v>
      </c>
      <c r="B5516" s="1">
        <v>44287</v>
      </c>
      <c r="C5516" s="2">
        <v>18002</v>
      </c>
      <c r="D5516" s="2" t="s">
        <v>3</v>
      </c>
      <c r="E5516" s="2">
        <v>9277</v>
      </c>
      <c r="F5516" s="2" t="s">
        <v>3</v>
      </c>
      <c r="G5516" s="2" t="s">
        <v>3</v>
      </c>
      <c r="H5516" s="2">
        <v>8725</v>
      </c>
      <c r="I5516" s="2">
        <v>-1867</v>
      </c>
    </row>
    <row r="5517" spans="1:9" hidden="1" x14ac:dyDescent="0.3">
      <c r="A5517" t="s">
        <v>81</v>
      </c>
      <c r="B5517" s="1">
        <v>44256</v>
      </c>
      <c r="C5517" s="2">
        <v>18800</v>
      </c>
      <c r="D5517" s="2" t="s">
        <v>3</v>
      </c>
      <c r="E5517" s="2">
        <v>8208</v>
      </c>
      <c r="F5517" s="2" t="s">
        <v>3</v>
      </c>
      <c r="G5517" s="2" t="s">
        <v>3</v>
      </c>
      <c r="H5517" s="2">
        <v>10592</v>
      </c>
      <c r="I5517" s="2">
        <v>789</v>
      </c>
    </row>
    <row r="5518" spans="1:9" hidden="1" x14ac:dyDescent="0.3">
      <c r="A5518" t="s">
        <v>81</v>
      </c>
      <c r="B5518" s="1">
        <v>44228</v>
      </c>
      <c r="C5518" s="2">
        <v>17039</v>
      </c>
      <c r="D5518" s="2" t="s">
        <v>3</v>
      </c>
      <c r="E5518" s="2">
        <v>7236</v>
      </c>
      <c r="F5518" s="2" t="s">
        <v>3</v>
      </c>
      <c r="G5518" s="2" t="s">
        <v>3</v>
      </c>
      <c r="H5518" s="2">
        <v>9803</v>
      </c>
      <c r="I5518" s="2">
        <v>-1109</v>
      </c>
    </row>
    <row r="5519" spans="1:9" hidden="1" x14ac:dyDescent="0.3">
      <c r="A5519" t="s">
        <v>81</v>
      </c>
      <c r="B5519" s="1">
        <v>44197</v>
      </c>
      <c r="C5519" s="2">
        <v>18148</v>
      </c>
      <c r="D5519" s="2" t="s">
        <v>3</v>
      </c>
      <c r="E5519" s="2">
        <v>7236</v>
      </c>
      <c r="F5519" s="2" t="s">
        <v>3</v>
      </c>
      <c r="G5519" s="2" t="s">
        <v>3</v>
      </c>
      <c r="H5519" s="2">
        <v>10912</v>
      </c>
      <c r="I5519" s="2">
        <v>2180</v>
      </c>
    </row>
    <row r="5520" spans="1:9" hidden="1" x14ac:dyDescent="0.3">
      <c r="A5520" t="s">
        <v>81</v>
      </c>
      <c r="B5520" s="1">
        <v>44166</v>
      </c>
      <c r="C5520" s="2">
        <v>18918</v>
      </c>
      <c r="D5520" s="2" t="s">
        <v>3</v>
      </c>
      <c r="E5520" s="2">
        <v>10186</v>
      </c>
      <c r="F5520" s="2" t="s">
        <v>3</v>
      </c>
      <c r="G5520" s="2" t="s">
        <v>3</v>
      </c>
      <c r="H5520" s="2">
        <v>8732</v>
      </c>
      <c r="I5520" s="2">
        <v>1587</v>
      </c>
    </row>
    <row r="5521" spans="1:9" hidden="1" x14ac:dyDescent="0.3">
      <c r="A5521" t="s">
        <v>81</v>
      </c>
      <c r="B5521" s="1">
        <v>44136</v>
      </c>
      <c r="C5521" s="2">
        <v>15472</v>
      </c>
      <c r="D5521" s="2" t="s">
        <v>3</v>
      </c>
      <c r="E5521" s="2">
        <v>8327</v>
      </c>
      <c r="F5521" s="2" t="s">
        <v>3</v>
      </c>
      <c r="G5521" s="2" t="s">
        <v>3</v>
      </c>
      <c r="H5521" s="2">
        <v>7145</v>
      </c>
      <c r="I5521" s="2">
        <v>1098</v>
      </c>
    </row>
    <row r="5522" spans="1:9" hidden="1" x14ac:dyDescent="0.3">
      <c r="A5522" t="s">
        <v>81</v>
      </c>
      <c r="B5522" s="1">
        <v>44105</v>
      </c>
      <c r="C5522" s="2">
        <v>14665</v>
      </c>
      <c r="D5522" s="2" t="s">
        <v>3</v>
      </c>
      <c r="E5522" s="2">
        <v>8618</v>
      </c>
      <c r="F5522" s="2" t="s">
        <v>3</v>
      </c>
      <c r="G5522" s="2" t="s">
        <v>3</v>
      </c>
      <c r="H5522" s="2">
        <v>6047</v>
      </c>
      <c r="I5522" s="2">
        <v>322</v>
      </c>
    </row>
    <row r="5523" spans="1:9" hidden="1" x14ac:dyDescent="0.3">
      <c r="A5523" t="s">
        <v>81</v>
      </c>
      <c r="B5523" s="1">
        <v>44075</v>
      </c>
      <c r="C5523" s="2">
        <v>14500</v>
      </c>
      <c r="D5523" s="2" t="s">
        <v>3</v>
      </c>
      <c r="E5523" s="2">
        <v>8775</v>
      </c>
      <c r="F5523" s="2" t="s">
        <v>3</v>
      </c>
      <c r="G5523" s="2" t="s">
        <v>3</v>
      </c>
      <c r="H5523" s="2">
        <v>5725</v>
      </c>
      <c r="I5523" s="2">
        <v>1330</v>
      </c>
    </row>
    <row r="5524" spans="1:9" hidden="1" x14ac:dyDescent="0.3">
      <c r="A5524" t="s">
        <v>81</v>
      </c>
      <c r="B5524" s="1">
        <v>44044</v>
      </c>
      <c r="C5524" s="2">
        <v>12843</v>
      </c>
      <c r="D5524" s="2" t="s">
        <v>3</v>
      </c>
      <c r="E5524" s="2">
        <v>8448</v>
      </c>
      <c r="F5524" s="2" t="s">
        <v>3</v>
      </c>
      <c r="G5524" s="2" t="s">
        <v>3</v>
      </c>
      <c r="H5524" s="2">
        <v>4395</v>
      </c>
      <c r="I5524" s="2">
        <v>344</v>
      </c>
    </row>
    <row r="5525" spans="1:9" hidden="1" x14ac:dyDescent="0.3">
      <c r="A5525" t="s">
        <v>81</v>
      </c>
      <c r="B5525" s="1">
        <v>44013</v>
      </c>
      <c r="C5525" s="2">
        <v>12877</v>
      </c>
      <c r="D5525" s="2" t="s">
        <v>3</v>
      </c>
      <c r="E5525" s="2">
        <v>8826</v>
      </c>
      <c r="F5525" s="2" t="s">
        <v>3</v>
      </c>
      <c r="G5525" s="2" t="s">
        <v>3</v>
      </c>
      <c r="H5525" s="2">
        <v>4051</v>
      </c>
      <c r="I5525" s="2">
        <v>433</v>
      </c>
    </row>
    <row r="5526" spans="1:9" hidden="1" x14ac:dyDescent="0.3">
      <c r="A5526" t="s">
        <v>81</v>
      </c>
      <c r="B5526" s="1">
        <v>43983</v>
      </c>
      <c r="C5526" s="2">
        <v>12390</v>
      </c>
      <c r="D5526" s="2" t="s">
        <v>3</v>
      </c>
      <c r="E5526" s="2">
        <v>8772</v>
      </c>
      <c r="F5526" s="2" t="s">
        <v>3</v>
      </c>
      <c r="G5526" s="2" t="s">
        <v>3</v>
      </c>
      <c r="H5526" s="2">
        <v>3618</v>
      </c>
      <c r="I5526" s="2">
        <v>1192</v>
      </c>
    </row>
    <row r="5527" spans="1:9" hidden="1" x14ac:dyDescent="0.3">
      <c r="A5527" t="s">
        <v>81</v>
      </c>
      <c r="B5527" s="1">
        <v>43952</v>
      </c>
      <c r="C5527" s="2">
        <v>11300</v>
      </c>
      <c r="D5527" s="2" t="s">
        <v>3</v>
      </c>
      <c r="E5527" s="2">
        <v>8874</v>
      </c>
      <c r="F5527" s="2" t="s">
        <v>3</v>
      </c>
      <c r="G5527" s="2" t="s">
        <v>3</v>
      </c>
      <c r="H5527" s="2">
        <v>2426</v>
      </c>
      <c r="I5527" s="2">
        <v>563</v>
      </c>
    </row>
    <row r="5528" spans="1:9" hidden="1" x14ac:dyDescent="0.3">
      <c r="A5528" t="s">
        <v>81</v>
      </c>
      <c r="B5528" s="1">
        <v>43922</v>
      </c>
      <c r="C5528" s="2">
        <v>11005</v>
      </c>
      <c r="D5528" s="2" t="s">
        <v>3</v>
      </c>
      <c r="E5528" s="2">
        <v>9142</v>
      </c>
      <c r="F5528" s="2" t="s">
        <v>3</v>
      </c>
      <c r="G5528" s="2" t="s">
        <v>3</v>
      </c>
      <c r="H5528" s="2">
        <v>1863</v>
      </c>
      <c r="I5528" s="2">
        <v>-1320</v>
      </c>
    </row>
    <row r="5529" spans="1:9" hidden="1" x14ac:dyDescent="0.3">
      <c r="A5529" t="s">
        <v>81</v>
      </c>
      <c r="B5529" s="1">
        <v>43891</v>
      </c>
      <c r="C5529" s="2">
        <v>16495</v>
      </c>
      <c r="D5529" s="2" t="s">
        <v>3</v>
      </c>
      <c r="E5529" s="2">
        <v>13312</v>
      </c>
      <c r="F5529" s="2" t="s">
        <v>3</v>
      </c>
      <c r="G5529" s="2" t="s">
        <v>3</v>
      </c>
      <c r="H5529" s="2">
        <v>3183</v>
      </c>
      <c r="I5529" s="2">
        <v>671</v>
      </c>
    </row>
    <row r="5530" spans="1:9" hidden="1" x14ac:dyDescent="0.3">
      <c r="A5530" t="s">
        <v>81</v>
      </c>
      <c r="B5530" s="1">
        <v>43862</v>
      </c>
      <c r="C5530" s="2">
        <v>14196</v>
      </c>
      <c r="D5530" s="2" t="s">
        <v>3</v>
      </c>
      <c r="E5530" s="2">
        <v>11684</v>
      </c>
      <c r="F5530" s="2" t="s">
        <v>3</v>
      </c>
      <c r="G5530" s="2" t="s">
        <v>3</v>
      </c>
      <c r="H5530" s="2">
        <v>2512</v>
      </c>
      <c r="I5530" s="2">
        <v>306</v>
      </c>
    </row>
    <row r="5531" spans="1:9" hidden="1" x14ac:dyDescent="0.3">
      <c r="A5531" t="s">
        <v>81</v>
      </c>
      <c r="B5531" s="1">
        <v>43831</v>
      </c>
      <c r="C5531" s="2">
        <v>13472</v>
      </c>
      <c r="D5531" s="2" t="s">
        <v>3</v>
      </c>
      <c r="E5531" s="2">
        <v>11266</v>
      </c>
      <c r="F5531" s="2" t="s">
        <v>3</v>
      </c>
      <c r="G5531" s="2" t="s">
        <v>3</v>
      </c>
      <c r="H5531" s="2">
        <v>2206</v>
      </c>
      <c r="I5531" s="2">
        <v>784</v>
      </c>
    </row>
    <row r="5532" spans="1:9" x14ac:dyDescent="0.3">
      <c r="A5532" t="s">
        <v>82</v>
      </c>
      <c r="B5532" s="1">
        <v>45931</v>
      </c>
      <c r="C5532" s="2" t="s">
        <v>3</v>
      </c>
      <c r="D5532" s="2" t="s">
        <v>3</v>
      </c>
      <c r="E5532" s="2">
        <v>168</v>
      </c>
      <c r="F5532" s="2">
        <v>3</v>
      </c>
      <c r="G5532" s="2">
        <v>0</v>
      </c>
      <c r="H5532" s="2" t="s">
        <v>3</v>
      </c>
      <c r="I5532" s="2" t="s">
        <v>3</v>
      </c>
    </row>
    <row r="5533" spans="1:9" x14ac:dyDescent="0.3">
      <c r="A5533" t="s">
        <v>82</v>
      </c>
      <c r="B5533" s="1">
        <v>45901</v>
      </c>
      <c r="C5533" s="2" t="s">
        <v>3</v>
      </c>
      <c r="D5533" s="2" t="s">
        <v>3</v>
      </c>
      <c r="E5533" s="2">
        <v>166</v>
      </c>
      <c r="F5533" s="2">
        <v>1</v>
      </c>
      <c r="G5533" s="2">
        <v>0</v>
      </c>
      <c r="H5533" s="2" t="s">
        <v>3</v>
      </c>
      <c r="I5533" s="2" t="s">
        <v>3</v>
      </c>
    </row>
    <row r="5534" spans="1:9" x14ac:dyDescent="0.3">
      <c r="A5534" t="s">
        <v>82</v>
      </c>
      <c r="B5534" s="1">
        <v>45870</v>
      </c>
      <c r="C5534" s="2" t="s">
        <v>3</v>
      </c>
      <c r="D5534" s="2" t="s">
        <v>3</v>
      </c>
      <c r="E5534" s="2">
        <v>165</v>
      </c>
      <c r="F5534" s="2">
        <v>1</v>
      </c>
      <c r="G5534" s="2">
        <v>1</v>
      </c>
      <c r="H5534" s="2" t="s">
        <v>3</v>
      </c>
      <c r="I5534" s="2" t="s">
        <v>3</v>
      </c>
    </row>
    <row r="5535" spans="1:9" x14ac:dyDescent="0.3">
      <c r="A5535" t="s">
        <v>82</v>
      </c>
      <c r="B5535" s="1">
        <v>45839</v>
      </c>
      <c r="C5535" s="2" t="s">
        <v>3</v>
      </c>
      <c r="D5535" s="2" t="s">
        <v>3</v>
      </c>
      <c r="E5535" s="2">
        <v>164</v>
      </c>
      <c r="F5535" s="2">
        <v>-1</v>
      </c>
      <c r="G5535" s="2">
        <v>0</v>
      </c>
      <c r="H5535" s="2" t="s">
        <v>3</v>
      </c>
      <c r="I5535" s="2" t="s">
        <v>3</v>
      </c>
    </row>
    <row r="5536" spans="1:9" x14ac:dyDescent="0.3">
      <c r="A5536" t="s">
        <v>82</v>
      </c>
      <c r="B5536" s="1">
        <v>45809</v>
      </c>
      <c r="C5536" s="2" t="s">
        <v>3</v>
      </c>
      <c r="D5536" s="2" t="s">
        <v>3</v>
      </c>
      <c r="E5536" s="2">
        <v>165</v>
      </c>
      <c r="F5536" s="2">
        <v>0</v>
      </c>
      <c r="G5536" s="2">
        <v>1</v>
      </c>
      <c r="H5536" s="2" t="s">
        <v>3</v>
      </c>
      <c r="I5536" s="2" t="s">
        <v>3</v>
      </c>
    </row>
    <row r="5537" spans="1:9" x14ac:dyDescent="0.3">
      <c r="A5537" t="s">
        <v>82</v>
      </c>
      <c r="B5537" s="1">
        <v>45778</v>
      </c>
      <c r="C5537" s="2" t="s">
        <v>3</v>
      </c>
      <c r="D5537" s="2" t="s">
        <v>3</v>
      </c>
      <c r="E5537" s="2">
        <v>164</v>
      </c>
      <c r="F5537" s="2">
        <v>0</v>
      </c>
      <c r="G5537" s="2">
        <v>0</v>
      </c>
      <c r="H5537" s="2" t="s">
        <v>3</v>
      </c>
      <c r="I5537" s="2" t="s">
        <v>3</v>
      </c>
    </row>
    <row r="5538" spans="1:9" x14ac:dyDescent="0.3">
      <c r="A5538" t="s">
        <v>82</v>
      </c>
      <c r="B5538" s="1">
        <v>45748</v>
      </c>
      <c r="C5538" s="2" t="s">
        <v>3</v>
      </c>
      <c r="D5538" s="2" t="s">
        <v>3</v>
      </c>
      <c r="E5538" s="2">
        <v>162</v>
      </c>
      <c r="F5538" s="2">
        <v>-1</v>
      </c>
      <c r="G5538" s="2">
        <v>1</v>
      </c>
      <c r="H5538" s="2" t="s">
        <v>3</v>
      </c>
      <c r="I5538" s="2" t="s">
        <v>3</v>
      </c>
    </row>
    <row r="5539" spans="1:9" x14ac:dyDescent="0.3">
      <c r="A5539" t="s">
        <v>82</v>
      </c>
      <c r="B5539" s="1">
        <v>45717</v>
      </c>
      <c r="C5539" s="2" t="s">
        <v>3</v>
      </c>
      <c r="D5539" s="2" t="s">
        <v>3</v>
      </c>
      <c r="E5539" s="2">
        <v>163</v>
      </c>
      <c r="F5539" s="2">
        <v>-2</v>
      </c>
      <c r="G5539" s="2">
        <v>0</v>
      </c>
      <c r="H5539" s="2" t="s">
        <v>3</v>
      </c>
      <c r="I5539" s="2" t="s">
        <v>3</v>
      </c>
    </row>
    <row r="5540" spans="1:9" x14ac:dyDescent="0.3">
      <c r="A5540" t="s">
        <v>82</v>
      </c>
      <c r="B5540" s="1">
        <v>45689</v>
      </c>
      <c r="C5540" s="2" t="s">
        <v>3</v>
      </c>
      <c r="D5540" s="2" t="s">
        <v>3</v>
      </c>
      <c r="E5540" s="2">
        <v>164</v>
      </c>
      <c r="F5540" s="2">
        <v>-1</v>
      </c>
      <c r="G5540" s="2">
        <v>1</v>
      </c>
      <c r="H5540" s="2" t="s">
        <v>3</v>
      </c>
      <c r="I5540" s="2" t="s">
        <v>3</v>
      </c>
    </row>
    <row r="5541" spans="1:9" x14ac:dyDescent="0.3">
      <c r="A5541" t="s">
        <v>82</v>
      </c>
      <c r="B5541" s="1">
        <v>45658</v>
      </c>
      <c r="C5541" s="2" t="s">
        <v>3</v>
      </c>
      <c r="D5541" s="2" t="s">
        <v>3</v>
      </c>
      <c r="E5541" s="2">
        <v>165</v>
      </c>
      <c r="F5541" s="2">
        <v>2</v>
      </c>
      <c r="G5541" s="2">
        <v>0</v>
      </c>
      <c r="H5541" s="2" t="s">
        <v>3</v>
      </c>
      <c r="I5541" s="2" t="s">
        <v>3</v>
      </c>
    </row>
    <row r="5542" spans="1:9" x14ac:dyDescent="0.3">
      <c r="A5542" t="s">
        <v>82</v>
      </c>
      <c r="B5542" s="1">
        <v>45627</v>
      </c>
      <c r="C5542" s="2" t="s">
        <v>3</v>
      </c>
      <c r="D5542" s="2" t="s">
        <v>3</v>
      </c>
      <c r="E5542" s="2">
        <v>162</v>
      </c>
      <c r="F5542" s="2">
        <v>4</v>
      </c>
      <c r="G5542" s="2">
        <v>0</v>
      </c>
      <c r="H5542" s="2" t="s">
        <v>3</v>
      </c>
      <c r="I5542" s="2" t="s">
        <v>3</v>
      </c>
    </row>
    <row r="5543" spans="1:9" x14ac:dyDescent="0.3">
      <c r="A5543" t="s">
        <v>82</v>
      </c>
      <c r="B5543" s="1">
        <v>45597</v>
      </c>
      <c r="C5543" s="2" t="s">
        <v>3</v>
      </c>
      <c r="D5543" s="2" t="s">
        <v>3</v>
      </c>
      <c r="E5543" s="2">
        <v>160</v>
      </c>
      <c r="F5543" s="2">
        <v>0</v>
      </c>
      <c r="G5543" s="2">
        <v>-2</v>
      </c>
      <c r="H5543" s="2" t="s">
        <v>3</v>
      </c>
      <c r="I5543" s="2" t="s">
        <v>3</v>
      </c>
    </row>
    <row r="5544" spans="1:9" x14ac:dyDescent="0.3">
      <c r="A5544" t="s">
        <v>82</v>
      </c>
      <c r="B5544" s="1">
        <v>45566</v>
      </c>
      <c r="C5544" s="2" t="s">
        <v>3</v>
      </c>
      <c r="D5544" s="2" t="s">
        <v>3</v>
      </c>
      <c r="E5544" s="2">
        <v>159</v>
      </c>
      <c r="F5544" s="2">
        <v>0</v>
      </c>
      <c r="G5544" s="2">
        <v>1</v>
      </c>
      <c r="H5544" s="2" t="s">
        <v>3</v>
      </c>
      <c r="I5544" s="2" t="s">
        <v>3</v>
      </c>
    </row>
    <row r="5545" spans="1:9" x14ac:dyDescent="0.3">
      <c r="A5545" t="s">
        <v>82</v>
      </c>
      <c r="B5545" s="1">
        <v>45536</v>
      </c>
      <c r="C5545" s="2" t="s">
        <v>3</v>
      </c>
      <c r="D5545" s="2" t="s">
        <v>3</v>
      </c>
      <c r="E5545" s="2">
        <v>160</v>
      </c>
      <c r="F5545" s="2">
        <v>2</v>
      </c>
      <c r="G5545" s="2">
        <v>1</v>
      </c>
      <c r="H5545" s="2" t="s">
        <v>3</v>
      </c>
      <c r="I5545" s="2" t="s">
        <v>3</v>
      </c>
    </row>
    <row r="5546" spans="1:9" x14ac:dyDescent="0.3">
      <c r="A5546" t="s">
        <v>82</v>
      </c>
      <c r="B5546" s="1">
        <v>45505</v>
      </c>
      <c r="C5546" s="2" t="s">
        <v>3</v>
      </c>
      <c r="D5546" s="2" t="s">
        <v>3</v>
      </c>
      <c r="E5546" s="2">
        <v>160</v>
      </c>
      <c r="F5546" s="2">
        <v>1</v>
      </c>
      <c r="G5546" s="2">
        <v>1</v>
      </c>
      <c r="H5546" s="2" t="s">
        <v>3</v>
      </c>
      <c r="I5546" s="2" t="s">
        <v>3</v>
      </c>
    </row>
    <row r="5547" spans="1:9" x14ac:dyDescent="0.3">
      <c r="A5547" t="s">
        <v>82</v>
      </c>
      <c r="B5547" s="1">
        <v>45474</v>
      </c>
      <c r="C5547" s="2" t="s">
        <v>3</v>
      </c>
      <c r="D5547" s="2" t="s">
        <v>3</v>
      </c>
      <c r="E5547" s="2">
        <v>157</v>
      </c>
      <c r="F5547" s="2">
        <v>1</v>
      </c>
      <c r="G5547" s="2">
        <v>1</v>
      </c>
      <c r="H5547" s="2" t="s">
        <v>3</v>
      </c>
      <c r="I5547" s="2" t="s">
        <v>3</v>
      </c>
    </row>
    <row r="5548" spans="1:9" x14ac:dyDescent="0.3">
      <c r="A5548" t="s">
        <v>82</v>
      </c>
      <c r="B5548" s="1">
        <v>45444</v>
      </c>
      <c r="C5548" s="2" t="s">
        <v>3</v>
      </c>
      <c r="D5548" s="2" t="s">
        <v>3</v>
      </c>
      <c r="E5548" s="2">
        <v>154</v>
      </c>
      <c r="F5548" s="2">
        <v>1</v>
      </c>
      <c r="G5548" s="2">
        <v>1</v>
      </c>
      <c r="H5548" s="2" t="s">
        <v>3</v>
      </c>
      <c r="I5548" s="2" t="s">
        <v>3</v>
      </c>
    </row>
    <row r="5549" spans="1:9" x14ac:dyDescent="0.3">
      <c r="A5549" t="s">
        <v>82</v>
      </c>
      <c r="B5549" s="1">
        <v>45413</v>
      </c>
      <c r="C5549" s="2" t="s">
        <v>3</v>
      </c>
      <c r="D5549" s="2" t="s">
        <v>3</v>
      </c>
      <c r="E5549" s="2">
        <v>151</v>
      </c>
      <c r="F5549" s="2">
        <v>2</v>
      </c>
      <c r="G5549" s="2">
        <v>1</v>
      </c>
      <c r="H5549" s="2" t="s">
        <v>3</v>
      </c>
      <c r="I5549" s="2" t="s">
        <v>3</v>
      </c>
    </row>
    <row r="5550" spans="1:9" x14ac:dyDescent="0.3">
      <c r="A5550" t="s">
        <v>82</v>
      </c>
      <c r="B5550" s="1">
        <v>45383</v>
      </c>
      <c r="C5550" s="2" t="s">
        <v>3</v>
      </c>
      <c r="D5550" s="2" t="s">
        <v>3</v>
      </c>
      <c r="E5550" s="2">
        <v>148</v>
      </c>
      <c r="F5550" s="2">
        <v>-3</v>
      </c>
      <c r="G5550" s="2">
        <v>-1</v>
      </c>
      <c r="H5550" s="2" t="s">
        <v>3</v>
      </c>
      <c r="I5550" s="2" t="s">
        <v>3</v>
      </c>
    </row>
    <row r="5551" spans="1:9" x14ac:dyDescent="0.3">
      <c r="A5551" t="s">
        <v>82</v>
      </c>
      <c r="B5551" s="1">
        <v>45352</v>
      </c>
      <c r="C5551" s="2" t="s">
        <v>3</v>
      </c>
      <c r="D5551" s="2" t="s">
        <v>3</v>
      </c>
      <c r="E5551" s="2">
        <v>153</v>
      </c>
      <c r="F5551" s="2">
        <v>0</v>
      </c>
      <c r="G5551" s="2">
        <v>0</v>
      </c>
      <c r="H5551" s="2" t="s">
        <v>3</v>
      </c>
      <c r="I5551" s="2" t="s">
        <v>3</v>
      </c>
    </row>
    <row r="5552" spans="1:9" x14ac:dyDescent="0.3">
      <c r="A5552" t="s">
        <v>82</v>
      </c>
      <c r="B5552" s="1">
        <v>45323</v>
      </c>
      <c r="C5552" s="2" t="s">
        <v>3</v>
      </c>
      <c r="D5552" s="2" t="s">
        <v>3</v>
      </c>
      <c r="E5552" s="2">
        <v>153</v>
      </c>
      <c r="F5552" s="2">
        <v>49</v>
      </c>
      <c r="G5552" s="2">
        <v>-1</v>
      </c>
      <c r="H5552" s="2" t="s">
        <v>3</v>
      </c>
      <c r="I5552" s="2" t="s">
        <v>3</v>
      </c>
    </row>
    <row r="5553" spans="1:9" x14ac:dyDescent="0.3">
      <c r="A5553" t="s">
        <v>82</v>
      </c>
      <c r="B5553" s="1">
        <v>45292</v>
      </c>
      <c r="C5553" s="2" t="s">
        <v>3</v>
      </c>
      <c r="D5553" s="2" t="s">
        <v>3</v>
      </c>
      <c r="E5553" s="2">
        <v>106</v>
      </c>
      <c r="F5553" s="2">
        <v>0</v>
      </c>
      <c r="G5553" s="2">
        <v>0</v>
      </c>
      <c r="H5553" s="2" t="s">
        <v>3</v>
      </c>
      <c r="I5553" s="2" t="s">
        <v>3</v>
      </c>
    </row>
    <row r="5554" spans="1:9" x14ac:dyDescent="0.3">
      <c r="A5554" t="s">
        <v>82</v>
      </c>
      <c r="B5554" s="1">
        <v>45261</v>
      </c>
      <c r="C5554" s="2" t="s">
        <v>3</v>
      </c>
      <c r="D5554" s="2" t="s">
        <v>3</v>
      </c>
      <c r="E5554" s="2">
        <v>107</v>
      </c>
      <c r="F5554" s="2">
        <v>1</v>
      </c>
      <c r="G5554" s="2">
        <v>1</v>
      </c>
      <c r="H5554" s="2" t="s">
        <v>3</v>
      </c>
      <c r="I5554" s="2" t="s">
        <v>3</v>
      </c>
    </row>
    <row r="5555" spans="1:9" x14ac:dyDescent="0.3">
      <c r="A5555" t="s">
        <v>82</v>
      </c>
      <c r="B5555" s="1">
        <v>45231</v>
      </c>
      <c r="C5555" s="2" t="s">
        <v>3</v>
      </c>
      <c r="D5555" s="2" t="s">
        <v>3</v>
      </c>
      <c r="E5555" s="2">
        <v>104</v>
      </c>
      <c r="F5555" s="2">
        <v>4</v>
      </c>
      <c r="G5555" s="2">
        <v>1</v>
      </c>
      <c r="H5555" s="2" t="s">
        <v>3</v>
      </c>
      <c r="I5555" s="2" t="s">
        <v>3</v>
      </c>
    </row>
    <row r="5556" spans="1:9" x14ac:dyDescent="0.3">
      <c r="A5556" t="s">
        <v>82</v>
      </c>
      <c r="B5556" s="1">
        <v>45200</v>
      </c>
      <c r="C5556" s="2" t="s">
        <v>3</v>
      </c>
      <c r="D5556" s="2" t="s">
        <v>3</v>
      </c>
      <c r="E5556" s="2">
        <v>99</v>
      </c>
      <c r="F5556" s="2">
        <v>-3</v>
      </c>
      <c r="G5556" s="2">
        <v>0</v>
      </c>
      <c r="H5556" s="2" t="s">
        <v>3</v>
      </c>
      <c r="I5556" s="2" t="s">
        <v>3</v>
      </c>
    </row>
    <row r="5557" spans="1:9" x14ac:dyDescent="0.3">
      <c r="A5557" t="s">
        <v>82</v>
      </c>
      <c r="B5557" s="1">
        <v>45170</v>
      </c>
      <c r="C5557" s="2" t="s">
        <v>3</v>
      </c>
      <c r="D5557" s="2" t="s">
        <v>3</v>
      </c>
      <c r="E5557" s="2">
        <v>103</v>
      </c>
      <c r="F5557" s="2">
        <v>1</v>
      </c>
      <c r="G5557" s="2">
        <v>-1</v>
      </c>
      <c r="H5557" s="2" t="s">
        <v>3</v>
      </c>
      <c r="I5557" s="2" t="s">
        <v>3</v>
      </c>
    </row>
    <row r="5558" spans="1:9" x14ac:dyDescent="0.3">
      <c r="A5558" t="s">
        <v>82</v>
      </c>
      <c r="B5558" s="1">
        <v>45139</v>
      </c>
      <c r="C5558" s="2" t="s">
        <v>3</v>
      </c>
      <c r="D5558" s="2" t="s">
        <v>3</v>
      </c>
      <c r="E5558" s="2">
        <v>101</v>
      </c>
      <c r="F5558" s="2">
        <v>1</v>
      </c>
      <c r="G5558" s="2">
        <v>0</v>
      </c>
      <c r="H5558" s="2" t="s">
        <v>3</v>
      </c>
      <c r="I5558" s="2" t="s">
        <v>3</v>
      </c>
    </row>
    <row r="5559" spans="1:9" x14ac:dyDescent="0.3">
      <c r="A5559" t="s">
        <v>82</v>
      </c>
      <c r="B5559" s="1">
        <v>45108</v>
      </c>
      <c r="C5559" s="2" t="s">
        <v>3</v>
      </c>
      <c r="D5559" s="2" t="s">
        <v>3</v>
      </c>
      <c r="E5559" s="2">
        <v>100</v>
      </c>
      <c r="F5559" s="2">
        <v>1</v>
      </c>
      <c r="G5559" s="2">
        <v>0</v>
      </c>
      <c r="H5559" s="2" t="s">
        <v>3</v>
      </c>
      <c r="I5559" s="2" t="s">
        <v>3</v>
      </c>
    </row>
    <row r="5560" spans="1:9" x14ac:dyDescent="0.3">
      <c r="A5560" t="s">
        <v>82</v>
      </c>
      <c r="B5560" s="1">
        <v>45078</v>
      </c>
      <c r="C5560" s="2" t="s">
        <v>3</v>
      </c>
      <c r="D5560" s="2" t="s">
        <v>3</v>
      </c>
      <c r="E5560" s="2">
        <v>99</v>
      </c>
      <c r="F5560" s="2">
        <v>0</v>
      </c>
      <c r="G5560" s="2">
        <v>-3</v>
      </c>
      <c r="H5560" s="2" t="s">
        <v>3</v>
      </c>
      <c r="I5560" s="2" t="s">
        <v>3</v>
      </c>
    </row>
    <row r="5561" spans="1:9" x14ac:dyDescent="0.3">
      <c r="A5561" t="s">
        <v>82</v>
      </c>
      <c r="B5561" s="1">
        <v>45047</v>
      </c>
      <c r="C5561" s="2" t="s">
        <v>3</v>
      </c>
      <c r="D5561" s="2" t="s">
        <v>3</v>
      </c>
      <c r="E5561" s="2">
        <v>99</v>
      </c>
      <c r="F5561" s="2">
        <v>1</v>
      </c>
      <c r="G5561" s="2">
        <v>2</v>
      </c>
      <c r="H5561" s="2" t="s">
        <v>3</v>
      </c>
      <c r="I5561" s="2" t="s">
        <v>3</v>
      </c>
    </row>
    <row r="5562" spans="1:9" x14ac:dyDescent="0.3">
      <c r="A5562" t="s">
        <v>82</v>
      </c>
      <c r="B5562" s="1">
        <v>45017</v>
      </c>
      <c r="C5562" s="2" t="s">
        <v>3</v>
      </c>
      <c r="D5562" s="2" t="s">
        <v>3</v>
      </c>
      <c r="E5562" s="2">
        <v>98</v>
      </c>
      <c r="F5562" s="2">
        <v>-1</v>
      </c>
      <c r="G5562" s="2">
        <v>0</v>
      </c>
      <c r="H5562" s="2" t="s">
        <v>3</v>
      </c>
      <c r="I5562" s="2" t="s">
        <v>3</v>
      </c>
    </row>
    <row r="5563" spans="1:9" x14ac:dyDescent="0.3">
      <c r="A5563" t="s">
        <v>82</v>
      </c>
      <c r="B5563" s="1">
        <v>44986</v>
      </c>
      <c r="C5563" s="2" t="s">
        <v>3</v>
      </c>
      <c r="D5563" s="2" t="s">
        <v>3</v>
      </c>
      <c r="E5563" s="2">
        <v>99</v>
      </c>
      <c r="F5563" s="2">
        <v>1</v>
      </c>
      <c r="G5563" s="2">
        <v>1</v>
      </c>
      <c r="H5563" s="2" t="s">
        <v>3</v>
      </c>
      <c r="I5563" s="2" t="s">
        <v>3</v>
      </c>
    </row>
    <row r="5564" spans="1:9" x14ac:dyDescent="0.3">
      <c r="A5564" t="s">
        <v>82</v>
      </c>
      <c r="B5564" s="1">
        <v>44958</v>
      </c>
      <c r="C5564" s="2" t="s">
        <v>3</v>
      </c>
      <c r="D5564" s="2" t="s">
        <v>3</v>
      </c>
      <c r="E5564" s="2">
        <v>94</v>
      </c>
      <c r="F5564" s="2">
        <v>-1015</v>
      </c>
      <c r="G5564" s="2">
        <v>-16</v>
      </c>
      <c r="H5564" s="2" t="s">
        <v>3</v>
      </c>
      <c r="I5564" s="2" t="s">
        <v>3</v>
      </c>
    </row>
    <row r="5565" spans="1:9" hidden="1" x14ac:dyDescent="0.3">
      <c r="A5565" t="s">
        <v>82</v>
      </c>
      <c r="B5565" s="1">
        <v>44927</v>
      </c>
      <c r="C5565" s="2" t="s">
        <v>3</v>
      </c>
      <c r="D5565" s="2" t="s">
        <v>3</v>
      </c>
      <c r="E5565" s="2">
        <v>1127</v>
      </c>
      <c r="F5565" s="2" t="s">
        <v>3</v>
      </c>
      <c r="G5565" s="2" t="s">
        <v>3</v>
      </c>
      <c r="H5565" s="2" t="s">
        <v>3</v>
      </c>
      <c r="I5565" s="2" t="s">
        <v>3</v>
      </c>
    </row>
    <row r="5566" spans="1:9" hidden="1" x14ac:dyDescent="0.3">
      <c r="A5566" t="s">
        <v>82</v>
      </c>
      <c r="B5566" s="1">
        <v>44896</v>
      </c>
      <c r="C5566" s="2" t="s">
        <v>3</v>
      </c>
      <c r="D5566" s="2" t="s">
        <v>3</v>
      </c>
      <c r="E5566" s="2">
        <v>93</v>
      </c>
      <c r="F5566" s="2" t="s">
        <v>3</v>
      </c>
      <c r="G5566" s="2" t="s">
        <v>3</v>
      </c>
      <c r="H5566" s="2" t="s">
        <v>3</v>
      </c>
      <c r="I5566" s="2" t="s">
        <v>3</v>
      </c>
    </row>
    <row r="5567" spans="1:9" hidden="1" x14ac:dyDescent="0.3">
      <c r="A5567" t="s">
        <v>82</v>
      </c>
      <c r="B5567" s="1">
        <v>44866</v>
      </c>
      <c r="C5567" s="2" t="s">
        <v>3</v>
      </c>
      <c r="D5567" s="2" t="s">
        <v>3</v>
      </c>
      <c r="E5567" s="2">
        <v>94</v>
      </c>
      <c r="F5567" s="2" t="s">
        <v>3</v>
      </c>
      <c r="G5567" s="2" t="s">
        <v>3</v>
      </c>
      <c r="H5567" s="2" t="s">
        <v>3</v>
      </c>
      <c r="I5567" s="2" t="s">
        <v>3</v>
      </c>
    </row>
    <row r="5568" spans="1:9" hidden="1" x14ac:dyDescent="0.3">
      <c r="A5568" t="s">
        <v>82</v>
      </c>
      <c r="B5568" s="1">
        <v>44835</v>
      </c>
      <c r="C5568" s="2" t="s">
        <v>3</v>
      </c>
      <c r="D5568" s="2" t="s">
        <v>3</v>
      </c>
      <c r="E5568" s="2">
        <v>93</v>
      </c>
      <c r="F5568" s="2" t="s">
        <v>3</v>
      </c>
      <c r="G5568" s="2" t="s">
        <v>3</v>
      </c>
      <c r="H5568" s="2" t="s">
        <v>3</v>
      </c>
      <c r="I5568" s="2" t="s">
        <v>3</v>
      </c>
    </row>
    <row r="5569" spans="1:9" hidden="1" x14ac:dyDescent="0.3">
      <c r="A5569" t="s">
        <v>82</v>
      </c>
      <c r="B5569" s="1">
        <v>44805</v>
      </c>
      <c r="C5569" s="2" t="s">
        <v>3</v>
      </c>
      <c r="D5569" s="2" t="s">
        <v>3</v>
      </c>
      <c r="E5569" s="2">
        <v>92</v>
      </c>
      <c r="F5569" s="2" t="s">
        <v>3</v>
      </c>
      <c r="G5569" s="2" t="s">
        <v>3</v>
      </c>
      <c r="H5569" s="2" t="s">
        <v>3</v>
      </c>
      <c r="I5569" s="2" t="s">
        <v>3</v>
      </c>
    </row>
    <row r="5570" spans="1:9" hidden="1" x14ac:dyDescent="0.3">
      <c r="A5570" t="s">
        <v>82</v>
      </c>
      <c r="B5570" s="1">
        <v>44774</v>
      </c>
      <c r="C5570" s="2" t="s">
        <v>3</v>
      </c>
      <c r="D5570" s="2" t="s">
        <v>3</v>
      </c>
      <c r="E5570" s="2">
        <v>92</v>
      </c>
      <c r="F5570" s="2" t="s">
        <v>3</v>
      </c>
      <c r="G5570" s="2" t="s">
        <v>3</v>
      </c>
      <c r="H5570" s="2" t="s">
        <v>3</v>
      </c>
      <c r="I5570" s="2" t="s">
        <v>3</v>
      </c>
    </row>
    <row r="5571" spans="1:9" hidden="1" x14ac:dyDescent="0.3">
      <c r="A5571" t="s">
        <v>82</v>
      </c>
      <c r="B5571" s="1">
        <v>44743</v>
      </c>
      <c r="C5571" s="2" t="s">
        <v>3</v>
      </c>
      <c r="D5571" s="2" t="s">
        <v>3</v>
      </c>
      <c r="E5571" s="2">
        <v>96</v>
      </c>
      <c r="F5571" s="2" t="s">
        <v>3</v>
      </c>
      <c r="G5571" s="2" t="s">
        <v>3</v>
      </c>
      <c r="H5571" s="2" t="s">
        <v>3</v>
      </c>
      <c r="I5571" s="2" t="s">
        <v>3</v>
      </c>
    </row>
    <row r="5572" spans="1:9" hidden="1" x14ac:dyDescent="0.3">
      <c r="A5572" t="s">
        <v>82</v>
      </c>
      <c r="B5572" s="1">
        <v>44713</v>
      </c>
      <c r="C5572" s="2" t="s">
        <v>3</v>
      </c>
      <c r="D5572" s="2" t="s">
        <v>3</v>
      </c>
      <c r="E5572" s="2">
        <v>96</v>
      </c>
      <c r="F5572" s="2" t="s">
        <v>3</v>
      </c>
      <c r="G5572" s="2" t="s">
        <v>3</v>
      </c>
      <c r="H5572" s="2" t="s">
        <v>3</v>
      </c>
      <c r="I5572" s="2" t="s">
        <v>3</v>
      </c>
    </row>
    <row r="5573" spans="1:9" hidden="1" x14ac:dyDescent="0.3">
      <c r="A5573" t="s">
        <v>82</v>
      </c>
      <c r="B5573" s="1">
        <v>44682</v>
      </c>
      <c r="C5573" s="2" t="s">
        <v>3</v>
      </c>
      <c r="D5573" s="2" t="s">
        <v>3</v>
      </c>
      <c r="E5573" s="2">
        <v>96</v>
      </c>
      <c r="F5573" s="2" t="s">
        <v>3</v>
      </c>
      <c r="G5573" s="2" t="s">
        <v>3</v>
      </c>
      <c r="H5573" s="2" t="s">
        <v>3</v>
      </c>
      <c r="I5573" s="2" t="s">
        <v>3</v>
      </c>
    </row>
    <row r="5574" spans="1:9" hidden="1" x14ac:dyDescent="0.3">
      <c r="A5574" t="s">
        <v>82</v>
      </c>
      <c r="B5574" s="1">
        <v>44652</v>
      </c>
      <c r="C5574" s="2" t="s">
        <v>3</v>
      </c>
      <c r="D5574" s="2" t="s">
        <v>3</v>
      </c>
      <c r="E5574" s="2">
        <v>95</v>
      </c>
      <c r="F5574" s="2" t="s">
        <v>3</v>
      </c>
      <c r="G5574" s="2" t="s">
        <v>3</v>
      </c>
      <c r="H5574" s="2" t="s">
        <v>3</v>
      </c>
      <c r="I5574" s="2" t="s">
        <v>3</v>
      </c>
    </row>
    <row r="5575" spans="1:9" hidden="1" x14ac:dyDescent="0.3">
      <c r="A5575" t="s">
        <v>82</v>
      </c>
      <c r="B5575" s="1">
        <v>44621</v>
      </c>
      <c r="C5575" s="2" t="s">
        <v>3</v>
      </c>
      <c r="D5575" s="2" t="s">
        <v>3</v>
      </c>
      <c r="E5575" s="2">
        <v>94</v>
      </c>
      <c r="F5575" s="2" t="s">
        <v>3</v>
      </c>
      <c r="G5575" s="2" t="s">
        <v>3</v>
      </c>
      <c r="H5575" s="2" t="s">
        <v>3</v>
      </c>
      <c r="I5575" s="2" t="s">
        <v>3</v>
      </c>
    </row>
    <row r="5576" spans="1:9" hidden="1" x14ac:dyDescent="0.3">
      <c r="A5576" t="s">
        <v>82</v>
      </c>
      <c r="B5576" s="1">
        <v>44593</v>
      </c>
      <c r="C5576" s="2" t="s">
        <v>3</v>
      </c>
      <c r="D5576" s="2" t="s">
        <v>3</v>
      </c>
      <c r="E5576" s="2">
        <v>2225</v>
      </c>
      <c r="F5576" s="2" t="s">
        <v>3</v>
      </c>
      <c r="G5576" s="2" t="s">
        <v>3</v>
      </c>
      <c r="H5576" s="2" t="s">
        <v>3</v>
      </c>
      <c r="I5576" s="2" t="s">
        <v>3</v>
      </c>
    </row>
    <row r="5577" spans="1:9" hidden="1" x14ac:dyDescent="0.3">
      <c r="A5577" t="s">
        <v>82</v>
      </c>
      <c r="B5577" s="1">
        <v>44562</v>
      </c>
      <c r="C5577" s="2" t="s">
        <v>3</v>
      </c>
      <c r="D5577" s="2" t="s">
        <v>3</v>
      </c>
      <c r="E5577" s="2">
        <v>2232</v>
      </c>
      <c r="F5577" s="2" t="s">
        <v>3</v>
      </c>
      <c r="G5577" s="2" t="s">
        <v>3</v>
      </c>
      <c r="H5577" s="2" t="s">
        <v>3</v>
      </c>
      <c r="I5577" s="2" t="s">
        <v>3</v>
      </c>
    </row>
    <row r="5578" spans="1:9" hidden="1" x14ac:dyDescent="0.3">
      <c r="A5578" t="s">
        <v>82</v>
      </c>
      <c r="B5578" s="1">
        <v>44531</v>
      </c>
      <c r="C5578" s="2" t="s">
        <v>3</v>
      </c>
      <c r="D5578" s="2" t="s">
        <v>3</v>
      </c>
      <c r="E5578" s="2">
        <v>2244</v>
      </c>
      <c r="F5578" s="2" t="s">
        <v>3</v>
      </c>
      <c r="G5578" s="2" t="s">
        <v>3</v>
      </c>
      <c r="H5578" s="2" t="s">
        <v>3</v>
      </c>
      <c r="I5578" s="2" t="s">
        <v>3</v>
      </c>
    </row>
    <row r="5579" spans="1:9" hidden="1" x14ac:dyDescent="0.3">
      <c r="A5579" t="s">
        <v>82</v>
      </c>
      <c r="B5579" s="1">
        <v>44501</v>
      </c>
      <c r="C5579" s="2" t="s">
        <v>3</v>
      </c>
      <c r="D5579" s="2" t="s">
        <v>3</v>
      </c>
      <c r="E5579" s="2">
        <v>2249</v>
      </c>
      <c r="F5579" s="2" t="s">
        <v>3</v>
      </c>
      <c r="G5579" s="2" t="s">
        <v>3</v>
      </c>
      <c r="H5579" s="2" t="s">
        <v>3</v>
      </c>
      <c r="I5579" s="2" t="s">
        <v>3</v>
      </c>
    </row>
    <row r="5580" spans="1:9" hidden="1" x14ac:dyDescent="0.3">
      <c r="A5580" t="s">
        <v>82</v>
      </c>
      <c r="B5580" s="1">
        <v>44470</v>
      </c>
      <c r="C5580" s="2" t="s">
        <v>3</v>
      </c>
      <c r="D5580" s="2" t="s">
        <v>3</v>
      </c>
      <c r="E5580" s="2">
        <v>2249</v>
      </c>
      <c r="F5580" s="2" t="s">
        <v>3</v>
      </c>
      <c r="G5580" s="2" t="s">
        <v>3</v>
      </c>
      <c r="H5580" s="2" t="s">
        <v>3</v>
      </c>
      <c r="I5580" s="2" t="s">
        <v>3</v>
      </c>
    </row>
    <row r="5581" spans="1:9" hidden="1" x14ac:dyDescent="0.3">
      <c r="A5581" t="s">
        <v>82</v>
      </c>
      <c r="B5581" s="1">
        <v>44440</v>
      </c>
      <c r="C5581" s="2" t="s">
        <v>3</v>
      </c>
      <c r="D5581" s="2" t="s">
        <v>3</v>
      </c>
      <c r="E5581" s="2">
        <v>2254</v>
      </c>
      <c r="F5581" s="2" t="s">
        <v>3</v>
      </c>
      <c r="G5581" s="2" t="s">
        <v>3</v>
      </c>
      <c r="H5581" s="2" t="s">
        <v>3</v>
      </c>
      <c r="I5581" s="2" t="s">
        <v>3</v>
      </c>
    </row>
    <row r="5582" spans="1:9" hidden="1" x14ac:dyDescent="0.3">
      <c r="A5582" t="s">
        <v>82</v>
      </c>
      <c r="B5582" s="1">
        <v>44409</v>
      </c>
      <c r="C5582" s="2" t="s">
        <v>3</v>
      </c>
      <c r="D5582" s="2" t="s">
        <v>3</v>
      </c>
      <c r="E5582" s="2">
        <v>2258</v>
      </c>
      <c r="F5582" s="2" t="s">
        <v>3</v>
      </c>
      <c r="G5582" s="2" t="s">
        <v>3</v>
      </c>
      <c r="H5582" s="2" t="s">
        <v>3</v>
      </c>
      <c r="I5582" s="2" t="s">
        <v>3</v>
      </c>
    </row>
    <row r="5583" spans="1:9" hidden="1" x14ac:dyDescent="0.3">
      <c r="A5583" t="s">
        <v>82</v>
      </c>
      <c r="B5583" s="1">
        <v>44378</v>
      </c>
      <c r="C5583" s="2" t="s">
        <v>3</v>
      </c>
      <c r="D5583" s="2" t="s">
        <v>3</v>
      </c>
      <c r="E5583" s="2">
        <v>2256</v>
      </c>
      <c r="F5583" s="2" t="s">
        <v>3</v>
      </c>
      <c r="G5583" s="2" t="s">
        <v>3</v>
      </c>
      <c r="H5583" s="2" t="s">
        <v>3</v>
      </c>
      <c r="I5583" s="2" t="s">
        <v>3</v>
      </c>
    </row>
    <row r="5584" spans="1:9" hidden="1" x14ac:dyDescent="0.3">
      <c r="A5584" t="s">
        <v>82</v>
      </c>
      <c r="B5584" s="1">
        <v>44348</v>
      </c>
      <c r="C5584" s="2" t="s">
        <v>3</v>
      </c>
      <c r="D5584" s="2" t="s">
        <v>3</v>
      </c>
      <c r="E5584" s="2">
        <v>2245</v>
      </c>
      <c r="F5584" s="2" t="s">
        <v>3</v>
      </c>
      <c r="G5584" s="2" t="s">
        <v>3</v>
      </c>
      <c r="H5584" s="2" t="s">
        <v>3</v>
      </c>
      <c r="I5584" s="2" t="s">
        <v>3</v>
      </c>
    </row>
    <row r="5585" spans="1:9" hidden="1" x14ac:dyDescent="0.3">
      <c r="A5585" t="s">
        <v>82</v>
      </c>
      <c r="B5585" s="1">
        <v>44317</v>
      </c>
      <c r="C5585" s="2" t="s">
        <v>3</v>
      </c>
      <c r="D5585" s="2" t="s">
        <v>3</v>
      </c>
      <c r="E5585" s="2">
        <v>2249</v>
      </c>
      <c r="F5585" s="2" t="s">
        <v>3</v>
      </c>
      <c r="G5585" s="2" t="s">
        <v>3</v>
      </c>
      <c r="H5585" s="2" t="s">
        <v>3</v>
      </c>
      <c r="I5585" s="2" t="s">
        <v>3</v>
      </c>
    </row>
    <row r="5586" spans="1:9" hidden="1" x14ac:dyDescent="0.3">
      <c r="A5586" t="s">
        <v>82</v>
      </c>
      <c r="B5586" s="1">
        <v>44287</v>
      </c>
      <c r="C5586" s="2" t="s">
        <v>3</v>
      </c>
      <c r="D5586" s="2" t="s">
        <v>3</v>
      </c>
      <c r="E5586" s="2">
        <v>2249</v>
      </c>
      <c r="F5586" s="2" t="s">
        <v>3</v>
      </c>
      <c r="G5586" s="2" t="s">
        <v>3</v>
      </c>
      <c r="H5586" s="2" t="s">
        <v>3</v>
      </c>
      <c r="I5586" s="2" t="s">
        <v>3</v>
      </c>
    </row>
    <row r="5587" spans="1:9" hidden="1" x14ac:dyDescent="0.3">
      <c r="A5587" t="s">
        <v>82</v>
      </c>
      <c r="B5587" s="1">
        <v>44256</v>
      </c>
      <c r="C5587" s="2" t="s">
        <v>3</v>
      </c>
      <c r="D5587" s="2" t="s">
        <v>3</v>
      </c>
      <c r="E5587" s="2">
        <v>2248</v>
      </c>
      <c r="F5587" s="2" t="s">
        <v>3</v>
      </c>
      <c r="G5587" s="2" t="s">
        <v>3</v>
      </c>
      <c r="H5587" s="2" t="s">
        <v>3</v>
      </c>
      <c r="I5587" s="2" t="s">
        <v>3</v>
      </c>
    </row>
    <row r="5588" spans="1:9" hidden="1" x14ac:dyDescent="0.3">
      <c r="A5588" t="s">
        <v>82</v>
      </c>
      <c r="B5588" s="1">
        <v>44228</v>
      </c>
      <c r="C5588" s="2" t="s">
        <v>3</v>
      </c>
      <c r="D5588" s="2" t="s">
        <v>3</v>
      </c>
      <c r="E5588" s="2">
        <v>2242</v>
      </c>
      <c r="F5588" s="2" t="s">
        <v>3</v>
      </c>
      <c r="G5588" s="2" t="s">
        <v>3</v>
      </c>
      <c r="H5588" s="2" t="s">
        <v>3</v>
      </c>
      <c r="I5588" s="2" t="s">
        <v>3</v>
      </c>
    </row>
    <row r="5589" spans="1:9" hidden="1" x14ac:dyDescent="0.3">
      <c r="A5589" t="s">
        <v>82</v>
      </c>
      <c r="B5589" s="1">
        <v>44197</v>
      </c>
      <c r="C5589" s="2" t="s">
        <v>3</v>
      </c>
      <c r="D5589" s="2" t="s">
        <v>3</v>
      </c>
      <c r="E5589" s="2">
        <v>2242</v>
      </c>
      <c r="F5589" s="2" t="s">
        <v>3</v>
      </c>
      <c r="G5589" s="2" t="s">
        <v>3</v>
      </c>
      <c r="H5589" s="2" t="s">
        <v>3</v>
      </c>
      <c r="I5589" s="2" t="s">
        <v>3</v>
      </c>
    </row>
    <row r="5590" spans="1:9" hidden="1" x14ac:dyDescent="0.3">
      <c r="A5590" t="s">
        <v>82</v>
      </c>
      <c r="B5590" s="1">
        <v>44166</v>
      </c>
      <c r="C5590" s="2" t="s">
        <v>3</v>
      </c>
      <c r="D5590" s="2" t="s">
        <v>3</v>
      </c>
      <c r="E5590" s="2">
        <v>2242</v>
      </c>
      <c r="F5590" s="2" t="s">
        <v>3</v>
      </c>
      <c r="G5590" s="2" t="s">
        <v>3</v>
      </c>
      <c r="H5590" s="2" t="s">
        <v>3</v>
      </c>
      <c r="I5590" s="2" t="s">
        <v>3</v>
      </c>
    </row>
    <row r="5591" spans="1:9" hidden="1" x14ac:dyDescent="0.3">
      <c r="A5591" t="s">
        <v>82</v>
      </c>
      <c r="B5591" s="1">
        <v>44136</v>
      </c>
      <c r="C5591" s="2" t="s">
        <v>3</v>
      </c>
      <c r="D5591" s="2" t="s">
        <v>3</v>
      </c>
      <c r="E5591" s="2">
        <v>2244</v>
      </c>
      <c r="F5591" s="2" t="s">
        <v>3</v>
      </c>
      <c r="G5591" s="2" t="s">
        <v>3</v>
      </c>
      <c r="H5591" s="2" t="s">
        <v>3</v>
      </c>
      <c r="I5591" s="2" t="s">
        <v>3</v>
      </c>
    </row>
    <row r="5592" spans="1:9" hidden="1" x14ac:dyDescent="0.3">
      <c r="A5592" t="s">
        <v>82</v>
      </c>
      <c r="B5592" s="1">
        <v>44105</v>
      </c>
      <c r="C5592" s="2" t="s">
        <v>3</v>
      </c>
      <c r="D5592" s="2" t="s">
        <v>3</v>
      </c>
      <c r="E5592" s="2">
        <v>2244</v>
      </c>
      <c r="F5592" s="2" t="s">
        <v>3</v>
      </c>
      <c r="G5592" s="2" t="s">
        <v>3</v>
      </c>
      <c r="H5592" s="2" t="s">
        <v>3</v>
      </c>
      <c r="I5592" s="2" t="s">
        <v>3</v>
      </c>
    </row>
    <row r="5593" spans="1:9" hidden="1" x14ac:dyDescent="0.3">
      <c r="A5593" t="s">
        <v>82</v>
      </c>
      <c r="B5593" s="1">
        <v>44075</v>
      </c>
      <c r="C5593" s="2" t="s">
        <v>3</v>
      </c>
      <c r="D5593" s="2" t="s">
        <v>3</v>
      </c>
      <c r="E5593" s="2">
        <v>2243</v>
      </c>
      <c r="F5593" s="2" t="s">
        <v>3</v>
      </c>
      <c r="G5593" s="2" t="s">
        <v>3</v>
      </c>
      <c r="H5593" s="2" t="s">
        <v>3</v>
      </c>
      <c r="I5593" s="2" t="s">
        <v>3</v>
      </c>
    </row>
    <row r="5594" spans="1:9" hidden="1" x14ac:dyDescent="0.3">
      <c r="A5594" t="s">
        <v>82</v>
      </c>
      <c r="B5594" s="1">
        <v>44044</v>
      </c>
      <c r="C5594" s="2" t="s">
        <v>3</v>
      </c>
      <c r="D5594" s="2" t="s">
        <v>3</v>
      </c>
      <c r="E5594" s="2">
        <v>2238</v>
      </c>
      <c r="F5594" s="2" t="s">
        <v>3</v>
      </c>
      <c r="G5594" s="2" t="s">
        <v>3</v>
      </c>
      <c r="H5594" s="2" t="s">
        <v>3</v>
      </c>
      <c r="I5594" s="2" t="s">
        <v>3</v>
      </c>
    </row>
    <row r="5595" spans="1:9" hidden="1" x14ac:dyDescent="0.3">
      <c r="A5595" t="s">
        <v>82</v>
      </c>
      <c r="B5595" s="1">
        <v>44013</v>
      </c>
      <c r="C5595" s="2" t="s">
        <v>3</v>
      </c>
      <c r="D5595" s="2" t="s">
        <v>3</v>
      </c>
      <c r="E5595" s="2">
        <v>2238</v>
      </c>
      <c r="F5595" s="2" t="s">
        <v>3</v>
      </c>
      <c r="G5595" s="2" t="s">
        <v>3</v>
      </c>
      <c r="H5595" s="2" t="s">
        <v>3</v>
      </c>
      <c r="I5595" s="2" t="s">
        <v>3</v>
      </c>
    </row>
    <row r="5596" spans="1:9" hidden="1" x14ac:dyDescent="0.3">
      <c r="A5596" t="s">
        <v>82</v>
      </c>
      <c r="B5596" s="1">
        <v>43983</v>
      </c>
      <c r="C5596" s="2" t="s">
        <v>3</v>
      </c>
      <c r="D5596" s="2" t="s">
        <v>3</v>
      </c>
      <c r="E5596" s="2">
        <v>2351</v>
      </c>
      <c r="F5596" s="2" t="s">
        <v>3</v>
      </c>
      <c r="G5596" s="2" t="s">
        <v>3</v>
      </c>
      <c r="H5596" s="2" t="s">
        <v>3</v>
      </c>
      <c r="I5596" s="2" t="s">
        <v>3</v>
      </c>
    </row>
    <row r="5597" spans="1:9" hidden="1" x14ac:dyDescent="0.3">
      <c r="A5597" t="s">
        <v>82</v>
      </c>
      <c r="B5597" s="1">
        <v>43952</v>
      </c>
      <c r="C5597" s="2" t="s">
        <v>3</v>
      </c>
      <c r="D5597" s="2" t="s">
        <v>3</v>
      </c>
      <c r="E5597" s="2">
        <v>2235</v>
      </c>
      <c r="F5597" s="2" t="s">
        <v>3</v>
      </c>
      <c r="G5597" s="2" t="s">
        <v>3</v>
      </c>
      <c r="H5597" s="2" t="s">
        <v>3</v>
      </c>
      <c r="I5597" s="2" t="s">
        <v>3</v>
      </c>
    </row>
    <row r="5598" spans="1:9" hidden="1" x14ac:dyDescent="0.3">
      <c r="A5598" t="s">
        <v>82</v>
      </c>
      <c r="B5598" s="1">
        <v>43922</v>
      </c>
      <c r="C5598" s="2" t="s">
        <v>3</v>
      </c>
      <c r="D5598" s="2" t="s">
        <v>3</v>
      </c>
      <c r="E5598" s="2">
        <v>2231</v>
      </c>
      <c r="F5598" s="2" t="s">
        <v>3</v>
      </c>
      <c r="G5598" s="2" t="s">
        <v>3</v>
      </c>
      <c r="H5598" s="2" t="s">
        <v>3</v>
      </c>
      <c r="I5598" s="2" t="s">
        <v>3</v>
      </c>
    </row>
    <row r="5599" spans="1:9" hidden="1" x14ac:dyDescent="0.3">
      <c r="A5599" t="s">
        <v>82</v>
      </c>
      <c r="B5599" s="1">
        <v>43891</v>
      </c>
      <c r="C5599" s="2" t="s">
        <v>3</v>
      </c>
      <c r="D5599" s="2" t="s">
        <v>3</v>
      </c>
      <c r="E5599" s="2">
        <v>2236</v>
      </c>
      <c r="F5599" s="2" t="s">
        <v>3</v>
      </c>
      <c r="G5599" s="2" t="s">
        <v>3</v>
      </c>
      <c r="H5599" s="2" t="s">
        <v>3</v>
      </c>
      <c r="I5599" s="2" t="s">
        <v>3</v>
      </c>
    </row>
    <row r="5600" spans="1:9" hidden="1" x14ac:dyDescent="0.3">
      <c r="A5600" t="s">
        <v>82</v>
      </c>
      <c r="B5600" s="1">
        <v>43862</v>
      </c>
      <c r="C5600" s="2" t="s">
        <v>3</v>
      </c>
      <c r="D5600" s="2" t="s">
        <v>3</v>
      </c>
      <c r="E5600" s="2">
        <v>2207</v>
      </c>
      <c r="F5600" s="2" t="s">
        <v>3</v>
      </c>
      <c r="G5600" s="2" t="s">
        <v>3</v>
      </c>
      <c r="H5600" s="2" t="s">
        <v>3</v>
      </c>
      <c r="I5600" s="2" t="s">
        <v>3</v>
      </c>
    </row>
    <row r="5601" spans="1:9" hidden="1" x14ac:dyDescent="0.3">
      <c r="A5601" t="s">
        <v>82</v>
      </c>
      <c r="B5601" s="1">
        <v>43831</v>
      </c>
      <c r="C5601" s="2" t="s">
        <v>3</v>
      </c>
      <c r="D5601" s="2" t="s">
        <v>3</v>
      </c>
      <c r="E5601" s="2">
        <v>2192</v>
      </c>
      <c r="F5601" s="2" t="s">
        <v>3</v>
      </c>
      <c r="G5601" s="2" t="s">
        <v>3</v>
      </c>
      <c r="H5601" s="2" t="s">
        <v>3</v>
      </c>
      <c r="I5601" s="2" t="s">
        <v>3</v>
      </c>
    </row>
    <row r="5602" spans="1:9" x14ac:dyDescent="0.3">
      <c r="A5602" t="s">
        <v>83</v>
      </c>
      <c r="B5602" s="1">
        <v>45931</v>
      </c>
      <c r="C5602" s="2">
        <v>49747</v>
      </c>
      <c r="D5602" s="2">
        <v>5146</v>
      </c>
      <c r="E5602" s="2">
        <v>38433</v>
      </c>
      <c r="F5602" s="2">
        <v>922</v>
      </c>
      <c r="G5602" s="2">
        <v>-790</v>
      </c>
      <c r="H5602" s="2">
        <v>11314</v>
      </c>
      <c r="I5602" s="2">
        <v>4224</v>
      </c>
    </row>
    <row r="5603" spans="1:9" x14ac:dyDescent="0.3">
      <c r="A5603" t="s">
        <v>83</v>
      </c>
      <c r="B5603" s="1">
        <v>45901</v>
      </c>
      <c r="C5603" s="2">
        <v>47261</v>
      </c>
      <c r="D5603" s="2">
        <v>-6947</v>
      </c>
      <c r="E5603" s="2">
        <v>40171</v>
      </c>
      <c r="F5603" s="2">
        <v>-1192</v>
      </c>
      <c r="G5603" s="2">
        <v>-120</v>
      </c>
      <c r="H5603" s="2">
        <v>7090</v>
      </c>
      <c r="I5603" s="2">
        <v>-5755</v>
      </c>
    </row>
    <row r="5604" spans="1:9" x14ac:dyDescent="0.3">
      <c r="A5604" t="s">
        <v>83</v>
      </c>
      <c r="B5604" s="1">
        <v>45870</v>
      </c>
      <c r="C5604" s="2">
        <v>54533</v>
      </c>
      <c r="D5604" s="2">
        <v>4444</v>
      </c>
      <c r="E5604" s="2">
        <v>41688</v>
      </c>
      <c r="F5604" s="2">
        <v>1325</v>
      </c>
      <c r="G5604" s="2">
        <v>-692</v>
      </c>
      <c r="H5604" s="2">
        <v>12845</v>
      </c>
      <c r="I5604" s="2">
        <v>3119</v>
      </c>
    </row>
    <row r="5605" spans="1:9" x14ac:dyDescent="0.3">
      <c r="A5605" t="s">
        <v>83</v>
      </c>
      <c r="B5605" s="1">
        <v>45839</v>
      </c>
      <c r="C5605" s="2">
        <v>50116</v>
      </c>
      <c r="D5605" s="2">
        <v>1791</v>
      </c>
      <c r="E5605" s="2">
        <v>40390</v>
      </c>
      <c r="F5605" s="2">
        <v>1691</v>
      </c>
      <c r="G5605" s="2">
        <v>-221</v>
      </c>
      <c r="H5605" s="2">
        <v>9726</v>
      </c>
      <c r="I5605" s="2">
        <v>100</v>
      </c>
    </row>
    <row r="5606" spans="1:9" x14ac:dyDescent="0.3">
      <c r="A5606" t="s">
        <v>83</v>
      </c>
      <c r="B5606" s="1">
        <v>45809</v>
      </c>
      <c r="C5606" s="2">
        <v>48800</v>
      </c>
      <c r="D5606" s="2">
        <v>1546</v>
      </c>
      <c r="E5606" s="2">
        <v>39174</v>
      </c>
      <c r="F5606" s="2">
        <v>380</v>
      </c>
      <c r="G5606" s="2">
        <v>-736</v>
      </c>
      <c r="H5606" s="2">
        <v>9626</v>
      </c>
      <c r="I5606" s="2">
        <v>1166</v>
      </c>
    </row>
    <row r="5607" spans="1:9" x14ac:dyDescent="0.3">
      <c r="A5607" t="s">
        <v>83</v>
      </c>
      <c r="B5607" s="1">
        <v>45778</v>
      </c>
      <c r="C5607" s="2">
        <v>47275</v>
      </c>
      <c r="D5607" s="2">
        <v>-1085</v>
      </c>
      <c r="E5607" s="2">
        <v>38815</v>
      </c>
      <c r="F5607" s="2">
        <v>26</v>
      </c>
      <c r="G5607" s="2">
        <v>-1103</v>
      </c>
      <c r="H5607" s="2">
        <v>8460</v>
      </c>
      <c r="I5607" s="2">
        <v>-1111</v>
      </c>
    </row>
    <row r="5608" spans="1:9" x14ac:dyDescent="0.3">
      <c r="A5608" t="s">
        <v>83</v>
      </c>
      <c r="B5608" s="1">
        <v>45748</v>
      </c>
      <c r="C5608" s="2">
        <v>49547</v>
      </c>
      <c r="D5608" s="2">
        <v>103</v>
      </c>
      <c r="E5608" s="2">
        <v>39976</v>
      </c>
      <c r="F5608" s="2">
        <v>500</v>
      </c>
      <c r="G5608" s="2">
        <v>333</v>
      </c>
      <c r="H5608" s="2">
        <v>9571</v>
      </c>
      <c r="I5608" s="2">
        <v>-397</v>
      </c>
    </row>
    <row r="5609" spans="1:9" x14ac:dyDescent="0.3">
      <c r="A5609" t="s">
        <v>83</v>
      </c>
      <c r="B5609" s="1">
        <v>45717</v>
      </c>
      <c r="C5609" s="2">
        <v>48617</v>
      </c>
      <c r="D5609" s="2">
        <v>80</v>
      </c>
      <c r="E5609" s="2">
        <v>38649</v>
      </c>
      <c r="F5609" s="2">
        <v>1051</v>
      </c>
      <c r="G5609" s="2">
        <v>205</v>
      </c>
      <c r="H5609" s="2">
        <v>9968</v>
      </c>
      <c r="I5609" s="2">
        <v>-971</v>
      </c>
    </row>
    <row r="5610" spans="1:9" x14ac:dyDescent="0.3">
      <c r="A5610" t="s">
        <v>83</v>
      </c>
      <c r="B5610" s="1">
        <v>45689</v>
      </c>
      <c r="C5610" s="2">
        <v>48352</v>
      </c>
      <c r="D5610" s="2">
        <v>365</v>
      </c>
      <c r="E5610" s="2">
        <v>37413</v>
      </c>
      <c r="F5610" s="2">
        <v>19</v>
      </c>
      <c r="G5610" s="2">
        <v>-631</v>
      </c>
      <c r="H5610" s="2">
        <v>10939</v>
      </c>
      <c r="I5610" s="2">
        <v>346</v>
      </c>
    </row>
    <row r="5611" spans="1:9" x14ac:dyDescent="0.3">
      <c r="A5611" t="s">
        <v>83</v>
      </c>
      <c r="B5611" s="1">
        <v>45658</v>
      </c>
      <c r="C5611" s="2">
        <v>48804</v>
      </c>
      <c r="D5611" s="2">
        <v>3359</v>
      </c>
      <c r="E5611" s="2">
        <v>38211</v>
      </c>
      <c r="F5611" s="2">
        <v>326</v>
      </c>
      <c r="G5611" s="2">
        <v>-1010</v>
      </c>
      <c r="H5611" s="2">
        <v>10593</v>
      </c>
      <c r="I5611" s="2">
        <v>3033</v>
      </c>
    </row>
    <row r="5612" spans="1:9" x14ac:dyDescent="0.3">
      <c r="A5612" t="s">
        <v>83</v>
      </c>
      <c r="B5612" s="1">
        <v>45627</v>
      </c>
      <c r="C5612" s="2">
        <v>46189</v>
      </c>
      <c r="D5612" s="2">
        <v>-1117</v>
      </c>
      <c r="E5612" s="2">
        <v>38629</v>
      </c>
      <c r="F5612" s="2">
        <v>345</v>
      </c>
      <c r="G5612" s="2">
        <v>-1227</v>
      </c>
      <c r="H5612" s="2">
        <v>7560</v>
      </c>
      <c r="I5612" s="2">
        <v>-1462</v>
      </c>
    </row>
    <row r="5613" spans="1:9" x14ac:dyDescent="0.3">
      <c r="A5613" t="s">
        <v>83</v>
      </c>
      <c r="B5613" s="1">
        <v>45597</v>
      </c>
      <c r="C5613" s="2">
        <v>47321</v>
      </c>
      <c r="D5613" s="2">
        <v>-821</v>
      </c>
      <c r="E5613" s="2">
        <v>38299</v>
      </c>
      <c r="F5613" s="2">
        <v>2005</v>
      </c>
      <c r="G5613" s="2">
        <v>-1632</v>
      </c>
      <c r="H5613" s="2">
        <v>9022</v>
      </c>
      <c r="I5613" s="2">
        <v>-2826</v>
      </c>
    </row>
    <row r="5614" spans="1:9" x14ac:dyDescent="0.3">
      <c r="A5614" t="s">
        <v>83</v>
      </c>
      <c r="B5614" s="1">
        <v>45566</v>
      </c>
      <c r="C5614" s="2">
        <v>48561</v>
      </c>
      <c r="D5614" s="2">
        <v>1438</v>
      </c>
      <c r="E5614" s="2">
        <v>36713</v>
      </c>
      <c r="F5614" s="2">
        <v>364</v>
      </c>
      <c r="G5614" s="2">
        <v>-1686</v>
      </c>
      <c r="H5614" s="2">
        <v>11848</v>
      </c>
      <c r="I5614" s="2">
        <v>1074</v>
      </c>
    </row>
    <row r="5615" spans="1:9" x14ac:dyDescent="0.3">
      <c r="A5615" t="s">
        <v>83</v>
      </c>
      <c r="B5615" s="1">
        <v>45536</v>
      </c>
      <c r="C5615" s="2">
        <v>47762</v>
      </c>
      <c r="D5615" s="2">
        <v>1262</v>
      </c>
      <c r="E5615" s="2">
        <v>36988</v>
      </c>
      <c r="F5615" s="2">
        <v>525</v>
      </c>
      <c r="G5615" s="2">
        <v>-769</v>
      </c>
      <c r="H5615" s="2">
        <v>10774</v>
      </c>
      <c r="I5615" s="2">
        <v>737</v>
      </c>
    </row>
    <row r="5616" spans="1:9" x14ac:dyDescent="0.3">
      <c r="A5616" t="s">
        <v>83</v>
      </c>
      <c r="B5616" s="1">
        <v>45505</v>
      </c>
      <c r="C5616" s="2">
        <v>46541</v>
      </c>
      <c r="D5616" s="2">
        <v>-784</v>
      </c>
      <c r="E5616" s="2">
        <v>36504</v>
      </c>
      <c r="F5616" s="2">
        <v>999</v>
      </c>
      <c r="G5616" s="2">
        <v>389</v>
      </c>
      <c r="H5616" s="2">
        <v>10037</v>
      </c>
      <c r="I5616" s="2">
        <v>-1783</v>
      </c>
    </row>
    <row r="5617" spans="1:9" x14ac:dyDescent="0.3">
      <c r="A5617" t="s">
        <v>83</v>
      </c>
      <c r="B5617" s="1">
        <v>45474</v>
      </c>
      <c r="C5617" s="2">
        <v>46831</v>
      </c>
      <c r="D5617" s="2">
        <v>1981</v>
      </c>
      <c r="E5617" s="2">
        <v>35011</v>
      </c>
      <c r="F5617" s="2">
        <v>319</v>
      </c>
      <c r="G5617" s="2">
        <v>222</v>
      </c>
      <c r="H5617" s="2">
        <v>11820</v>
      </c>
      <c r="I5617" s="2">
        <v>1662</v>
      </c>
    </row>
    <row r="5618" spans="1:9" x14ac:dyDescent="0.3">
      <c r="A5618" t="s">
        <v>83</v>
      </c>
      <c r="B5618" s="1">
        <v>45444</v>
      </c>
      <c r="C5618" s="2">
        <v>44843</v>
      </c>
      <c r="D5618" s="2">
        <v>788</v>
      </c>
      <c r="E5618" s="2">
        <v>34685</v>
      </c>
      <c r="F5618" s="2">
        <v>665</v>
      </c>
      <c r="G5618" s="2">
        <v>118</v>
      </c>
      <c r="H5618" s="2">
        <v>10158</v>
      </c>
      <c r="I5618" s="2">
        <v>123</v>
      </c>
    </row>
    <row r="5619" spans="1:9" x14ac:dyDescent="0.3">
      <c r="A5619" t="s">
        <v>83</v>
      </c>
      <c r="B5619" s="1">
        <v>45413</v>
      </c>
      <c r="C5619" s="2">
        <v>43960</v>
      </c>
      <c r="D5619" s="2">
        <v>775</v>
      </c>
      <c r="E5619" s="2">
        <v>33925</v>
      </c>
      <c r="F5619" s="2">
        <v>-496</v>
      </c>
      <c r="G5619" s="2">
        <v>-52</v>
      </c>
      <c r="H5619" s="2">
        <v>10035</v>
      </c>
      <c r="I5619" s="2">
        <v>1271</v>
      </c>
    </row>
    <row r="5620" spans="1:9" x14ac:dyDescent="0.3">
      <c r="A5620" t="s">
        <v>83</v>
      </c>
      <c r="B5620" s="1">
        <v>45383</v>
      </c>
      <c r="C5620" s="2">
        <v>43053</v>
      </c>
      <c r="D5620" s="2">
        <v>-466</v>
      </c>
      <c r="E5620" s="2">
        <v>34289</v>
      </c>
      <c r="F5620" s="2">
        <v>-870</v>
      </c>
      <c r="G5620" s="2">
        <v>-298</v>
      </c>
      <c r="H5620" s="2">
        <v>8764</v>
      </c>
      <c r="I5620" s="2">
        <v>404</v>
      </c>
    </row>
    <row r="5621" spans="1:9" x14ac:dyDescent="0.3">
      <c r="A5621" t="s">
        <v>83</v>
      </c>
      <c r="B5621" s="1">
        <v>45352</v>
      </c>
      <c r="C5621" s="2">
        <v>44379</v>
      </c>
      <c r="D5621" s="2">
        <v>-1565</v>
      </c>
      <c r="E5621" s="2">
        <v>36019</v>
      </c>
      <c r="F5621" s="2">
        <v>433</v>
      </c>
      <c r="G5621" s="2">
        <v>69</v>
      </c>
      <c r="H5621" s="2">
        <v>8360</v>
      </c>
      <c r="I5621" s="2">
        <v>-1998</v>
      </c>
    </row>
    <row r="5622" spans="1:9" x14ac:dyDescent="0.3">
      <c r="A5622" t="s">
        <v>83</v>
      </c>
      <c r="B5622" s="1">
        <v>45323</v>
      </c>
      <c r="C5622" s="2">
        <v>46441</v>
      </c>
      <c r="D5622" s="2">
        <v>3300</v>
      </c>
      <c r="E5622" s="2">
        <v>36083</v>
      </c>
      <c r="F5622" s="2">
        <v>1251</v>
      </c>
      <c r="G5622" s="2">
        <v>-258</v>
      </c>
      <c r="H5622" s="2">
        <v>10358</v>
      </c>
      <c r="I5622" s="2">
        <v>2049</v>
      </c>
    </row>
    <row r="5623" spans="1:9" x14ac:dyDescent="0.3">
      <c r="A5623" t="s">
        <v>83</v>
      </c>
      <c r="B5623" s="1">
        <v>45292</v>
      </c>
      <c r="C5623" s="2">
        <v>43316</v>
      </c>
      <c r="D5623" s="2">
        <v>-2406</v>
      </c>
      <c r="E5623" s="2">
        <v>35007</v>
      </c>
      <c r="F5623" s="2">
        <v>-982</v>
      </c>
      <c r="G5623" s="2">
        <v>-537</v>
      </c>
      <c r="H5623" s="2">
        <v>8309</v>
      </c>
      <c r="I5623" s="2">
        <v>-1424</v>
      </c>
    </row>
    <row r="5624" spans="1:9" x14ac:dyDescent="0.3">
      <c r="A5624" t="s">
        <v>83</v>
      </c>
      <c r="B5624" s="1">
        <v>45261</v>
      </c>
      <c r="C5624" s="2">
        <v>45254</v>
      </c>
      <c r="D5624" s="2">
        <v>-1044</v>
      </c>
      <c r="E5624" s="2">
        <v>35521</v>
      </c>
      <c r="F5624" s="2">
        <v>99</v>
      </c>
      <c r="G5624" s="2">
        <v>216</v>
      </c>
      <c r="H5624" s="2">
        <v>9733</v>
      </c>
      <c r="I5624" s="2">
        <v>-1143</v>
      </c>
    </row>
    <row r="5625" spans="1:9" x14ac:dyDescent="0.3">
      <c r="A5625" t="s">
        <v>83</v>
      </c>
      <c r="B5625" s="1">
        <v>45231</v>
      </c>
      <c r="C5625" s="2">
        <v>45615</v>
      </c>
      <c r="D5625" s="2">
        <v>-123</v>
      </c>
      <c r="E5625" s="2">
        <v>34739</v>
      </c>
      <c r="F5625" s="2">
        <v>-241</v>
      </c>
      <c r="G5625" s="2">
        <v>-529</v>
      </c>
      <c r="H5625" s="2">
        <v>10876</v>
      </c>
      <c r="I5625" s="2">
        <v>118</v>
      </c>
    </row>
    <row r="5626" spans="1:9" x14ac:dyDescent="0.3">
      <c r="A5626" t="s">
        <v>83</v>
      </c>
      <c r="B5626" s="1">
        <v>45200</v>
      </c>
      <c r="C5626" s="2">
        <v>46644</v>
      </c>
      <c r="D5626" s="2">
        <v>1241</v>
      </c>
      <c r="E5626" s="2">
        <v>35886</v>
      </c>
      <c r="F5626" s="2">
        <v>-300</v>
      </c>
      <c r="G5626" s="2">
        <v>-203</v>
      </c>
      <c r="H5626" s="2">
        <v>10758</v>
      </c>
      <c r="I5626" s="2">
        <v>1541</v>
      </c>
    </row>
    <row r="5627" spans="1:9" x14ac:dyDescent="0.3">
      <c r="A5627" t="s">
        <v>83</v>
      </c>
      <c r="B5627" s="1">
        <v>45170</v>
      </c>
      <c r="C5627" s="2">
        <v>46538</v>
      </c>
      <c r="D5627" s="2">
        <v>1181</v>
      </c>
      <c r="E5627" s="2">
        <v>37321</v>
      </c>
      <c r="F5627" s="2">
        <v>635</v>
      </c>
      <c r="G5627" s="2">
        <v>-21</v>
      </c>
      <c r="H5627" s="2">
        <v>9217</v>
      </c>
      <c r="I5627" s="2">
        <v>546</v>
      </c>
    </row>
    <row r="5628" spans="1:9" x14ac:dyDescent="0.3">
      <c r="A5628" t="s">
        <v>83</v>
      </c>
      <c r="B5628" s="1">
        <v>45139</v>
      </c>
      <c r="C5628" s="2">
        <v>45765</v>
      </c>
      <c r="D5628" s="2">
        <v>212</v>
      </c>
      <c r="E5628" s="2">
        <v>37094</v>
      </c>
      <c r="F5628" s="2">
        <v>1060</v>
      </c>
      <c r="G5628" s="2">
        <v>-980</v>
      </c>
      <c r="H5628" s="2">
        <v>8671</v>
      </c>
      <c r="I5628" s="2">
        <v>-848</v>
      </c>
    </row>
    <row r="5629" spans="1:9" x14ac:dyDescent="0.3">
      <c r="A5629" t="s">
        <v>83</v>
      </c>
      <c r="B5629" s="1">
        <v>45108</v>
      </c>
      <c r="C5629" s="2">
        <v>47206</v>
      </c>
      <c r="D5629" s="2">
        <v>1362</v>
      </c>
      <c r="E5629" s="2">
        <v>37687</v>
      </c>
      <c r="F5629" s="2">
        <v>-208</v>
      </c>
      <c r="G5629" s="2">
        <v>358</v>
      </c>
      <c r="H5629" s="2">
        <v>9519</v>
      </c>
      <c r="I5629" s="2">
        <v>1570</v>
      </c>
    </row>
    <row r="5630" spans="1:9" x14ac:dyDescent="0.3">
      <c r="A5630" t="s">
        <v>83</v>
      </c>
      <c r="B5630" s="1">
        <v>45078</v>
      </c>
      <c r="C5630" s="2">
        <v>46218</v>
      </c>
      <c r="D5630" s="2">
        <v>949</v>
      </c>
      <c r="E5630" s="2">
        <v>38269</v>
      </c>
      <c r="F5630" s="2">
        <v>1011</v>
      </c>
      <c r="G5630" s="2">
        <v>1007</v>
      </c>
      <c r="H5630" s="2">
        <v>7949</v>
      </c>
      <c r="I5630" s="2">
        <v>-62</v>
      </c>
    </row>
    <row r="5631" spans="1:9" x14ac:dyDescent="0.3">
      <c r="A5631" t="s">
        <v>83</v>
      </c>
      <c r="B5631" s="1">
        <v>45047</v>
      </c>
      <c r="C5631" s="2">
        <v>44070</v>
      </c>
      <c r="D5631" s="2">
        <v>-190</v>
      </c>
      <c r="E5631" s="2">
        <v>36059</v>
      </c>
      <c r="F5631" s="2">
        <v>959</v>
      </c>
      <c r="G5631" s="2">
        <v>254</v>
      </c>
      <c r="H5631" s="2">
        <v>8011</v>
      </c>
      <c r="I5631" s="2">
        <v>-1149</v>
      </c>
    </row>
    <row r="5632" spans="1:9" x14ac:dyDescent="0.3">
      <c r="A5632" t="s">
        <v>83</v>
      </c>
      <c r="B5632" s="1">
        <v>45017</v>
      </c>
      <c r="C5632" s="2">
        <v>44609</v>
      </c>
      <c r="D5632" s="2">
        <v>-1060</v>
      </c>
      <c r="E5632" s="2">
        <v>35449</v>
      </c>
      <c r="F5632" s="2">
        <v>156</v>
      </c>
      <c r="G5632" s="2">
        <v>234</v>
      </c>
      <c r="H5632" s="2">
        <v>9160</v>
      </c>
      <c r="I5632" s="2">
        <v>-1216</v>
      </c>
    </row>
    <row r="5633" spans="1:9" x14ac:dyDescent="0.3">
      <c r="A5633" t="s">
        <v>83</v>
      </c>
      <c r="B5633" s="1">
        <v>44986</v>
      </c>
      <c r="C5633" s="2">
        <v>46319</v>
      </c>
      <c r="D5633" s="2">
        <v>1034</v>
      </c>
      <c r="E5633" s="2">
        <v>35943</v>
      </c>
      <c r="F5633" s="2">
        <v>-21</v>
      </c>
      <c r="G5633" s="2">
        <v>617</v>
      </c>
      <c r="H5633" s="2">
        <v>10376</v>
      </c>
      <c r="I5633" s="2">
        <v>1055</v>
      </c>
    </row>
    <row r="5634" spans="1:9" x14ac:dyDescent="0.3">
      <c r="A5634" t="s">
        <v>83</v>
      </c>
      <c r="B5634" s="1">
        <v>44958</v>
      </c>
      <c r="C5634" s="2">
        <v>44550</v>
      </c>
      <c r="D5634" s="2">
        <v>-2542</v>
      </c>
      <c r="E5634" s="2">
        <v>35229</v>
      </c>
      <c r="F5634" s="2">
        <v>-1114</v>
      </c>
      <c r="G5634" s="2">
        <v>-73</v>
      </c>
      <c r="H5634" s="2">
        <v>9321</v>
      </c>
      <c r="I5634" s="2">
        <v>-1428</v>
      </c>
    </row>
    <row r="5635" spans="1:9" hidden="1" x14ac:dyDescent="0.3">
      <c r="A5635" t="s">
        <v>83</v>
      </c>
      <c r="B5635" s="1">
        <v>44927</v>
      </c>
      <c r="C5635" s="2">
        <v>47940</v>
      </c>
      <c r="D5635" s="2" t="s">
        <v>3</v>
      </c>
      <c r="E5635" s="2">
        <v>37191</v>
      </c>
      <c r="F5635" s="2" t="s">
        <v>3</v>
      </c>
      <c r="G5635" s="2" t="s">
        <v>3</v>
      </c>
      <c r="H5635" s="2">
        <v>10749</v>
      </c>
      <c r="I5635" s="2">
        <v>1459</v>
      </c>
    </row>
    <row r="5636" spans="1:9" hidden="1" x14ac:dyDescent="0.3">
      <c r="A5636" t="s">
        <v>83</v>
      </c>
      <c r="B5636" s="1">
        <v>44896</v>
      </c>
      <c r="C5636" s="2">
        <v>46380</v>
      </c>
      <c r="D5636" s="2" t="s">
        <v>3</v>
      </c>
      <c r="E5636" s="2">
        <v>37090</v>
      </c>
      <c r="F5636" s="2" t="s">
        <v>3</v>
      </c>
      <c r="G5636" s="2" t="s">
        <v>3</v>
      </c>
      <c r="H5636" s="2">
        <v>9290</v>
      </c>
      <c r="I5636" s="2">
        <v>-2061</v>
      </c>
    </row>
    <row r="5637" spans="1:9" hidden="1" x14ac:dyDescent="0.3">
      <c r="A5637" t="s">
        <v>83</v>
      </c>
      <c r="B5637" s="1">
        <v>44866</v>
      </c>
      <c r="C5637" s="2">
        <v>47674</v>
      </c>
      <c r="D5637" s="2" t="s">
        <v>3</v>
      </c>
      <c r="E5637" s="2">
        <v>36323</v>
      </c>
      <c r="F5637" s="2" t="s">
        <v>3</v>
      </c>
      <c r="G5637" s="2" t="s">
        <v>3</v>
      </c>
      <c r="H5637" s="2">
        <v>11351</v>
      </c>
      <c r="I5637" s="2">
        <v>-627</v>
      </c>
    </row>
    <row r="5638" spans="1:9" hidden="1" x14ac:dyDescent="0.3">
      <c r="A5638" t="s">
        <v>83</v>
      </c>
      <c r="B5638" s="1">
        <v>44835</v>
      </c>
      <c r="C5638" s="2">
        <v>49552</v>
      </c>
      <c r="D5638" s="2" t="s">
        <v>3</v>
      </c>
      <c r="E5638" s="2">
        <v>37574</v>
      </c>
      <c r="F5638" s="2" t="s">
        <v>3</v>
      </c>
      <c r="G5638" s="2" t="s">
        <v>3</v>
      </c>
      <c r="H5638" s="2">
        <v>11978</v>
      </c>
      <c r="I5638" s="2">
        <v>923</v>
      </c>
    </row>
    <row r="5639" spans="1:9" hidden="1" x14ac:dyDescent="0.3">
      <c r="A5639" t="s">
        <v>83</v>
      </c>
      <c r="B5639" s="1">
        <v>44805</v>
      </c>
      <c r="C5639" s="2">
        <v>50876</v>
      </c>
      <c r="D5639" s="2" t="s">
        <v>3</v>
      </c>
      <c r="E5639" s="2">
        <v>39821</v>
      </c>
      <c r="F5639" s="2" t="s">
        <v>3</v>
      </c>
      <c r="G5639" s="2" t="s">
        <v>3</v>
      </c>
      <c r="H5639" s="2">
        <v>11055</v>
      </c>
      <c r="I5639" s="2">
        <v>1279</v>
      </c>
    </row>
    <row r="5640" spans="1:9" hidden="1" x14ac:dyDescent="0.3">
      <c r="A5640" t="s">
        <v>83</v>
      </c>
      <c r="B5640" s="1">
        <v>44774</v>
      </c>
      <c r="C5640" s="2">
        <v>49541</v>
      </c>
      <c r="D5640" s="2" t="s">
        <v>3</v>
      </c>
      <c r="E5640" s="2">
        <v>39765</v>
      </c>
      <c r="F5640" s="2" t="s">
        <v>3</v>
      </c>
      <c r="G5640" s="2" t="s">
        <v>3</v>
      </c>
      <c r="H5640" s="2">
        <v>9776</v>
      </c>
      <c r="I5640" s="2">
        <v>-345</v>
      </c>
    </row>
    <row r="5641" spans="1:9" hidden="1" x14ac:dyDescent="0.3">
      <c r="A5641" t="s">
        <v>83</v>
      </c>
      <c r="B5641" s="1">
        <v>44743</v>
      </c>
      <c r="C5641" s="2">
        <v>49855</v>
      </c>
      <c r="D5641" s="2" t="s">
        <v>3</v>
      </c>
      <c r="E5641" s="2">
        <v>39734</v>
      </c>
      <c r="F5641" s="2" t="s">
        <v>3</v>
      </c>
      <c r="G5641" s="2" t="s">
        <v>3</v>
      </c>
      <c r="H5641" s="2">
        <v>10121</v>
      </c>
      <c r="I5641" s="2">
        <v>320</v>
      </c>
    </row>
    <row r="5642" spans="1:9" hidden="1" x14ac:dyDescent="0.3">
      <c r="A5642" t="s">
        <v>83</v>
      </c>
      <c r="B5642" s="1">
        <v>44713</v>
      </c>
      <c r="C5642" s="2">
        <v>48703</v>
      </c>
      <c r="D5642" s="2" t="s">
        <v>3</v>
      </c>
      <c r="E5642" s="2">
        <v>38902</v>
      </c>
      <c r="F5642" s="2" t="s">
        <v>3</v>
      </c>
      <c r="G5642" s="2" t="s">
        <v>3</v>
      </c>
      <c r="H5642" s="2">
        <v>9801</v>
      </c>
      <c r="I5642" s="2">
        <v>-184</v>
      </c>
    </row>
    <row r="5643" spans="1:9" hidden="1" x14ac:dyDescent="0.3">
      <c r="A5643" t="s">
        <v>83</v>
      </c>
      <c r="B5643" s="1">
        <v>44682</v>
      </c>
      <c r="C5643" s="2">
        <v>47429</v>
      </c>
      <c r="D5643" s="2" t="s">
        <v>3</v>
      </c>
      <c r="E5643" s="2">
        <v>37444</v>
      </c>
      <c r="F5643" s="2" t="s">
        <v>3</v>
      </c>
      <c r="G5643" s="2" t="s">
        <v>3</v>
      </c>
      <c r="H5643" s="2">
        <v>9985</v>
      </c>
      <c r="I5643" s="2">
        <v>-659</v>
      </c>
    </row>
    <row r="5644" spans="1:9" hidden="1" x14ac:dyDescent="0.3">
      <c r="A5644" t="s">
        <v>83</v>
      </c>
      <c r="B5644" s="1">
        <v>44652</v>
      </c>
      <c r="C5644" s="2">
        <v>49319</v>
      </c>
      <c r="D5644" s="2" t="s">
        <v>3</v>
      </c>
      <c r="E5644" s="2">
        <v>38675</v>
      </c>
      <c r="F5644" s="2" t="s">
        <v>3</v>
      </c>
      <c r="G5644" s="2" t="s">
        <v>3</v>
      </c>
      <c r="H5644" s="2">
        <v>10644</v>
      </c>
      <c r="I5644" s="2">
        <v>-293</v>
      </c>
    </row>
    <row r="5645" spans="1:9" hidden="1" x14ac:dyDescent="0.3">
      <c r="A5645" t="s">
        <v>83</v>
      </c>
      <c r="B5645" s="1">
        <v>44621</v>
      </c>
      <c r="C5645" s="2">
        <v>49562</v>
      </c>
      <c r="D5645" s="2" t="s">
        <v>3</v>
      </c>
      <c r="E5645" s="2">
        <v>38625</v>
      </c>
      <c r="F5645" s="2" t="s">
        <v>3</v>
      </c>
      <c r="G5645" s="2" t="s">
        <v>3</v>
      </c>
      <c r="H5645" s="2">
        <v>10937</v>
      </c>
      <c r="I5645" s="2">
        <v>-6236</v>
      </c>
    </row>
    <row r="5646" spans="1:9" hidden="1" x14ac:dyDescent="0.3">
      <c r="A5646" t="s">
        <v>83</v>
      </c>
      <c r="B5646" s="1">
        <v>44593</v>
      </c>
      <c r="C5646" s="2">
        <v>56673</v>
      </c>
      <c r="D5646" s="2" t="s">
        <v>3</v>
      </c>
      <c r="E5646" s="2">
        <v>39500</v>
      </c>
      <c r="F5646" s="2" t="s">
        <v>3</v>
      </c>
      <c r="G5646" s="2" t="s">
        <v>3</v>
      </c>
      <c r="H5646" s="2">
        <v>17173</v>
      </c>
      <c r="I5646" s="2">
        <v>-3938</v>
      </c>
    </row>
    <row r="5647" spans="1:9" hidden="1" x14ac:dyDescent="0.3">
      <c r="A5647" t="s">
        <v>83</v>
      </c>
      <c r="B5647" s="1">
        <v>44562</v>
      </c>
      <c r="C5647" s="2">
        <v>54041</v>
      </c>
      <c r="D5647" s="2" t="s">
        <v>3</v>
      </c>
      <c r="E5647" s="2">
        <v>32930</v>
      </c>
      <c r="F5647" s="2" t="s">
        <v>3</v>
      </c>
      <c r="G5647" s="2" t="s">
        <v>3</v>
      </c>
      <c r="H5647" s="2">
        <v>21111</v>
      </c>
      <c r="I5647" s="2">
        <v>942</v>
      </c>
    </row>
    <row r="5648" spans="1:9" hidden="1" x14ac:dyDescent="0.3">
      <c r="A5648" t="s">
        <v>83</v>
      </c>
      <c r="B5648" s="1">
        <v>44531</v>
      </c>
      <c r="C5648" s="2">
        <v>58443</v>
      </c>
      <c r="D5648" s="2" t="s">
        <v>3</v>
      </c>
      <c r="E5648" s="2">
        <v>38274</v>
      </c>
      <c r="F5648" s="2" t="s">
        <v>3</v>
      </c>
      <c r="G5648" s="2" t="s">
        <v>3</v>
      </c>
      <c r="H5648" s="2">
        <v>20169</v>
      </c>
      <c r="I5648" s="2">
        <v>2057</v>
      </c>
    </row>
    <row r="5649" spans="1:9" hidden="1" x14ac:dyDescent="0.3">
      <c r="A5649" t="s">
        <v>83</v>
      </c>
      <c r="B5649" s="1">
        <v>44501</v>
      </c>
      <c r="C5649" s="2">
        <v>58703</v>
      </c>
      <c r="D5649" s="2" t="s">
        <v>3</v>
      </c>
      <c r="E5649" s="2">
        <v>40591</v>
      </c>
      <c r="F5649" s="2" t="s">
        <v>3</v>
      </c>
      <c r="G5649" s="2" t="s">
        <v>3</v>
      </c>
      <c r="H5649" s="2">
        <v>18112</v>
      </c>
      <c r="I5649" s="2">
        <v>-821</v>
      </c>
    </row>
    <row r="5650" spans="1:9" hidden="1" x14ac:dyDescent="0.3">
      <c r="A5650" t="s">
        <v>83</v>
      </c>
      <c r="B5650" s="1">
        <v>44470</v>
      </c>
      <c r="C5650" s="2">
        <v>60348</v>
      </c>
      <c r="D5650" s="2" t="s">
        <v>3</v>
      </c>
      <c r="E5650" s="2">
        <v>41415</v>
      </c>
      <c r="F5650" s="2" t="s">
        <v>3</v>
      </c>
      <c r="G5650" s="2" t="s">
        <v>3</v>
      </c>
      <c r="H5650" s="2">
        <v>18933</v>
      </c>
      <c r="I5650" s="2">
        <v>-2008</v>
      </c>
    </row>
    <row r="5651" spans="1:9" hidden="1" x14ac:dyDescent="0.3">
      <c r="A5651" t="s">
        <v>83</v>
      </c>
      <c r="B5651" s="1">
        <v>44440</v>
      </c>
      <c r="C5651" s="2">
        <v>62077</v>
      </c>
      <c r="D5651" s="2" t="s">
        <v>3</v>
      </c>
      <c r="E5651" s="2">
        <v>41136</v>
      </c>
      <c r="F5651" s="2" t="s">
        <v>3</v>
      </c>
      <c r="G5651" s="2" t="s">
        <v>3</v>
      </c>
      <c r="H5651" s="2">
        <v>20941</v>
      </c>
      <c r="I5651" s="2">
        <v>-354</v>
      </c>
    </row>
    <row r="5652" spans="1:9" hidden="1" x14ac:dyDescent="0.3">
      <c r="A5652" t="s">
        <v>83</v>
      </c>
      <c r="B5652" s="1">
        <v>44409</v>
      </c>
      <c r="C5652" s="2">
        <v>62818</v>
      </c>
      <c r="D5652" s="2" t="s">
        <v>3</v>
      </c>
      <c r="E5652" s="2">
        <v>41523</v>
      </c>
      <c r="F5652" s="2" t="s">
        <v>3</v>
      </c>
      <c r="G5652" s="2" t="s">
        <v>3</v>
      </c>
      <c r="H5652" s="2">
        <v>21295</v>
      </c>
      <c r="I5652" s="2">
        <v>-2258</v>
      </c>
    </row>
    <row r="5653" spans="1:9" hidden="1" x14ac:dyDescent="0.3">
      <c r="A5653" t="s">
        <v>83</v>
      </c>
      <c r="B5653" s="1">
        <v>44378</v>
      </c>
      <c r="C5653" s="2">
        <v>64485</v>
      </c>
      <c r="D5653" s="2" t="s">
        <v>3</v>
      </c>
      <c r="E5653" s="2">
        <v>40932</v>
      </c>
      <c r="F5653" s="2" t="s">
        <v>3</v>
      </c>
      <c r="G5653" s="2" t="s">
        <v>3</v>
      </c>
      <c r="H5653" s="2">
        <v>23553</v>
      </c>
      <c r="I5653" s="2">
        <v>-1504</v>
      </c>
    </row>
    <row r="5654" spans="1:9" hidden="1" x14ac:dyDescent="0.3">
      <c r="A5654" t="s">
        <v>83</v>
      </c>
      <c r="B5654" s="1">
        <v>44348</v>
      </c>
      <c r="C5654" s="2">
        <v>62932</v>
      </c>
      <c r="D5654" s="2" t="s">
        <v>3</v>
      </c>
      <c r="E5654" s="2">
        <v>37875</v>
      </c>
      <c r="F5654" s="2" t="s">
        <v>3</v>
      </c>
      <c r="G5654" s="2" t="s">
        <v>3</v>
      </c>
      <c r="H5654" s="2">
        <v>25057</v>
      </c>
      <c r="I5654" s="2">
        <v>-1239</v>
      </c>
    </row>
    <row r="5655" spans="1:9" hidden="1" x14ac:dyDescent="0.3">
      <c r="A5655" t="s">
        <v>83</v>
      </c>
      <c r="B5655" s="1">
        <v>44317</v>
      </c>
      <c r="C5655" s="2">
        <v>63083</v>
      </c>
      <c r="D5655" s="2" t="s">
        <v>3</v>
      </c>
      <c r="E5655" s="2">
        <v>36787</v>
      </c>
      <c r="F5655" s="2" t="s">
        <v>3</v>
      </c>
      <c r="G5655" s="2" t="s">
        <v>3</v>
      </c>
      <c r="H5655" s="2">
        <v>26296</v>
      </c>
      <c r="I5655" s="2">
        <v>444</v>
      </c>
    </row>
    <row r="5656" spans="1:9" hidden="1" x14ac:dyDescent="0.3">
      <c r="A5656" t="s">
        <v>83</v>
      </c>
      <c r="B5656" s="1">
        <v>44287</v>
      </c>
      <c r="C5656" s="2">
        <v>63592</v>
      </c>
      <c r="D5656" s="2" t="s">
        <v>3</v>
      </c>
      <c r="E5656" s="2">
        <v>37740</v>
      </c>
      <c r="F5656" s="2" t="s">
        <v>3</v>
      </c>
      <c r="G5656" s="2" t="s">
        <v>3</v>
      </c>
      <c r="H5656" s="2">
        <v>25852</v>
      </c>
      <c r="I5656" s="2">
        <v>-2433</v>
      </c>
    </row>
    <row r="5657" spans="1:9" hidden="1" x14ac:dyDescent="0.3">
      <c r="A5657" t="s">
        <v>83</v>
      </c>
      <c r="B5657" s="1">
        <v>44256</v>
      </c>
      <c r="C5657" s="2">
        <v>64296</v>
      </c>
      <c r="D5657" s="2" t="s">
        <v>3</v>
      </c>
      <c r="E5657" s="2">
        <v>36011</v>
      </c>
      <c r="F5657" s="2" t="s">
        <v>3</v>
      </c>
      <c r="G5657" s="2" t="s">
        <v>3</v>
      </c>
      <c r="H5657" s="2">
        <v>28285</v>
      </c>
      <c r="I5657" s="2">
        <v>787</v>
      </c>
    </row>
    <row r="5658" spans="1:9" hidden="1" x14ac:dyDescent="0.3">
      <c r="A5658" t="s">
        <v>83</v>
      </c>
      <c r="B5658" s="1">
        <v>44228</v>
      </c>
      <c r="C5658" s="2">
        <v>63151</v>
      </c>
      <c r="D5658" s="2" t="s">
        <v>3</v>
      </c>
      <c r="E5658" s="2">
        <v>35653</v>
      </c>
      <c r="F5658" s="2" t="s">
        <v>3</v>
      </c>
      <c r="G5658" s="2" t="s">
        <v>3</v>
      </c>
      <c r="H5658" s="2">
        <v>27498</v>
      </c>
      <c r="I5658" s="2">
        <v>-1130</v>
      </c>
    </row>
    <row r="5659" spans="1:9" hidden="1" x14ac:dyDescent="0.3">
      <c r="A5659" t="s">
        <v>83</v>
      </c>
      <c r="B5659" s="1">
        <v>44197</v>
      </c>
      <c r="C5659" s="2">
        <v>64371</v>
      </c>
      <c r="D5659" s="2" t="s">
        <v>3</v>
      </c>
      <c r="E5659" s="2">
        <v>35743</v>
      </c>
      <c r="F5659" s="2" t="s">
        <v>3</v>
      </c>
      <c r="G5659" s="2" t="s">
        <v>3</v>
      </c>
      <c r="H5659" s="2">
        <v>28628</v>
      </c>
      <c r="I5659" s="2">
        <v>3288</v>
      </c>
    </row>
    <row r="5660" spans="1:9" hidden="1" x14ac:dyDescent="0.3">
      <c r="A5660" t="s">
        <v>83</v>
      </c>
      <c r="B5660" s="1">
        <v>44166</v>
      </c>
      <c r="C5660" s="2">
        <v>64338</v>
      </c>
      <c r="D5660" s="2" t="s">
        <v>3</v>
      </c>
      <c r="E5660" s="2">
        <v>38998</v>
      </c>
      <c r="F5660" s="2" t="s">
        <v>3</v>
      </c>
      <c r="G5660" s="2" t="s">
        <v>3</v>
      </c>
      <c r="H5660" s="2">
        <v>25340</v>
      </c>
      <c r="I5660" s="2">
        <v>363</v>
      </c>
    </row>
    <row r="5661" spans="1:9" hidden="1" x14ac:dyDescent="0.3">
      <c r="A5661" t="s">
        <v>83</v>
      </c>
      <c r="B5661" s="1">
        <v>44136</v>
      </c>
      <c r="C5661" s="2">
        <v>61902</v>
      </c>
      <c r="D5661" s="2" t="s">
        <v>3</v>
      </c>
      <c r="E5661" s="2">
        <v>36925</v>
      </c>
      <c r="F5661" s="2" t="s">
        <v>3</v>
      </c>
      <c r="G5661" s="2" t="s">
        <v>3</v>
      </c>
      <c r="H5661" s="2">
        <v>24977</v>
      </c>
      <c r="I5661" s="2">
        <v>730</v>
      </c>
    </row>
    <row r="5662" spans="1:9" hidden="1" x14ac:dyDescent="0.3">
      <c r="A5662" t="s">
        <v>83</v>
      </c>
      <c r="B5662" s="1">
        <v>44105</v>
      </c>
      <c r="C5662" s="2">
        <v>61806</v>
      </c>
      <c r="D5662" s="2" t="s">
        <v>3</v>
      </c>
      <c r="E5662" s="2">
        <v>37559</v>
      </c>
      <c r="F5662" s="2" t="s">
        <v>3</v>
      </c>
      <c r="G5662" s="2" t="s">
        <v>3</v>
      </c>
      <c r="H5662" s="2">
        <v>24247</v>
      </c>
      <c r="I5662" s="2">
        <v>442</v>
      </c>
    </row>
    <row r="5663" spans="1:9" hidden="1" x14ac:dyDescent="0.3">
      <c r="A5663" t="s">
        <v>83</v>
      </c>
      <c r="B5663" s="1">
        <v>44075</v>
      </c>
      <c r="C5663" s="2">
        <v>61866</v>
      </c>
      <c r="D5663" s="2" t="s">
        <v>3</v>
      </c>
      <c r="E5663" s="2">
        <v>38061</v>
      </c>
      <c r="F5663" s="2" t="s">
        <v>3</v>
      </c>
      <c r="G5663" s="2" t="s">
        <v>3</v>
      </c>
      <c r="H5663" s="2">
        <v>23805</v>
      </c>
      <c r="I5663" s="2">
        <v>1011</v>
      </c>
    </row>
    <row r="5664" spans="1:9" hidden="1" x14ac:dyDescent="0.3">
      <c r="A5664" t="s">
        <v>83</v>
      </c>
      <c r="B5664" s="1">
        <v>44044</v>
      </c>
      <c r="C5664" s="2">
        <v>60628</v>
      </c>
      <c r="D5664" s="2" t="s">
        <v>3</v>
      </c>
      <c r="E5664" s="2">
        <v>37834</v>
      </c>
      <c r="F5664" s="2" t="s">
        <v>3</v>
      </c>
      <c r="G5664" s="2" t="s">
        <v>3</v>
      </c>
      <c r="H5664" s="2">
        <v>22794</v>
      </c>
      <c r="I5664" s="2">
        <v>395</v>
      </c>
    </row>
    <row r="5665" spans="1:9" hidden="1" x14ac:dyDescent="0.3">
      <c r="A5665" t="s">
        <v>83</v>
      </c>
      <c r="B5665" s="1">
        <v>44013</v>
      </c>
      <c r="C5665" s="2">
        <v>61386</v>
      </c>
      <c r="D5665" s="2" t="s">
        <v>3</v>
      </c>
      <c r="E5665" s="2">
        <v>38987</v>
      </c>
      <c r="F5665" s="2" t="s">
        <v>3</v>
      </c>
      <c r="G5665" s="2" t="s">
        <v>3</v>
      </c>
      <c r="H5665" s="2">
        <v>22399</v>
      </c>
      <c r="I5665" s="2">
        <v>1313</v>
      </c>
    </row>
    <row r="5666" spans="1:9" hidden="1" x14ac:dyDescent="0.3">
      <c r="A5666" t="s">
        <v>83</v>
      </c>
      <c r="B5666" s="1">
        <v>43983</v>
      </c>
      <c r="C5666" s="2">
        <v>59573</v>
      </c>
      <c r="D5666" s="2" t="s">
        <v>3</v>
      </c>
      <c r="E5666" s="2">
        <v>38487</v>
      </c>
      <c r="F5666" s="2" t="s">
        <v>3</v>
      </c>
      <c r="G5666" s="2" t="s">
        <v>3</v>
      </c>
      <c r="H5666" s="2">
        <v>21086</v>
      </c>
      <c r="I5666" s="2">
        <v>993</v>
      </c>
    </row>
    <row r="5667" spans="1:9" hidden="1" x14ac:dyDescent="0.3">
      <c r="A5667" t="s">
        <v>83</v>
      </c>
      <c r="B5667" s="1">
        <v>43952</v>
      </c>
      <c r="C5667" s="2">
        <v>57805</v>
      </c>
      <c r="D5667" s="2" t="s">
        <v>3</v>
      </c>
      <c r="E5667" s="2">
        <v>37712</v>
      </c>
      <c r="F5667" s="2" t="s">
        <v>3</v>
      </c>
      <c r="G5667" s="2" t="s">
        <v>3</v>
      </c>
      <c r="H5667" s="2">
        <v>20093</v>
      </c>
      <c r="I5667" s="2">
        <v>-640</v>
      </c>
    </row>
    <row r="5668" spans="1:9" hidden="1" x14ac:dyDescent="0.3">
      <c r="A5668" t="s">
        <v>83</v>
      </c>
      <c r="B5668" s="1">
        <v>43922</v>
      </c>
      <c r="C5668" s="2">
        <v>58009</v>
      </c>
      <c r="D5668" s="2" t="s">
        <v>3</v>
      </c>
      <c r="E5668" s="2">
        <v>37276</v>
      </c>
      <c r="F5668" s="2" t="s">
        <v>3</v>
      </c>
      <c r="G5668" s="2" t="s">
        <v>3</v>
      </c>
      <c r="H5668" s="2">
        <v>20733</v>
      </c>
      <c r="I5668" s="2">
        <v>-6378</v>
      </c>
    </row>
    <row r="5669" spans="1:9" hidden="1" x14ac:dyDescent="0.3">
      <c r="A5669" t="s">
        <v>83</v>
      </c>
      <c r="B5669" s="1">
        <v>43891</v>
      </c>
      <c r="C5669" s="2">
        <v>68845</v>
      </c>
      <c r="D5669" s="2" t="s">
        <v>3</v>
      </c>
      <c r="E5669" s="2">
        <v>41734</v>
      </c>
      <c r="F5669" s="2" t="s">
        <v>3</v>
      </c>
      <c r="G5669" s="2" t="s">
        <v>3</v>
      </c>
      <c r="H5669" s="2">
        <v>27111</v>
      </c>
      <c r="I5669" s="2">
        <v>-120</v>
      </c>
    </row>
    <row r="5670" spans="1:9" hidden="1" x14ac:dyDescent="0.3">
      <c r="A5670" t="s">
        <v>83</v>
      </c>
      <c r="B5670" s="1">
        <v>43862</v>
      </c>
      <c r="C5670" s="2">
        <v>67967</v>
      </c>
      <c r="D5670" s="2" t="s">
        <v>3</v>
      </c>
      <c r="E5670" s="2">
        <v>40736</v>
      </c>
      <c r="F5670" s="2" t="s">
        <v>3</v>
      </c>
      <c r="G5670" s="2" t="s">
        <v>3</v>
      </c>
      <c r="H5670" s="2">
        <v>27231</v>
      </c>
      <c r="I5670" s="2">
        <v>1109</v>
      </c>
    </row>
    <row r="5671" spans="1:9" hidden="1" x14ac:dyDescent="0.3">
      <c r="A5671" t="s">
        <v>83</v>
      </c>
      <c r="B5671" s="1">
        <v>43831</v>
      </c>
      <c r="C5671" s="2">
        <v>64886</v>
      </c>
      <c r="D5671" s="2" t="s">
        <v>3</v>
      </c>
      <c r="E5671" s="2">
        <v>38764</v>
      </c>
      <c r="F5671" s="2" t="s">
        <v>3</v>
      </c>
      <c r="G5671" s="2" t="s">
        <v>3</v>
      </c>
      <c r="H5671" s="2">
        <v>26122</v>
      </c>
      <c r="I5671" s="2">
        <v>3371</v>
      </c>
    </row>
    <row r="5672" spans="1:9" x14ac:dyDescent="0.3">
      <c r="A5672" t="s">
        <v>84</v>
      </c>
      <c r="B5672" s="1">
        <v>45931</v>
      </c>
      <c r="C5672" s="2">
        <v>74191</v>
      </c>
      <c r="D5672" s="2">
        <v>3336</v>
      </c>
      <c r="E5672" s="2">
        <v>65605</v>
      </c>
      <c r="F5672" s="2">
        <v>4570</v>
      </c>
      <c r="G5672" s="2">
        <v>-1038</v>
      </c>
      <c r="H5672" s="2">
        <v>8586</v>
      </c>
      <c r="I5672" s="2">
        <v>-1234</v>
      </c>
    </row>
    <row r="5673" spans="1:9" x14ac:dyDescent="0.3">
      <c r="A5673" t="s">
        <v>84</v>
      </c>
      <c r="B5673" s="1">
        <v>45901</v>
      </c>
      <c r="C5673" s="2">
        <v>72116</v>
      </c>
      <c r="D5673" s="2">
        <v>4393</v>
      </c>
      <c r="E5673" s="2">
        <v>62296</v>
      </c>
      <c r="F5673" s="2">
        <v>2719</v>
      </c>
      <c r="G5673" s="2">
        <v>29</v>
      </c>
      <c r="H5673" s="2">
        <v>9820</v>
      </c>
      <c r="I5673" s="2">
        <v>1674</v>
      </c>
    </row>
    <row r="5674" spans="1:9" x14ac:dyDescent="0.3">
      <c r="A5674" t="s">
        <v>84</v>
      </c>
      <c r="B5674" s="1">
        <v>45870</v>
      </c>
      <c r="C5674" s="2">
        <v>67447</v>
      </c>
      <c r="D5674" s="2">
        <v>-5179</v>
      </c>
      <c r="E5674" s="2">
        <v>59301</v>
      </c>
      <c r="F5674" s="2">
        <v>-4397</v>
      </c>
      <c r="G5674" s="2">
        <v>791</v>
      </c>
      <c r="H5674" s="2">
        <v>8146</v>
      </c>
      <c r="I5674" s="2">
        <v>-782</v>
      </c>
    </row>
    <row r="5675" spans="1:9" x14ac:dyDescent="0.3">
      <c r="A5675" t="s">
        <v>84</v>
      </c>
      <c r="B5675" s="1">
        <v>45839</v>
      </c>
      <c r="C5675" s="2">
        <v>71087</v>
      </c>
      <c r="D5675" s="2">
        <v>10010</v>
      </c>
      <c r="E5675" s="2">
        <v>62159</v>
      </c>
      <c r="F5675" s="2">
        <v>9370</v>
      </c>
      <c r="G5675" s="2">
        <v>-444</v>
      </c>
      <c r="H5675" s="2">
        <v>8928</v>
      </c>
      <c r="I5675" s="2">
        <v>640</v>
      </c>
    </row>
    <row r="5676" spans="1:9" x14ac:dyDescent="0.3">
      <c r="A5676" t="s">
        <v>84</v>
      </c>
      <c r="B5676" s="1">
        <v>45809</v>
      </c>
      <c r="C5676" s="2">
        <v>61653</v>
      </c>
      <c r="D5676" s="2">
        <v>-2032</v>
      </c>
      <c r="E5676" s="2">
        <v>53365</v>
      </c>
      <c r="F5676" s="2">
        <v>-847</v>
      </c>
      <c r="G5676" s="2">
        <v>839</v>
      </c>
      <c r="H5676" s="2">
        <v>8288</v>
      </c>
      <c r="I5676" s="2">
        <v>-1185</v>
      </c>
    </row>
    <row r="5677" spans="1:9" x14ac:dyDescent="0.3">
      <c r="A5677" t="s">
        <v>84</v>
      </c>
      <c r="B5677" s="1">
        <v>45778</v>
      </c>
      <c r="C5677" s="2">
        <v>62437</v>
      </c>
      <c r="D5677" s="2">
        <v>-3549</v>
      </c>
      <c r="E5677" s="2">
        <v>52964</v>
      </c>
      <c r="F5677" s="2">
        <v>-5195</v>
      </c>
      <c r="G5677" s="2">
        <v>-1518</v>
      </c>
      <c r="H5677" s="2">
        <v>9473</v>
      </c>
      <c r="I5677" s="2">
        <v>1646</v>
      </c>
    </row>
    <row r="5678" spans="1:9" x14ac:dyDescent="0.3">
      <c r="A5678" t="s">
        <v>84</v>
      </c>
      <c r="B5678" s="1">
        <v>45748</v>
      </c>
      <c r="C5678" s="2">
        <v>68249</v>
      </c>
      <c r="D5678" s="2">
        <v>1221</v>
      </c>
      <c r="E5678" s="2">
        <v>60422</v>
      </c>
      <c r="F5678" s="2">
        <v>710</v>
      </c>
      <c r="G5678" s="2">
        <v>153</v>
      </c>
      <c r="H5678" s="2">
        <v>7827</v>
      </c>
      <c r="I5678" s="2">
        <v>511</v>
      </c>
    </row>
    <row r="5679" spans="1:9" x14ac:dyDescent="0.3">
      <c r="A5679" t="s">
        <v>84</v>
      </c>
      <c r="B5679" s="1">
        <v>45717</v>
      </c>
      <c r="C5679" s="2">
        <v>67506</v>
      </c>
      <c r="D5679" s="2">
        <v>-3059</v>
      </c>
      <c r="E5679" s="2">
        <v>60190</v>
      </c>
      <c r="F5679" s="2">
        <v>-2337</v>
      </c>
      <c r="G5679" s="2">
        <v>-716</v>
      </c>
      <c r="H5679" s="2">
        <v>7316</v>
      </c>
      <c r="I5679" s="2">
        <v>-722</v>
      </c>
    </row>
    <row r="5680" spans="1:9" x14ac:dyDescent="0.3">
      <c r="A5680" t="s">
        <v>84</v>
      </c>
      <c r="B5680" s="1">
        <v>45689</v>
      </c>
      <c r="C5680" s="2">
        <v>69784</v>
      </c>
      <c r="D5680" s="2">
        <v>3142</v>
      </c>
      <c r="E5680" s="2">
        <v>61746</v>
      </c>
      <c r="F5680" s="2">
        <v>2752</v>
      </c>
      <c r="G5680" s="2">
        <v>765</v>
      </c>
      <c r="H5680" s="2">
        <v>8038</v>
      </c>
      <c r="I5680" s="2">
        <v>390</v>
      </c>
    </row>
    <row r="5681" spans="1:9" x14ac:dyDescent="0.3">
      <c r="A5681" t="s">
        <v>84</v>
      </c>
      <c r="B5681" s="1">
        <v>45658</v>
      </c>
      <c r="C5681" s="2">
        <v>66429</v>
      </c>
      <c r="D5681" s="2">
        <v>-2799</v>
      </c>
      <c r="E5681" s="2">
        <v>58781</v>
      </c>
      <c r="F5681" s="2">
        <v>-3859</v>
      </c>
      <c r="G5681" s="2">
        <v>546</v>
      </c>
      <c r="H5681" s="2">
        <v>7648</v>
      </c>
      <c r="I5681" s="2">
        <v>1060</v>
      </c>
    </row>
    <row r="5682" spans="1:9" x14ac:dyDescent="0.3">
      <c r="A5682" t="s">
        <v>84</v>
      </c>
      <c r="B5682" s="1">
        <v>45627</v>
      </c>
      <c r="C5682" s="2">
        <v>67314</v>
      </c>
      <c r="D5682" s="2">
        <v>1867</v>
      </c>
      <c r="E5682" s="2">
        <v>60726</v>
      </c>
      <c r="F5682" s="2">
        <v>3022</v>
      </c>
      <c r="G5682" s="2">
        <v>-1785</v>
      </c>
      <c r="H5682" s="2">
        <v>6588</v>
      </c>
      <c r="I5682" s="2">
        <v>-1155</v>
      </c>
    </row>
    <row r="5683" spans="1:9" x14ac:dyDescent="0.3">
      <c r="A5683" t="s">
        <v>84</v>
      </c>
      <c r="B5683" s="1">
        <v>45597</v>
      </c>
      <c r="C5683" s="2">
        <v>67913</v>
      </c>
      <c r="D5683" s="2">
        <v>-5149</v>
      </c>
      <c r="E5683" s="2">
        <v>60170</v>
      </c>
      <c r="F5683" s="2">
        <v>-5253</v>
      </c>
      <c r="G5683" s="2">
        <v>-196</v>
      </c>
      <c r="H5683" s="2">
        <v>7743</v>
      </c>
      <c r="I5683" s="2">
        <v>104</v>
      </c>
    </row>
    <row r="5684" spans="1:9" x14ac:dyDescent="0.3">
      <c r="A5684" t="s">
        <v>84</v>
      </c>
      <c r="B5684" s="1">
        <v>45566</v>
      </c>
      <c r="C5684" s="2">
        <v>71375</v>
      </c>
      <c r="D5684" s="2">
        <v>-961</v>
      </c>
      <c r="E5684" s="2">
        <v>63736</v>
      </c>
      <c r="F5684" s="2">
        <v>-989</v>
      </c>
      <c r="G5684" s="2">
        <v>-534</v>
      </c>
      <c r="H5684" s="2">
        <v>7639</v>
      </c>
      <c r="I5684" s="2">
        <v>28</v>
      </c>
    </row>
    <row r="5685" spans="1:9" x14ac:dyDescent="0.3">
      <c r="A5685" t="s">
        <v>84</v>
      </c>
      <c r="B5685" s="1">
        <v>45536</v>
      </c>
      <c r="C5685" s="2">
        <v>73103</v>
      </c>
      <c r="D5685" s="2">
        <v>969</v>
      </c>
      <c r="E5685" s="2">
        <v>65492</v>
      </c>
      <c r="F5685" s="2">
        <v>1837</v>
      </c>
      <c r="G5685" s="2">
        <v>556</v>
      </c>
      <c r="H5685" s="2">
        <v>7611</v>
      </c>
      <c r="I5685" s="2">
        <v>-868</v>
      </c>
    </row>
    <row r="5686" spans="1:9" x14ac:dyDescent="0.3">
      <c r="A5686" t="s">
        <v>84</v>
      </c>
      <c r="B5686" s="1">
        <v>45505</v>
      </c>
      <c r="C5686" s="2">
        <v>73359</v>
      </c>
      <c r="D5686" s="2">
        <v>-2230</v>
      </c>
      <c r="E5686" s="2">
        <v>64880</v>
      </c>
      <c r="F5686" s="2">
        <v>-5076</v>
      </c>
      <c r="G5686" s="2">
        <v>253</v>
      </c>
      <c r="H5686" s="2">
        <v>8479</v>
      </c>
      <c r="I5686" s="2">
        <v>2846</v>
      </c>
    </row>
    <row r="5687" spans="1:9" x14ac:dyDescent="0.3">
      <c r="A5687" t="s">
        <v>84</v>
      </c>
      <c r="B5687" s="1">
        <v>45474</v>
      </c>
      <c r="C5687" s="2">
        <v>73333</v>
      </c>
      <c r="D5687" s="2">
        <v>6833</v>
      </c>
      <c r="E5687" s="2">
        <v>67700</v>
      </c>
      <c r="F5687" s="2">
        <v>9240</v>
      </c>
      <c r="G5687" s="2">
        <v>1388</v>
      </c>
      <c r="H5687" s="2">
        <v>5633</v>
      </c>
      <c r="I5687" s="2">
        <v>-2407</v>
      </c>
    </row>
    <row r="5688" spans="1:9" x14ac:dyDescent="0.3">
      <c r="A5688" t="s">
        <v>84</v>
      </c>
      <c r="B5688" s="1">
        <v>45444</v>
      </c>
      <c r="C5688" s="2">
        <v>64545</v>
      </c>
      <c r="D5688" s="2">
        <v>694</v>
      </c>
      <c r="E5688" s="2">
        <v>56505</v>
      </c>
      <c r="F5688" s="2">
        <v>59</v>
      </c>
      <c r="G5688" s="2">
        <v>265</v>
      </c>
      <c r="H5688" s="2">
        <v>8040</v>
      </c>
      <c r="I5688" s="2">
        <v>635</v>
      </c>
    </row>
    <row r="5689" spans="1:9" x14ac:dyDescent="0.3">
      <c r="A5689" t="s">
        <v>84</v>
      </c>
      <c r="B5689" s="1">
        <v>45413</v>
      </c>
      <c r="C5689" s="2">
        <v>65124</v>
      </c>
      <c r="D5689" s="2">
        <v>-3615</v>
      </c>
      <c r="E5689" s="2">
        <v>57719</v>
      </c>
      <c r="F5689" s="2">
        <v>-3699</v>
      </c>
      <c r="G5689" s="2">
        <v>713</v>
      </c>
      <c r="H5689" s="2">
        <v>7405</v>
      </c>
      <c r="I5689" s="2">
        <v>84</v>
      </c>
    </row>
    <row r="5690" spans="1:9" x14ac:dyDescent="0.3">
      <c r="A5690" t="s">
        <v>84</v>
      </c>
      <c r="B5690" s="1">
        <v>45383</v>
      </c>
      <c r="C5690" s="2">
        <v>67794</v>
      </c>
      <c r="D5690" s="2">
        <v>3181</v>
      </c>
      <c r="E5690" s="2">
        <v>60473</v>
      </c>
      <c r="F5690" s="2">
        <v>3874</v>
      </c>
      <c r="G5690" s="2">
        <v>-2309</v>
      </c>
      <c r="H5690" s="2">
        <v>7321</v>
      </c>
      <c r="I5690" s="2">
        <v>-693</v>
      </c>
    </row>
    <row r="5691" spans="1:9" x14ac:dyDescent="0.3">
      <c r="A5691" t="s">
        <v>84</v>
      </c>
      <c r="B5691" s="1">
        <v>45352</v>
      </c>
      <c r="C5691" s="2">
        <v>66668</v>
      </c>
      <c r="D5691" s="2">
        <v>-1026</v>
      </c>
      <c r="E5691" s="2">
        <v>58654</v>
      </c>
      <c r="F5691" s="2">
        <v>-354</v>
      </c>
      <c r="G5691" s="2">
        <v>382</v>
      </c>
      <c r="H5691" s="2">
        <v>8014</v>
      </c>
      <c r="I5691" s="2">
        <v>-672</v>
      </c>
    </row>
    <row r="5692" spans="1:9" x14ac:dyDescent="0.3">
      <c r="A5692" t="s">
        <v>84</v>
      </c>
      <c r="B5692" s="1">
        <v>45323</v>
      </c>
      <c r="C5692" s="2">
        <v>68194</v>
      </c>
      <c r="D5692" s="2">
        <v>46</v>
      </c>
      <c r="E5692" s="2">
        <v>59508</v>
      </c>
      <c r="F5692" s="2">
        <v>-289</v>
      </c>
      <c r="G5692" s="2">
        <v>-784</v>
      </c>
      <c r="H5692" s="2">
        <v>8686</v>
      </c>
      <c r="I5692" s="2">
        <v>335</v>
      </c>
    </row>
    <row r="5693" spans="1:9" x14ac:dyDescent="0.3">
      <c r="A5693" t="s">
        <v>84</v>
      </c>
      <c r="B5693" s="1">
        <v>45292</v>
      </c>
      <c r="C5693" s="2">
        <v>67253</v>
      </c>
      <c r="D5693" s="2">
        <v>7337</v>
      </c>
      <c r="E5693" s="2">
        <v>58902</v>
      </c>
      <c r="F5693" s="2">
        <v>11566</v>
      </c>
      <c r="G5693" s="2">
        <v>177</v>
      </c>
      <c r="H5693" s="2">
        <v>8351</v>
      </c>
      <c r="I5693" s="2">
        <v>-4229</v>
      </c>
    </row>
    <row r="5694" spans="1:9" x14ac:dyDescent="0.3">
      <c r="A5694" t="s">
        <v>84</v>
      </c>
      <c r="B5694" s="1">
        <v>45261</v>
      </c>
      <c r="C5694" s="2">
        <v>59723</v>
      </c>
      <c r="D5694" s="2">
        <v>677</v>
      </c>
      <c r="E5694" s="2">
        <v>47143</v>
      </c>
      <c r="F5694" s="2">
        <v>-428</v>
      </c>
      <c r="G5694" s="2">
        <v>1497</v>
      </c>
      <c r="H5694" s="2">
        <v>12580</v>
      </c>
      <c r="I5694" s="2">
        <v>1105</v>
      </c>
    </row>
    <row r="5695" spans="1:9" x14ac:dyDescent="0.3">
      <c r="A5695" t="s">
        <v>84</v>
      </c>
      <c r="B5695" s="1">
        <v>45231</v>
      </c>
      <c r="C5695" s="2">
        <v>56657</v>
      </c>
      <c r="D5695" s="2">
        <v>-397</v>
      </c>
      <c r="E5695" s="2">
        <v>45182</v>
      </c>
      <c r="F5695" s="2">
        <v>93</v>
      </c>
      <c r="G5695" s="2">
        <v>1370</v>
      </c>
      <c r="H5695" s="2">
        <v>11475</v>
      </c>
      <c r="I5695" s="2">
        <v>-490</v>
      </c>
    </row>
    <row r="5696" spans="1:9" x14ac:dyDescent="0.3">
      <c r="A5696" t="s">
        <v>84</v>
      </c>
      <c r="B5696" s="1">
        <v>45200</v>
      </c>
      <c r="C5696" s="2">
        <v>56164</v>
      </c>
      <c r="D5696" s="2">
        <v>-753</v>
      </c>
      <c r="E5696" s="2">
        <v>44199</v>
      </c>
      <c r="F5696" s="2">
        <v>-436</v>
      </c>
      <c r="G5696" s="2">
        <v>-504</v>
      </c>
      <c r="H5696" s="2">
        <v>11965</v>
      </c>
      <c r="I5696" s="2">
        <v>-317</v>
      </c>
    </row>
    <row r="5697" spans="1:9" x14ac:dyDescent="0.3">
      <c r="A5697" t="s">
        <v>84</v>
      </c>
      <c r="B5697" s="1">
        <v>45170</v>
      </c>
      <c r="C5697" s="2">
        <v>55810</v>
      </c>
      <c r="D5697" s="2">
        <v>773</v>
      </c>
      <c r="E5697" s="2">
        <v>43528</v>
      </c>
      <c r="F5697" s="2">
        <v>2948</v>
      </c>
      <c r="G5697" s="2">
        <v>-739</v>
      </c>
      <c r="H5697" s="2">
        <v>12282</v>
      </c>
      <c r="I5697" s="2">
        <v>-2175</v>
      </c>
    </row>
    <row r="5698" spans="1:9" x14ac:dyDescent="0.3">
      <c r="A5698" t="s">
        <v>84</v>
      </c>
      <c r="B5698" s="1">
        <v>45139</v>
      </c>
      <c r="C5698" s="2">
        <v>55784</v>
      </c>
      <c r="D5698" s="2">
        <v>2504</v>
      </c>
      <c r="E5698" s="2">
        <v>41327</v>
      </c>
      <c r="F5698" s="2">
        <v>952</v>
      </c>
      <c r="G5698" s="2">
        <v>-284</v>
      </c>
      <c r="H5698" s="2">
        <v>14457</v>
      </c>
      <c r="I5698" s="2">
        <v>1552</v>
      </c>
    </row>
    <row r="5699" spans="1:9" x14ac:dyDescent="0.3">
      <c r="A5699" t="s">
        <v>84</v>
      </c>
      <c r="B5699" s="1">
        <v>45108</v>
      </c>
      <c r="C5699" s="2">
        <v>53908</v>
      </c>
      <c r="D5699" s="2">
        <v>-3751</v>
      </c>
      <c r="E5699" s="2">
        <v>41003</v>
      </c>
      <c r="F5699" s="2">
        <v>-4137</v>
      </c>
      <c r="G5699" s="2">
        <v>51</v>
      </c>
      <c r="H5699" s="2">
        <v>12905</v>
      </c>
      <c r="I5699" s="2">
        <v>386</v>
      </c>
    </row>
    <row r="5700" spans="1:9" x14ac:dyDescent="0.3">
      <c r="A5700" t="s">
        <v>84</v>
      </c>
      <c r="B5700" s="1">
        <v>45078</v>
      </c>
      <c r="C5700" s="2">
        <v>56458</v>
      </c>
      <c r="D5700" s="2">
        <v>2964</v>
      </c>
      <c r="E5700" s="2">
        <v>43939</v>
      </c>
      <c r="F5700" s="2">
        <v>66</v>
      </c>
      <c r="G5700" s="2">
        <v>142</v>
      </c>
      <c r="H5700" s="2">
        <v>12519</v>
      </c>
      <c r="I5700" s="2">
        <v>2898</v>
      </c>
    </row>
    <row r="5701" spans="1:9" x14ac:dyDescent="0.3">
      <c r="A5701" t="s">
        <v>84</v>
      </c>
      <c r="B5701" s="1">
        <v>45047</v>
      </c>
      <c r="C5701" s="2">
        <v>52845</v>
      </c>
      <c r="D5701" s="2">
        <v>-2236</v>
      </c>
      <c r="E5701" s="2">
        <v>43224</v>
      </c>
      <c r="F5701" s="2">
        <v>-328</v>
      </c>
      <c r="G5701" s="2">
        <v>-654</v>
      </c>
      <c r="H5701" s="2">
        <v>9621</v>
      </c>
      <c r="I5701" s="2">
        <v>-1908</v>
      </c>
    </row>
    <row r="5702" spans="1:9" x14ac:dyDescent="0.3">
      <c r="A5702" t="s">
        <v>84</v>
      </c>
      <c r="B5702" s="1">
        <v>45017</v>
      </c>
      <c r="C5702" s="2">
        <v>59003</v>
      </c>
      <c r="D5702" s="2">
        <v>-915</v>
      </c>
      <c r="E5702" s="2">
        <v>47474</v>
      </c>
      <c r="F5702" s="2">
        <v>-4</v>
      </c>
      <c r="G5702" s="2">
        <v>258</v>
      </c>
      <c r="H5702" s="2">
        <v>11529</v>
      </c>
      <c r="I5702" s="2">
        <v>-911</v>
      </c>
    </row>
    <row r="5703" spans="1:9" x14ac:dyDescent="0.3">
      <c r="A5703" t="s">
        <v>84</v>
      </c>
      <c r="B5703" s="1">
        <v>44986</v>
      </c>
      <c r="C5703" s="2">
        <v>59160</v>
      </c>
      <c r="D5703" s="2">
        <v>-241</v>
      </c>
      <c r="E5703" s="2">
        <v>46720</v>
      </c>
      <c r="F5703" s="2">
        <v>-1022</v>
      </c>
      <c r="G5703" s="2">
        <v>1476</v>
      </c>
      <c r="H5703" s="2">
        <v>12440</v>
      </c>
      <c r="I5703" s="2">
        <v>781</v>
      </c>
    </row>
    <row r="5704" spans="1:9" x14ac:dyDescent="0.3">
      <c r="A5704" t="s">
        <v>84</v>
      </c>
      <c r="B5704" s="1">
        <v>44958</v>
      </c>
      <c r="C5704" s="2">
        <v>57553</v>
      </c>
      <c r="D5704" s="2">
        <v>-1925</v>
      </c>
      <c r="E5704" s="2">
        <v>45894</v>
      </c>
      <c r="F5704" s="2">
        <v>-1446</v>
      </c>
      <c r="G5704" s="2">
        <v>-485</v>
      </c>
      <c r="H5704" s="2">
        <v>11659</v>
      </c>
      <c r="I5704" s="2">
        <v>-479</v>
      </c>
    </row>
    <row r="5705" spans="1:9" hidden="1" x14ac:dyDescent="0.3">
      <c r="A5705" t="s">
        <v>84</v>
      </c>
      <c r="B5705" s="1">
        <v>44927</v>
      </c>
      <c r="C5705" s="2">
        <v>60970</v>
      </c>
      <c r="D5705" s="2" t="s">
        <v>3</v>
      </c>
      <c r="E5705" s="2">
        <v>48832</v>
      </c>
      <c r="F5705" s="2" t="s">
        <v>3</v>
      </c>
      <c r="G5705" s="2" t="s">
        <v>3</v>
      </c>
      <c r="H5705" s="2">
        <v>12138</v>
      </c>
      <c r="I5705" s="2">
        <v>505</v>
      </c>
    </row>
    <row r="5706" spans="1:9" hidden="1" x14ac:dyDescent="0.3">
      <c r="A5706" t="s">
        <v>84</v>
      </c>
      <c r="B5706" s="1">
        <v>44896</v>
      </c>
      <c r="C5706" s="2">
        <v>56444</v>
      </c>
      <c r="D5706" s="2" t="s">
        <v>3</v>
      </c>
      <c r="E5706" s="2">
        <v>44811</v>
      </c>
      <c r="F5706" s="2" t="s">
        <v>3</v>
      </c>
      <c r="G5706" s="2" t="s">
        <v>3</v>
      </c>
      <c r="H5706" s="2">
        <v>11633</v>
      </c>
      <c r="I5706" s="2">
        <v>303</v>
      </c>
    </row>
    <row r="5707" spans="1:9" hidden="1" x14ac:dyDescent="0.3">
      <c r="A5707" t="s">
        <v>84</v>
      </c>
      <c r="B5707" s="1">
        <v>44866</v>
      </c>
      <c r="C5707" s="2">
        <v>58309</v>
      </c>
      <c r="D5707" s="2" t="s">
        <v>3</v>
      </c>
      <c r="E5707" s="2">
        <v>46979</v>
      </c>
      <c r="F5707" s="2" t="s">
        <v>3</v>
      </c>
      <c r="G5707" s="2" t="s">
        <v>3</v>
      </c>
      <c r="H5707" s="2">
        <v>11330</v>
      </c>
      <c r="I5707" s="2">
        <v>6</v>
      </c>
    </row>
    <row r="5708" spans="1:9" hidden="1" x14ac:dyDescent="0.3">
      <c r="A5708" t="s">
        <v>84</v>
      </c>
      <c r="B5708" s="1">
        <v>44835</v>
      </c>
      <c r="C5708" s="2">
        <v>58544</v>
      </c>
      <c r="D5708" s="2" t="s">
        <v>3</v>
      </c>
      <c r="E5708" s="2">
        <v>47220</v>
      </c>
      <c r="F5708" s="2" t="s">
        <v>3</v>
      </c>
      <c r="G5708" s="2" t="s">
        <v>3</v>
      </c>
      <c r="H5708" s="2">
        <v>11324</v>
      </c>
      <c r="I5708" s="2">
        <v>175</v>
      </c>
    </row>
    <row r="5709" spans="1:9" hidden="1" x14ac:dyDescent="0.3">
      <c r="A5709" t="s">
        <v>84</v>
      </c>
      <c r="B5709" s="1">
        <v>44805</v>
      </c>
      <c r="C5709" s="2">
        <v>56253</v>
      </c>
      <c r="D5709" s="2" t="s">
        <v>3</v>
      </c>
      <c r="E5709" s="2">
        <v>45104</v>
      </c>
      <c r="F5709" s="2" t="s">
        <v>3</v>
      </c>
      <c r="G5709" s="2" t="s">
        <v>3</v>
      </c>
      <c r="H5709" s="2">
        <v>11149</v>
      </c>
      <c r="I5709" s="2">
        <v>2060</v>
      </c>
    </row>
    <row r="5710" spans="1:9" hidden="1" x14ac:dyDescent="0.3">
      <c r="A5710" t="s">
        <v>84</v>
      </c>
      <c r="B5710" s="1">
        <v>44774</v>
      </c>
      <c r="C5710" s="2">
        <v>56237</v>
      </c>
      <c r="D5710" s="2" t="s">
        <v>3</v>
      </c>
      <c r="E5710" s="2">
        <v>47148</v>
      </c>
      <c r="F5710" s="2" t="s">
        <v>3</v>
      </c>
      <c r="G5710" s="2" t="s">
        <v>3</v>
      </c>
      <c r="H5710" s="2">
        <v>9089</v>
      </c>
      <c r="I5710" s="2">
        <v>1687</v>
      </c>
    </row>
    <row r="5711" spans="1:9" hidden="1" x14ac:dyDescent="0.3">
      <c r="A5711" t="s">
        <v>84</v>
      </c>
      <c r="B5711" s="1">
        <v>44743</v>
      </c>
      <c r="C5711" s="2">
        <v>56290</v>
      </c>
      <c r="D5711" s="2" t="s">
        <v>3</v>
      </c>
      <c r="E5711" s="2">
        <v>48888</v>
      </c>
      <c r="F5711" s="2" t="s">
        <v>3</v>
      </c>
      <c r="G5711" s="2" t="s">
        <v>3</v>
      </c>
      <c r="H5711" s="2">
        <v>7402</v>
      </c>
      <c r="I5711" s="2">
        <v>370</v>
      </c>
    </row>
    <row r="5712" spans="1:9" hidden="1" x14ac:dyDescent="0.3">
      <c r="A5712" t="s">
        <v>84</v>
      </c>
      <c r="B5712" s="1">
        <v>44713</v>
      </c>
      <c r="C5712" s="2">
        <v>54297</v>
      </c>
      <c r="D5712" s="2" t="s">
        <v>3</v>
      </c>
      <c r="E5712" s="2">
        <v>47265</v>
      </c>
      <c r="F5712" s="2" t="s">
        <v>3</v>
      </c>
      <c r="G5712" s="2" t="s">
        <v>3</v>
      </c>
      <c r="H5712" s="2">
        <v>7032</v>
      </c>
      <c r="I5712" s="2">
        <v>-1032</v>
      </c>
    </row>
    <row r="5713" spans="1:9" hidden="1" x14ac:dyDescent="0.3">
      <c r="A5713" t="s">
        <v>84</v>
      </c>
      <c r="B5713" s="1">
        <v>44682</v>
      </c>
      <c r="C5713" s="2">
        <v>57191</v>
      </c>
      <c r="D5713" s="2" t="s">
        <v>3</v>
      </c>
      <c r="E5713" s="2">
        <v>49127</v>
      </c>
      <c r="F5713" s="2" t="s">
        <v>3</v>
      </c>
      <c r="G5713" s="2" t="s">
        <v>3</v>
      </c>
      <c r="H5713" s="2">
        <v>8064</v>
      </c>
      <c r="I5713" s="2">
        <v>-2184</v>
      </c>
    </row>
    <row r="5714" spans="1:9" hidden="1" x14ac:dyDescent="0.3">
      <c r="A5714" t="s">
        <v>84</v>
      </c>
      <c r="B5714" s="1">
        <v>44652</v>
      </c>
      <c r="C5714" s="2">
        <v>60155</v>
      </c>
      <c r="D5714" s="2" t="s">
        <v>3</v>
      </c>
      <c r="E5714" s="2">
        <v>49907</v>
      </c>
      <c r="F5714" s="2" t="s">
        <v>3</v>
      </c>
      <c r="G5714" s="2" t="s">
        <v>3</v>
      </c>
      <c r="H5714" s="2">
        <v>10248</v>
      </c>
      <c r="I5714" s="2">
        <v>-953</v>
      </c>
    </row>
    <row r="5715" spans="1:9" hidden="1" x14ac:dyDescent="0.3">
      <c r="A5715" t="s">
        <v>84</v>
      </c>
      <c r="B5715" s="1">
        <v>44621</v>
      </c>
      <c r="C5715" s="2">
        <v>59189</v>
      </c>
      <c r="D5715" s="2" t="s">
        <v>3</v>
      </c>
      <c r="E5715" s="2">
        <v>47988</v>
      </c>
      <c r="F5715" s="2" t="s">
        <v>3</v>
      </c>
      <c r="G5715" s="2" t="s">
        <v>3</v>
      </c>
      <c r="H5715" s="2">
        <v>11201</v>
      </c>
      <c r="I5715" s="2">
        <v>-584</v>
      </c>
    </row>
    <row r="5716" spans="1:9" hidden="1" x14ac:dyDescent="0.3">
      <c r="A5716" t="s">
        <v>84</v>
      </c>
      <c r="B5716" s="1">
        <v>44593</v>
      </c>
      <c r="C5716" s="2">
        <v>60611</v>
      </c>
      <c r="D5716" s="2" t="s">
        <v>3</v>
      </c>
      <c r="E5716" s="2">
        <v>48826</v>
      </c>
      <c r="F5716" s="2" t="s">
        <v>3</v>
      </c>
      <c r="G5716" s="2" t="s">
        <v>3</v>
      </c>
      <c r="H5716" s="2">
        <v>11785</v>
      </c>
      <c r="I5716" s="2">
        <v>-494</v>
      </c>
    </row>
    <row r="5717" spans="1:9" hidden="1" x14ac:dyDescent="0.3">
      <c r="A5717" t="s">
        <v>84</v>
      </c>
      <c r="B5717" s="1">
        <v>44562</v>
      </c>
      <c r="C5717" s="2">
        <v>59704</v>
      </c>
      <c r="D5717" s="2" t="s">
        <v>3</v>
      </c>
      <c r="E5717" s="2">
        <v>47425</v>
      </c>
      <c r="F5717" s="2" t="s">
        <v>3</v>
      </c>
      <c r="G5717" s="2" t="s">
        <v>3</v>
      </c>
      <c r="H5717" s="2">
        <v>12279</v>
      </c>
      <c r="I5717" s="2">
        <v>1660</v>
      </c>
    </row>
    <row r="5718" spans="1:9" hidden="1" x14ac:dyDescent="0.3">
      <c r="A5718" t="s">
        <v>84</v>
      </c>
      <c r="B5718" s="1">
        <v>44531</v>
      </c>
      <c r="C5718" s="2">
        <v>56271</v>
      </c>
      <c r="D5718" s="2" t="s">
        <v>3</v>
      </c>
      <c r="E5718" s="2">
        <v>45652</v>
      </c>
      <c r="F5718" s="2" t="s">
        <v>3</v>
      </c>
      <c r="G5718" s="2" t="s">
        <v>3</v>
      </c>
      <c r="H5718" s="2">
        <v>10619</v>
      </c>
      <c r="I5718" s="2">
        <v>509</v>
      </c>
    </row>
    <row r="5719" spans="1:9" hidden="1" x14ac:dyDescent="0.3">
      <c r="A5719" t="s">
        <v>84</v>
      </c>
      <c r="B5719" s="1">
        <v>44501</v>
      </c>
      <c r="C5719" s="2">
        <v>54585</v>
      </c>
      <c r="D5719" s="2" t="s">
        <v>3</v>
      </c>
      <c r="E5719" s="2">
        <v>44475</v>
      </c>
      <c r="F5719" s="2" t="s">
        <v>3</v>
      </c>
      <c r="G5719" s="2" t="s">
        <v>3</v>
      </c>
      <c r="H5719" s="2">
        <v>10110</v>
      </c>
      <c r="I5719" s="2">
        <v>-296</v>
      </c>
    </row>
    <row r="5720" spans="1:9" hidden="1" x14ac:dyDescent="0.3">
      <c r="A5720" t="s">
        <v>84</v>
      </c>
      <c r="B5720" s="1">
        <v>44470</v>
      </c>
      <c r="C5720" s="2">
        <v>53778</v>
      </c>
      <c r="D5720" s="2" t="s">
        <v>3</v>
      </c>
      <c r="E5720" s="2">
        <v>43372</v>
      </c>
      <c r="F5720" s="2" t="s">
        <v>3</v>
      </c>
      <c r="G5720" s="2" t="s">
        <v>3</v>
      </c>
      <c r="H5720" s="2">
        <v>10406</v>
      </c>
      <c r="I5720" s="2">
        <v>1358</v>
      </c>
    </row>
    <row r="5721" spans="1:9" hidden="1" x14ac:dyDescent="0.3">
      <c r="A5721" t="s">
        <v>84</v>
      </c>
      <c r="B5721" s="1">
        <v>44440</v>
      </c>
      <c r="C5721" s="2">
        <v>47792</v>
      </c>
      <c r="D5721" s="2" t="s">
        <v>3</v>
      </c>
      <c r="E5721" s="2">
        <v>38744</v>
      </c>
      <c r="F5721" s="2" t="s">
        <v>3</v>
      </c>
      <c r="G5721" s="2" t="s">
        <v>3</v>
      </c>
      <c r="H5721" s="2">
        <v>9048</v>
      </c>
      <c r="I5721" s="2">
        <v>1141</v>
      </c>
    </row>
    <row r="5722" spans="1:9" hidden="1" x14ac:dyDescent="0.3">
      <c r="A5722" t="s">
        <v>84</v>
      </c>
      <c r="B5722" s="1">
        <v>44409</v>
      </c>
      <c r="C5722" s="2">
        <v>47077</v>
      </c>
      <c r="D5722" s="2" t="s">
        <v>3</v>
      </c>
      <c r="E5722" s="2">
        <v>39170</v>
      </c>
      <c r="F5722" s="2" t="s">
        <v>3</v>
      </c>
      <c r="G5722" s="2" t="s">
        <v>3</v>
      </c>
      <c r="H5722" s="2">
        <v>7907</v>
      </c>
      <c r="I5722" s="2">
        <v>262</v>
      </c>
    </row>
    <row r="5723" spans="1:9" hidden="1" x14ac:dyDescent="0.3">
      <c r="A5723" t="s">
        <v>84</v>
      </c>
      <c r="B5723" s="1">
        <v>44378</v>
      </c>
      <c r="C5723" s="2">
        <v>46297</v>
      </c>
      <c r="D5723" s="2" t="s">
        <v>3</v>
      </c>
      <c r="E5723" s="2">
        <v>38652</v>
      </c>
      <c r="F5723" s="2" t="s">
        <v>3</v>
      </c>
      <c r="G5723" s="2" t="s">
        <v>3</v>
      </c>
      <c r="H5723" s="2">
        <v>7645</v>
      </c>
      <c r="I5723" s="2">
        <v>-294</v>
      </c>
    </row>
    <row r="5724" spans="1:9" hidden="1" x14ac:dyDescent="0.3">
      <c r="A5724" t="s">
        <v>84</v>
      </c>
      <c r="B5724" s="1">
        <v>44348</v>
      </c>
      <c r="C5724" s="2">
        <v>45118</v>
      </c>
      <c r="D5724" s="2" t="s">
        <v>3</v>
      </c>
      <c r="E5724" s="2">
        <v>37179</v>
      </c>
      <c r="F5724" s="2" t="s">
        <v>3</v>
      </c>
      <c r="G5724" s="2" t="s">
        <v>3</v>
      </c>
      <c r="H5724" s="2">
        <v>7939</v>
      </c>
      <c r="I5724" s="2">
        <v>-419</v>
      </c>
    </row>
    <row r="5725" spans="1:9" hidden="1" x14ac:dyDescent="0.3">
      <c r="A5725" t="s">
        <v>84</v>
      </c>
      <c r="B5725" s="1">
        <v>44317</v>
      </c>
      <c r="C5725" s="2">
        <v>45380</v>
      </c>
      <c r="D5725" s="2" t="s">
        <v>3</v>
      </c>
      <c r="E5725" s="2">
        <v>37022</v>
      </c>
      <c r="F5725" s="2" t="s">
        <v>3</v>
      </c>
      <c r="G5725" s="2" t="s">
        <v>3</v>
      </c>
      <c r="H5725" s="2">
        <v>8358</v>
      </c>
      <c r="I5725" s="2">
        <v>1445</v>
      </c>
    </row>
    <row r="5726" spans="1:9" hidden="1" x14ac:dyDescent="0.3">
      <c r="A5726" t="s">
        <v>84</v>
      </c>
      <c r="B5726" s="1">
        <v>44287</v>
      </c>
      <c r="C5726" s="2">
        <v>42877</v>
      </c>
      <c r="D5726" s="2" t="s">
        <v>3</v>
      </c>
      <c r="E5726" s="2">
        <v>35964</v>
      </c>
      <c r="F5726" s="2" t="s">
        <v>3</v>
      </c>
      <c r="G5726" s="2" t="s">
        <v>3</v>
      </c>
      <c r="H5726" s="2">
        <v>6913</v>
      </c>
      <c r="I5726" s="2">
        <v>-156</v>
      </c>
    </row>
    <row r="5727" spans="1:9" hidden="1" x14ac:dyDescent="0.3">
      <c r="A5727" t="s">
        <v>84</v>
      </c>
      <c r="B5727" s="1">
        <v>44256</v>
      </c>
      <c r="C5727" s="2">
        <v>41253</v>
      </c>
      <c r="D5727" s="2" t="s">
        <v>3</v>
      </c>
      <c r="E5727" s="2">
        <v>34184</v>
      </c>
      <c r="F5727" s="2" t="s">
        <v>3</v>
      </c>
      <c r="G5727" s="2" t="s">
        <v>3</v>
      </c>
      <c r="H5727" s="2">
        <v>7069</v>
      </c>
      <c r="I5727" s="2">
        <v>-308</v>
      </c>
    </row>
    <row r="5728" spans="1:9" hidden="1" x14ac:dyDescent="0.3">
      <c r="A5728" t="s">
        <v>84</v>
      </c>
      <c r="B5728" s="1">
        <v>44228</v>
      </c>
      <c r="C5728" s="2">
        <v>40478</v>
      </c>
      <c r="D5728" s="2" t="s">
        <v>3</v>
      </c>
      <c r="E5728" s="2">
        <v>33101</v>
      </c>
      <c r="F5728" s="2" t="s">
        <v>3</v>
      </c>
      <c r="G5728" s="2" t="s">
        <v>3</v>
      </c>
      <c r="H5728" s="2">
        <v>7377</v>
      </c>
      <c r="I5728" s="2">
        <v>-1806</v>
      </c>
    </row>
    <row r="5729" spans="1:9" hidden="1" x14ac:dyDescent="0.3">
      <c r="A5729" t="s">
        <v>84</v>
      </c>
      <c r="B5729" s="1">
        <v>44197</v>
      </c>
      <c r="C5729" s="2">
        <v>41035</v>
      </c>
      <c r="D5729" s="2" t="s">
        <v>3</v>
      </c>
      <c r="E5729" s="2">
        <v>31852</v>
      </c>
      <c r="F5729" s="2" t="s">
        <v>3</v>
      </c>
      <c r="G5729" s="2" t="s">
        <v>3</v>
      </c>
      <c r="H5729" s="2">
        <v>9183</v>
      </c>
      <c r="I5729" s="2">
        <v>1744</v>
      </c>
    </row>
    <row r="5730" spans="1:9" hidden="1" x14ac:dyDescent="0.3">
      <c r="A5730" t="s">
        <v>84</v>
      </c>
      <c r="B5730" s="1">
        <v>44166</v>
      </c>
      <c r="C5730" s="2">
        <v>39788</v>
      </c>
      <c r="D5730" s="2" t="s">
        <v>3</v>
      </c>
      <c r="E5730" s="2">
        <v>32349</v>
      </c>
      <c r="F5730" s="2" t="s">
        <v>3</v>
      </c>
      <c r="G5730" s="2" t="s">
        <v>3</v>
      </c>
      <c r="H5730" s="2">
        <v>7439</v>
      </c>
      <c r="I5730" s="2">
        <v>-2210</v>
      </c>
    </row>
    <row r="5731" spans="1:9" hidden="1" x14ac:dyDescent="0.3">
      <c r="A5731" t="s">
        <v>84</v>
      </c>
      <c r="B5731" s="1">
        <v>44136</v>
      </c>
      <c r="C5731" s="2">
        <v>40637</v>
      </c>
      <c r="D5731" s="2" t="s">
        <v>3</v>
      </c>
      <c r="E5731" s="2">
        <v>30988</v>
      </c>
      <c r="F5731" s="2" t="s">
        <v>3</v>
      </c>
      <c r="G5731" s="2" t="s">
        <v>3</v>
      </c>
      <c r="H5731" s="2">
        <v>9649</v>
      </c>
      <c r="I5731" s="2">
        <v>1222</v>
      </c>
    </row>
    <row r="5732" spans="1:9" hidden="1" x14ac:dyDescent="0.3">
      <c r="A5732" t="s">
        <v>84</v>
      </c>
      <c r="B5732" s="1">
        <v>44105</v>
      </c>
      <c r="C5732" s="2">
        <v>39492</v>
      </c>
      <c r="D5732" s="2" t="s">
        <v>3</v>
      </c>
      <c r="E5732" s="2">
        <v>31065</v>
      </c>
      <c r="F5732" s="2" t="s">
        <v>3</v>
      </c>
      <c r="G5732" s="2" t="s">
        <v>3</v>
      </c>
      <c r="H5732" s="2">
        <v>8427</v>
      </c>
      <c r="I5732" s="2">
        <v>574</v>
      </c>
    </row>
    <row r="5733" spans="1:9" hidden="1" x14ac:dyDescent="0.3">
      <c r="A5733" t="s">
        <v>84</v>
      </c>
      <c r="B5733" s="1">
        <v>44075</v>
      </c>
      <c r="C5733" s="2">
        <v>39327</v>
      </c>
      <c r="D5733" s="2" t="s">
        <v>3</v>
      </c>
      <c r="E5733" s="2">
        <v>31474</v>
      </c>
      <c r="F5733" s="2" t="s">
        <v>3</v>
      </c>
      <c r="G5733" s="2" t="s">
        <v>3</v>
      </c>
      <c r="H5733" s="2">
        <v>7853</v>
      </c>
      <c r="I5733" s="2">
        <v>-870</v>
      </c>
    </row>
    <row r="5734" spans="1:9" hidden="1" x14ac:dyDescent="0.3">
      <c r="A5734" t="s">
        <v>84</v>
      </c>
      <c r="B5734" s="1">
        <v>44044</v>
      </c>
      <c r="C5734" s="2">
        <v>42885</v>
      </c>
      <c r="D5734" s="2" t="s">
        <v>3</v>
      </c>
      <c r="E5734" s="2">
        <v>34162</v>
      </c>
      <c r="F5734" s="2" t="s">
        <v>3</v>
      </c>
      <c r="G5734" s="2" t="s">
        <v>3</v>
      </c>
      <c r="H5734" s="2">
        <v>8723</v>
      </c>
      <c r="I5734" s="2">
        <v>-380</v>
      </c>
    </row>
    <row r="5735" spans="1:9" hidden="1" x14ac:dyDescent="0.3">
      <c r="A5735" t="s">
        <v>84</v>
      </c>
      <c r="B5735" s="1">
        <v>44013</v>
      </c>
      <c r="C5735" s="2">
        <v>43781</v>
      </c>
      <c r="D5735" s="2" t="s">
        <v>3</v>
      </c>
      <c r="E5735" s="2">
        <v>34678</v>
      </c>
      <c r="F5735" s="2" t="s">
        <v>3</v>
      </c>
      <c r="G5735" s="2" t="s">
        <v>3</v>
      </c>
      <c r="H5735" s="2">
        <v>9103</v>
      </c>
      <c r="I5735" s="2">
        <v>-1023</v>
      </c>
    </row>
    <row r="5736" spans="1:9" hidden="1" x14ac:dyDescent="0.3">
      <c r="A5736" t="s">
        <v>84</v>
      </c>
      <c r="B5736" s="1">
        <v>43983</v>
      </c>
      <c r="C5736" s="2">
        <v>42992</v>
      </c>
      <c r="D5736" s="2" t="s">
        <v>3</v>
      </c>
      <c r="E5736" s="2">
        <v>32866</v>
      </c>
      <c r="F5736" s="2" t="s">
        <v>3</v>
      </c>
      <c r="G5736" s="2" t="s">
        <v>3</v>
      </c>
      <c r="H5736" s="2">
        <v>10126</v>
      </c>
      <c r="I5736" s="2">
        <v>388</v>
      </c>
    </row>
    <row r="5737" spans="1:9" hidden="1" x14ac:dyDescent="0.3">
      <c r="A5737" t="s">
        <v>84</v>
      </c>
      <c r="B5737" s="1">
        <v>43952</v>
      </c>
      <c r="C5737" s="2">
        <v>43481</v>
      </c>
      <c r="D5737" s="2" t="s">
        <v>3</v>
      </c>
      <c r="E5737" s="2">
        <v>33743</v>
      </c>
      <c r="F5737" s="2" t="s">
        <v>3</v>
      </c>
      <c r="G5737" s="2" t="s">
        <v>3</v>
      </c>
      <c r="H5737" s="2">
        <v>9738</v>
      </c>
      <c r="I5737" s="2">
        <v>1832</v>
      </c>
    </row>
    <row r="5738" spans="1:9" hidden="1" x14ac:dyDescent="0.3">
      <c r="A5738" t="s">
        <v>84</v>
      </c>
      <c r="B5738" s="1">
        <v>43922</v>
      </c>
      <c r="C5738" s="2">
        <v>44841</v>
      </c>
      <c r="D5738" s="2" t="s">
        <v>3</v>
      </c>
      <c r="E5738" s="2">
        <v>36935</v>
      </c>
      <c r="F5738" s="2" t="s">
        <v>3</v>
      </c>
      <c r="G5738" s="2" t="s">
        <v>3</v>
      </c>
      <c r="H5738" s="2">
        <v>7906</v>
      </c>
      <c r="I5738" s="2">
        <v>2270</v>
      </c>
    </row>
    <row r="5739" spans="1:9" hidden="1" x14ac:dyDescent="0.3">
      <c r="A5739" t="s">
        <v>84</v>
      </c>
      <c r="B5739" s="1">
        <v>43891</v>
      </c>
      <c r="C5739" s="2">
        <v>46283</v>
      </c>
      <c r="D5739" s="2" t="s">
        <v>3</v>
      </c>
      <c r="E5739" s="2">
        <v>40647</v>
      </c>
      <c r="F5739" s="2" t="s">
        <v>3</v>
      </c>
      <c r="G5739" s="2" t="s">
        <v>3</v>
      </c>
      <c r="H5739" s="2">
        <v>5636</v>
      </c>
      <c r="I5739" s="2">
        <v>349</v>
      </c>
    </row>
    <row r="5740" spans="1:9" hidden="1" x14ac:dyDescent="0.3">
      <c r="A5740" t="s">
        <v>84</v>
      </c>
      <c r="B5740" s="1">
        <v>43862</v>
      </c>
      <c r="C5740" s="2">
        <v>43709</v>
      </c>
      <c r="D5740" s="2" t="s">
        <v>3</v>
      </c>
      <c r="E5740" s="2">
        <v>38422</v>
      </c>
      <c r="F5740" s="2" t="s">
        <v>3</v>
      </c>
      <c r="G5740" s="2" t="s">
        <v>3</v>
      </c>
      <c r="H5740" s="2">
        <v>5287</v>
      </c>
      <c r="I5740" s="2">
        <v>-349</v>
      </c>
    </row>
    <row r="5741" spans="1:9" hidden="1" x14ac:dyDescent="0.3">
      <c r="A5741" t="s">
        <v>84</v>
      </c>
      <c r="B5741" s="1">
        <v>43831</v>
      </c>
      <c r="C5741" s="2">
        <v>45109</v>
      </c>
      <c r="D5741" s="2" t="s">
        <v>3</v>
      </c>
      <c r="E5741" s="2">
        <v>39473</v>
      </c>
      <c r="F5741" s="2" t="s">
        <v>3</v>
      </c>
      <c r="G5741" s="2" t="s">
        <v>3</v>
      </c>
      <c r="H5741" s="2">
        <v>5636</v>
      </c>
      <c r="I5741" s="2">
        <v>-230</v>
      </c>
    </row>
    <row r="5742" spans="1:9" x14ac:dyDescent="0.3">
      <c r="A5742" t="s">
        <v>85</v>
      </c>
      <c r="B5742" s="1">
        <v>45931</v>
      </c>
      <c r="C5742" s="2">
        <v>16080</v>
      </c>
      <c r="D5742" s="2">
        <v>741</v>
      </c>
      <c r="E5742" s="2">
        <v>13202</v>
      </c>
      <c r="F5742" s="2">
        <v>702</v>
      </c>
      <c r="G5742" s="2">
        <v>3</v>
      </c>
      <c r="H5742" s="2">
        <v>2878</v>
      </c>
      <c r="I5742" s="2">
        <v>39</v>
      </c>
    </row>
    <row r="5743" spans="1:9" x14ac:dyDescent="0.3">
      <c r="A5743" t="s">
        <v>85</v>
      </c>
      <c r="B5743" s="1">
        <v>45901</v>
      </c>
      <c r="C5743" s="2">
        <v>15421</v>
      </c>
      <c r="D5743" s="2">
        <v>527</v>
      </c>
      <c r="E5743" s="2">
        <v>12582</v>
      </c>
      <c r="F5743" s="2">
        <v>388</v>
      </c>
      <c r="G5743" s="2">
        <v>28</v>
      </c>
      <c r="H5743" s="2">
        <v>2839</v>
      </c>
      <c r="I5743" s="2">
        <v>139</v>
      </c>
    </row>
    <row r="5744" spans="1:9" x14ac:dyDescent="0.3">
      <c r="A5744" t="s">
        <v>85</v>
      </c>
      <c r="B5744" s="1">
        <v>45870</v>
      </c>
      <c r="C5744" s="2">
        <v>14788</v>
      </c>
      <c r="D5744" s="2">
        <v>63</v>
      </c>
      <c r="E5744" s="2">
        <v>12088</v>
      </c>
      <c r="F5744" s="2">
        <v>217</v>
      </c>
      <c r="G5744" s="2">
        <v>133</v>
      </c>
      <c r="H5744" s="2">
        <v>2700</v>
      </c>
      <c r="I5744" s="2">
        <v>-154</v>
      </c>
    </row>
    <row r="5745" spans="1:9" x14ac:dyDescent="0.3">
      <c r="A5745" t="s">
        <v>85</v>
      </c>
      <c r="B5745" s="1">
        <v>45839</v>
      </c>
      <c r="C5745" s="2">
        <v>15744</v>
      </c>
      <c r="D5745" s="2">
        <v>-148</v>
      </c>
      <c r="E5745" s="2">
        <v>12890</v>
      </c>
      <c r="F5745" s="2">
        <v>-65</v>
      </c>
      <c r="G5745" s="2">
        <v>-113</v>
      </c>
      <c r="H5745" s="2">
        <v>2854</v>
      </c>
      <c r="I5745" s="2">
        <v>-83</v>
      </c>
    </row>
    <row r="5746" spans="1:9" x14ac:dyDescent="0.3">
      <c r="A5746" t="s">
        <v>85</v>
      </c>
      <c r="B5746" s="1">
        <v>45809</v>
      </c>
      <c r="C5746" s="2">
        <v>16174</v>
      </c>
      <c r="D5746" s="2">
        <v>377</v>
      </c>
      <c r="E5746" s="2">
        <v>13237</v>
      </c>
      <c r="F5746" s="2">
        <v>193</v>
      </c>
      <c r="G5746" s="2">
        <v>320</v>
      </c>
      <c r="H5746" s="2">
        <v>2937</v>
      </c>
      <c r="I5746" s="2">
        <v>184</v>
      </c>
    </row>
    <row r="5747" spans="1:9" x14ac:dyDescent="0.3">
      <c r="A5747" t="s">
        <v>85</v>
      </c>
      <c r="B5747" s="1">
        <v>45778</v>
      </c>
      <c r="C5747" s="2">
        <v>15684</v>
      </c>
      <c r="D5747" s="2">
        <v>1306</v>
      </c>
      <c r="E5747" s="2">
        <v>12931</v>
      </c>
      <c r="F5747" s="2">
        <v>1253</v>
      </c>
      <c r="G5747" s="2">
        <v>-220</v>
      </c>
      <c r="H5747" s="2">
        <v>2753</v>
      </c>
      <c r="I5747" s="2">
        <v>53</v>
      </c>
    </row>
    <row r="5748" spans="1:9" x14ac:dyDescent="0.3">
      <c r="A5748" t="s">
        <v>85</v>
      </c>
      <c r="B5748" s="1">
        <v>45748</v>
      </c>
      <c r="C5748" s="2">
        <v>14445</v>
      </c>
      <c r="D5748" s="2">
        <v>2504</v>
      </c>
      <c r="E5748" s="2">
        <v>11745</v>
      </c>
      <c r="F5748" s="2">
        <v>353</v>
      </c>
      <c r="G5748" s="2">
        <v>94</v>
      </c>
      <c r="H5748" s="2">
        <v>2700</v>
      </c>
      <c r="I5748" s="2">
        <v>2151</v>
      </c>
    </row>
    <row r="5749" spans="1:9" x14ac:dyDescent="0.3">
      <c r="A5749" t="s">
        <v>85</v>
      </c>
      <c r="B5749" s="1">
        <v>45717</v>
      </c>
      <c r="C5749" s="2">
        <v>11794</v>
      </c>
      <c r="D5749" s="2">
        <v>1070</v>
      </c>
      <c r="E5749" s="2">
        <v>11245</v>
      </c>
      <c r="F5749" s="2">
        <v>1033</v>
      </c>
      <c r="G5749" s="2">
        <v>-28</v>
      </c>
      <c r="H5749" s="2">
        <v>549</v>
      </c>
      <c r="I5749" s="2">
        <v>37</v>
      </c>
    </row>
    <row r="5750" spans="1:9" x14ac:dyDescent="0.3">
      <c r="A5750" t="s">
        <v>85</v>
      </c>
      <c r="B5750" s="1">
        <v>45689</v>
      </c>
      <c r="C5750" s="2">
        <v>11193</v>
      </c>
      <c r="D5750" s="2">
        <v>224</v>
      </c>
      <c r="E5750" s="2">
        <v>10681</v>
      </c>
      <c r="F5750" s="2">
        <v>220</v>
      </c>
      <c r="G5750" s="2">
        <v>208</v>
      </c>
      <c r="H5750" s="2">
        <v>512</v>
      </c>
      <c r="I5750" s="2">
        <v>4</v>
      </c>
    </row>
    <row r="5751" spans="1:9" x14ac:dyDescent="0.3">
      <c r="A5751" t="s">
        <v>85</v>
      </c>
      <c r="B5751" s="1">
        <v>45658</v>
      </c>
      <c r="C5751" s="2">
        <v>9760</v>
      </c>
      <c r="D5751" s="2">
        <v>-353</v>
      </c>
      <c r="E5751" s="2">
        <v>9252</v>
      </c>
      <c r="F5751" s="2">
        <v>-322</v>
      </c>
      <c r="G5751" s="2">
        <v>65</v>
      </c>
      <c r="H5751" s="2">
        <v>508</v>
      </c>
      <c r="I5751" s="2">
        <v>-31</v>
      </c>
    </row>
    <row r="5752" spans="1:9" x14ac:dyDescent="0.3">
      <c r="A5752" t="s">
        <v>85</v>
      </c>
      <c r="B5752" s="1">
        <v>45627</v>
      </c>
      <c r="C5752" s="2">
        <v>10026</v>
      </c>
      <c r="D5752" s="2">
        <v>-387</v>
      </c>
      <c r="E5752" s="2">
        <v>9487</v>
      </c>
      <c r="F5752" s="2">
        <v>-23</v>
      </c>
      <c r="G5752" s="2">
        <v>-88</v>
      </c>
      <c r="H5752" s="2">
        <v>539</v>
      </c>
      <c r="I5752" s="2">
        <v>-364</v>
      </c>
    </row>
    <row r="5753" spans="1:9" x14ac:dyDescent="0.3">
      <c r="A5753" t="s">
        <v>85</v>
      </c>
      <c r="B5753" s="1">
        <v>45597</v>
      </c>
      <c r="C5753" s="2">
        <v>10480</v>
      </c>
      <c r="D5753" s="2">
        <v>-663</v>
      </c>
      <c r="E5753" s="2">
        <v>9577</v>
      </c>
      <c r="F5753" s="2">
        <v>-193</v>
      </c>
      <c r="G5753" s="2">
        <v>126</v>
      </c>
      <c r="H5753" s="2">
        <v>903</v>
      </c>
      <c r="I5753" s="2">
        <v>-470</v>
      </c>
    </row>
    <row r="5754" spans="1:9" x14ac:dyDescent="0.3">
      <c r="A5754" t="s">
        <v>85</v>
      </c>
      <c r="B5754" s="1">
        <v>45566</v>
      </c>
      <c r="C5754" s="2">
        <v>10971</v>
      </c>
      <c r="D5754" s="2">
        <v>813</v>
      </c>
      <c r="E5754" s="2">
        <v>9598</v>
      </c>
      <c r="F5754" s="2">
        <v>349</v>
      </c>
      <c r="G5754" s="2">
        <v>-89</v>
      </c>
      <c r="H5754" s="2">
        <v>1373</v>
      </c>
      <c r="I5754" s="2">
        <v>464</v>
      </c>
    </row>
    <row r="5755" spans="1:9" x14ac:dyDescent="0.3">
      <c r="A5755" t="s">
        <v>85</v>
      </c>
      <c r="B5755" s="1">
        <v>45536</v>
      </c>
      <c r="C5755" s="2">
        <v>10368</v>
      </c>
      <c r="D5755" s="2">
        <v>-271</v>
      </c>
      <c r="E5755" s="2">
        <v>9459</v>
      </c>
      <c r="F5755" s="2">
        <v>775</v>
      </c>
      <c r="G5755" s="2">
        <v>-33</v>
      </c>
      <c r="H5755" s="2">
        <v>909</v>
      </c>
      <c r="I5755" s="2">
        <v>-1046</v>
      </c>
    </row>
    <row r="5756" spans="1:9" x14ac:dyDescent="0.3">
      <c r="A5756" t="s">
        <v>85</v>
      </c>
      <c r="B5756" s="1">
        <v>45505</v>
      </c>
      <c r="C5756" s="2">
        <v>10591</v>
      </c>
      <c r="D5756" s="2">
        <v>-450</v>
      </c>
      <c r="E5756" s="2">
        <v>8636</v>
      </c>
      <c r="F5756" s="2">
        <v>692</v>
      </c>
      <c r="G5756" s="2">
        <v>75</v>
      </c>
      <c r="H5756" s="2">
        <v>1955</v>
      </c>
      <c r="I5756" s="2">
        <v>-1142</v>
      </c>
    </row>
    <row r="5757" spans="1:9" x14ac:dyDescent="0.3">
      <c r="A5757" t="s">
        <v>85</v>
      </c>
      <c r="B5757" s="1">
        <v>45474</v>
      </c>
      <c r="C5757" s="2">
        <v>10944</v>
      </c>
      <c r="D5757" s="2">
        <v>71</v>
      </c>
      <c r="E5757" s="2">
        <v>7847</v>
      </c>
      <c r="F5757" s="2">
        <v>-931</v>
      </c>
      <c r="G5757" s="2">
        <v>106</v>
      </c>
      <c r="H5757" s="2">
        <v>3097</v>
      </c>
      <c r="I5757" s="2">
        <v>1002</v>
      </c>
    </row>
    <row r="5758" spans="1:9" x14ac:dyDescent="0.3">
      <c r="A5758" t="s">
        <v>85</v>
      </c>
      <c r="B5758" s="1">
        <v>45444</v>
      </c>
      <c r="C5758" s="2">
        <v>10730</v>
      </c>
      <c r="D5758" s="2">
        <v>297</v>
      </c>
      <c r="E5758" s="2">
        <v>8635</v>
      </c>
      <c r="F5758" s="2">
        <v>402</v>
      </c>
      <c r="G5758" s="2">
        <v>155</v>
      </c>
      <c r="H5758" s="2">
        <v>2095</v>
      </c>
      <c r="I5758" s="2">
        <v>-105</v>
      </c>
    </row>
    <row r="5759" spans="1:9" x14ac:dyDescent="0.3">
      <c r="A5759" t="s">
        <v>85</v>
      </c>
      <c r="B5759" s="1">
        <v>45413</v>
      </c>
      <c r="C5759" s="2">
        <v>10329</v>
      </c>
      <c r="D5759" s="2">
        <v>-170</v>
      </c>
      <c r="E5759" s="2">
        <v>8129</v>
      </c>
      <c r="F5759" s="2">
        <v>173</v>
      </c>
      <c r="G5759" s="2">
        <v>46</v>
      </c>
      <c r="H5759" s="2">
        <v>2200</v>
      </c>
      <c r="I5759" s="2">
        <v>-343</v>
      </c>
    </row>
    <row r="5760" spans="1:9" x14ac:dyDescent="0.3">
      <c r="A5760" t="s">
        <v>85</v>
      </c>
      <c r="B5760" s="1">
        <v>45383</v>
      </c>
      <c r="C5760" s="2">
        <v>10494</v>
      </c>
      <c r="D5760" s="2">
        <v>534</v>
      </c>
      <c r="E5760" s="2">
        <v>7951</v>
      </c>
      <c r="F5760" s="2">
        <v>545</v>
      </c>
      <c r="G5760" s="2">
        <v>-82</v>
      </c>
      <c r="H5760" s="2">
        <v>2543</v>
      </c>
      <c r="I5760" s="2">
        <v>-11</v>
      </c>
    </row>
    <row r="5761" spans="1:9" x14ac:dyDescent="0.3">
      <c r="A5761" t="s">
        <v>85</v>
      </c>
      <c r="B5761" s="1">
        <v>45352</v>
      </c>
      <c r="C5761" s="2">
        <v>10032</v>
      </c>
      <c r="D5761" s="2">
        <v>329</v>
      </c>
      <c r="E5761" s="2">
        <v>7478</v>
      </c>
      <c r="F5761" s="2">
        <v>238</v>
      </c>
      <c r="G5761" s="2">
        <v>45</v>
      </c>
      <c r="H5761" s="2">
        <v>2554</v>
      </c>
      <c r="I5761" s="2">
        <v>91</v>
      </c>
    </row>
    <row r="5762" spans="1:9" x14ac:dyDescent="0.3">
      <c r="A5762" t="s">
        <v>85</v>
      </c>
      <c r="B5762" s="1">
        <v>45323</v>
      </c>
      <c r="C5762" s="2">
        <v>9737</v>
      </c>
      <c r="D5762" s="2">
        <v>2178</v>
      </c>
      <c r="E5762" s="2">
        <v>7274</v>
      </c>
      <c r="F5762" s="2">
        <v>490</v>
      </c>
      <c r="G5762" s="2">
        <v>-139</v>
      </c>
      <c r="H5762" s="2">
        <v>2463</v>
      </c>
      <c r="I5762" s="2">
        <v>1688</v>
      </c>
    </row>
    <row r="5763" spans="1:9" x14ac:dyDescent="0.3">
      <c r="A5763" t="s">
        <v>85</v>
      </c>
      <c r="B5763" s="1">
        <v>45292</v>
      </c>
      <c r="C5763" s="2">
        <v>7675</v>
      </c>
      <c r="D5763" s="2">
        <v>1649</v>
      </c>
      <c r="E5763" s="2">
        <v>6900</v>
      </c>
      <c r="F5763" s="2">
        <v>1218</v>
      </c>
      <c r="G5763" s="2">
        <v>29</v>
      </c>
      <c r="H5763" s="2">
        <v>775</v>
      </c>
      <c r="I5763" s="2">
        <v>431</v>
      </c>
    </row>
    <row r="5764" spans="1:9" x14ac:dyDescent="0.3">
      <c r="A5764" t="s">
        <v>85</v>
      </c>
      <c r="B5764" s="1">
        <v>45261</v>
      </c>
      <c r="C5764" s="2">
        <v>6200</v>
      </c>
      <c r="D5764" s="2">
        <v>-89</v>
      </c>
      <c r="E5764" s="2">
        <v>5856</v>
      </c>
      <c r="F5764" s="2">
        <v>-102</v>
      </c>
      <c r="G5764" s="2">
        <v>110</v>
      </c>
      <c r="H5764" s="2">
        <v>344</v>
      </c>
      <c r="I5764" s="2">
        <v>13</v>
      </c>
    </row>
    <row r="5765" spans="1:9" x14ac:dyDescent="0.3">
      <c r="A5765" t="s">
        <v>85</v>
      </c>
      <c r="B5765" s="1">
        <v>45231</v>
      </c>
      <c r="C5765" s="2">
        <v>6167</v>
      </c>
      <c r="D5765" s="2">
        <v>23</v>
      </c>
      <c r="E5765" s="2">
        <v>5836</v>
      </c>
      <c r="F5765" s="2">
        <v>52</v>
      </c>
      <c r="G5765" s="2">
        <v>-16</v>
      </c>
      <c r="H5765" s="2">
        <v>331</v>
      </c>
      <c r="I5765" s="2">
        <v>-29</v>
      </c>
    </row>
    <row r="5766" spans="1:9" x14ac:dyDescent="0.3">
      <c r="A5766" t="s">
        <v>85</v>
      </c>
      <c r="B5766" s="1">
        <v>45200</v>
      </c>
      <c r="C5766" s="2">
        <v>6091</v>
      </c>
      <c r="D5766" s="2">
        <v>78</v>
      </c>
      <c r="E5766" s="2">
        <v>5731</v>
      </c>
      <c r="F5766" s="2">
        <v>44</v>
      </c>
      <c r="G5766" s="2">
        <v>58</v>
      </c>
      <c r="H5766" s="2">
        <v>360</v>
      </c>
      <c r="I5766" s="2">
        <v>34</v>
      </c>
    </row>
    <row r="5767" spans="1:9" x14ac:dyDescent="0.3">
      <c r="A5767" t="s">
        <v>85</v>
      </c>
      <c r="B5767" s="1">
        <v>45170</v>
      </c>
      <c r="C5767" s="2">
        <v>6001</v>
      </c>
      <c r="D5767" s="2">
        <v>916</v>
      </c>
      <c r="E5767" s="2">
        <v>5675</v>
      </c>
      <c r="F5767" s="2">
        <v>860</v>
      </c>
      <c r="G5767" s="2">
        <v>-49</v>
      </c>
      <c r="H5767" s="2">
        <v>326</v>
      </c>
      <c r="I5767" s="2">
        <v>56</v>
      </c>
    </row>
    <row r="5768" spans="1:9" x14ac:dyDescent="0.3">
      <c r="A5768" t="s">
        <v>85</v>
      </c>
      <c r="B5768" s="1">
        <v>45139</v>
      </c>
      <c r="C5768" s="2">
        <v>5198</v>
      </c>
      <c r="D5768" s="2">
        <v>205</v>
      </c>
      <c r="E5768" s="2">
        <v>4928</v>
      </c>
      <c r="F5768" s="2">
        <v>189</v>
      </c>
      <c r="G5768" s="2">
        <v>-36</v>
      </c>
      <c r="H5768" s="2">
        <v>270</v>
      </c>
      <c r="I5768" s="2">
        <v>16</v>
      </c>
    </row>
    <row r="5769" spans="1:9" x14ac:dyDescent="0.3">
      <c r="A5769" t="s">
        <v>85</v>
      </c>
      <c r="B5769" s="1">
        <v>45108</v>
      </c>
      <c r="C5769" s="2">
        <v>4972</v>
      </c>
      <c r="D5769" s="2">
        <v>36</v>
      </c>
      <c r="E5769" s="2">
        <v>4718</v>
      </c>
      <c r="F5769" s="2">
        <v>32</v>
      </c>
      <c r="G5769" s="2">
        <v>96</v>
      </c>
      <c r="H5769" s="2">
        <v>254</v>
      </c>
      <c r="I5769" s="2">
        <v>4</v>
      </c>
    </row>
    <row r="5770" spans="1:9" x14ac:dyDescent="0.3">
      <c r="A5770" t="s">
        <v>85</v>
      </c>
      <c r="B5770" s="1">
        <v>45078</v>
      </c>
      <c r="C5770" s="2">
        <v>4905</v>
      </c>
      <c r="D5770" s="2">
        <v>-687</v>
      </c>
      <c r="E5770" s="2">
        <v>4655</v>
      </c>
      <c r="F5770" s="2">
        <v>323</v>
      </c>
      <c r="G5770" s="2">
        <v>260</v>
      </c>
      <c r="H5770" s="2">
        <v>250</v>
      </c>
      <c r="I5770" s="2">
        <v>-1010</v>
      </c>
    </row>
    <row r="5771" spans="1:9" x14ac:dyDescent="0.3">
      <c r="A5771" t="s">
        <v>85</v>
      </c>
      <c r="B5771" s="1">
        <v>45047</v>
      </c>
      <c r="C5771" s="2">
        <v>5752</v>
      </c>
      <c r="D5771" s="2">
        <v>918</v>
      </c>
      <c r="E5771" s="2">
        <v>4492</v>
      </c>
      <c r="F5771" s="2">
        <v>-59</v>
      </c>
      <c r="G5771" s="2">
        <v>-7</v>
      </c>
      <c r="H5771" s="2">
        <v>1260</v>
      </c>
      <c r="I5771" s="2">
        <v>977</v>
      </c>
    </row>
    <row r="5772" spans="1:9" x14ac:dyDescent="0.3">
      <c r="A5772" t="s">
        <v>85</v>
      </c>
      <c r="B5772" s="1">
        <v>45017</v>
      </c>
      <c r="C5772" s="2">
        <v>4937</v>
      </c>
      <c r="D5772" s="2">
        <v>229</v>
      </c>
      <c r="E5772" s="2">
        <v>4654</v>
      </c>
      <c r="F5772" s="2">
        <v>302</v>
      </c>
      <c r="G5772" s="2">
        <v>87</v>
      </c>
      <c r="H5772" s="2">
        <v>283</v>
      </c>
      <c r="I5772" s="2">
        <v>-73</v>
      </c>
    </row>
    <row r="5773" spans="1:9" x14ac:dyDescent="0.3">
      <c r="A5773" t="s">
        <v>85</v>
      </c>
      <c r="B5773" s="1">
        <v>44986</v>
      </c>
      <c r="C5773" s="2">
        <v>4645</v>
      </c>
      <c r="D5773" s="2">
        <v>69</v>
      </c>
      <c r="E5773" s="2">
        <v>4289</v>
      </c>
      <c r="F5773" s="2">
        <v>30</v>
      </c>
      <c r="G5773" s="2">
        <v>533</v>
      </c>
      <c r="H5773" s="2">
        <v>356</v>
      </c>
      <c r="I5773" s="2">
        <v>39</v>
      </c>
    </row>
    <row r="5774" spans="1:9" x14ac:dyDescent="0.3">
      <c r="A5774" t="s">
        <v>85</v>
      </c>
      <c r="B5774" s="1">
        <v>44958</v>
      </c>
      <c r="C5774" s="2">
        <v>4587</v>
      </c>
      <c r="D5774" s="2">
        <v>264</v>
      </c>
      <c r="E5774" s="2">
        <v>4270</v>
      </c>
      <c r="F5774" s="2">
        <v>319</v>
      </c>
      <c r="G5774" s="2">
        <v>-95</v>
      </c>
      <c r="H5774" s="2">
        <v>317</v>
      </c>
      <c r="I5774" s="2">
        <v>-55</v>
      </c>
    </row>
    <row r="5775" spans="1:9" hidden="1" x14ac:dyDescent="0.3">
      <c r="A5775" t="s">
        <v>85</v>
      </c>
      <c r="B5775" s="1">
        <v>44927</v>
      </c>
      <c r="C5775" s="2">
        <v>4529</v>
      </c>
      <c r="D5775" s="2" t="s">
        <v>3</v>
      </c>
      <c r="E5775" s="2">
        <v>4157</v>
      </c>
      <c r="F5775" s="2" t="s">
        <v>3</v>
      </c>
      <c r="G5775" s="2" t="s">
        <v>3</v>
      </c>
      <c r="H5775" s="2">
        <v>372</v>
      </c>
      <c r="I5775" s="2">
        <v>-285</v>
      </c>
    </row>
    <row r="5776" spans="1:9" hidden="1" x14ac:dyDescent="0.3">
      <c r="A5776" t="s">
        <v>85</v>
      </c>
      <c r="B5776" s="1">
        <v>44896</v>
      </c>
      <c r="C5776" s="2">
        <v>4674</v>
      </c>
      <c r="D5776" s="2" t="s">
        <v>3</v>
      </c>
      <c r="E5776" s="2">
        <v>4017</v>
      </c>
      <c r="F5776" s="2" t="s">
        <v>3</v>
      </c>
      <c r="G5776" s="2" t="s">
        <v>3</v>
      </c>
      <c r="H5776" s="2">
        <v>657</v>
      </c>
      <c r="I5776" s="2">
        <v>128</v>
      </c>
    </row>
    <row r="5777" spans="1:9" hidden="1" x14ac:dyDescent="0.3">
      <c r="A5777" t="s">
        <v>85</v>
      </c>
      <c r="B5777" s="1">
        <v>44866</v>
      </c>
      <c r="C5777" s="2">
        <v>4476</v>
      </c>
      <c r="D5777" s="2" t="s">
        <v>3</v>
      </c>
      <c r="E5777" s="2">
        <v>3947</v>
      </c>
      <c r="F5777" s="2" t="s">
        <v>3</v>
      </c>
      <c r="G5777" s="2" t="s">
        <v>3</v>
      </c>
      <c r="H5777" s="2">
        <v>529</v>
      </c>
      <c r="I5777" s="2">
        <v>-48</v>
      </c>
    </row>
    <row r="5778" spans="1:9" hidden="1" x14ac:dyDescent="0.3">
      <c r="A5778" t="s">
        <v>85</v>
      </c>
      <c r="B5778" s="1">
        <v>44835</v>
      </c>
      <c r="C5778" s="2">
        <v>4184</v>
      </c>
      <c r="D5778" s="2" t="s">
        <v>3</v>
      </c>
      <c r="E5778" s="2">
        <v>3607</v>
      </c>
      <c r="F5778" s="2" t="s">
        <v>3</v>
      </c>
      <c r="G5778" s="2" t="s">
        <v>3</v>
      </c>
      <c r="H5778" s="2">
        <v>577</v>
      </c>
      <c r="I5778" s="2">
        <v>51</v>
      </c>
    </row>
    <row r="5779" spans="1:9" hidden="1" x14ac:dyDescent="0.3">
      <c r="A5779" t="s">
        <v>85</v>
      </c>
      <c r="B5779" s="1">
        <v>44805</v>
      </c>
      <c r="C5779" s="2">
        <v>4942</v>
      </c>
      <c r="D5779" s="2" t="s">
        <v>3</v>
      </c>
      <c r="E5779" s="2">
        <v>4416</v>
      </c>
      <c r="F5779" s="2" t="s">
        <v>3</v>
      </c>
      <c r="G5779" s="2" t="s">
        <v>3</v>
      </c>
      <c r="H5779" s="2">
        <v>526</v>
      </c>
      <c r="I5779" s="2">
        <v>368</v>
      </c>
    </row>
    <row r="5780" spans="1:9" hidden="1" x14ac:dyDescent="0.3">
      <c r="A5780" t="s">
        <v>85</v>
      </c>
      <c r="B5780" s="1">
        <v>44774</v>
      </c>
      <c r="C5780" s="2">
        <v>4833</v>
      </c>
      <c r="D5780" s="2" t="s">
        <v>3</v>
      </c>
      <c r="E5780" s="2">
        <v>4675</v>
      </c>
      <c r="F5780" s="2" t="s">
        <v>3</v>
      </c>
      <c r="G5780" s="2" t="s">
        <v>3</v>
      </c>
      <c r="H5780" s="2">
        <v>158</v>
      </c>
      <c r="I5780" s="2">
        <v>-89</v>
      </c>
    </row>
    <row r="5781" spans="1:9" hidden="1" x14ac:dyDescent="0.3">
      <c r="A5781" t="s">
        <v>85</v>
      </c>
      <c r="B5781" s="1">
        <v>44743</v>
      </c>
      <c r="C5781" s="2">
        <v>4899</v>
      </c>
      <c r="D5781" s="2" t="s">
        <v>3</v>
      </c>
      <c r="E5781" s="2">
        <v>4652</v>
      </c>
      <c r="F5781" s="2" t="s">
        <v>3</v>
      </c>
      <c r="G5781" s="2" t="s">
        <v>3</v>
      </c>
      <c r="H5781" s="2">
        <v>247</v>
      </c>
      <c r="I5781" s="2">
        <v>-97</v>
      </c>
    </row>
    <row r="5782" spans="1:9" hidden="1" x14ac:dyDescent="0.3">
      <c r="A5782" t="s">
        <v>85</v>
      </c>
      <c r="B5782" s="1">
        <v>44713</v>
      </c>
      <c r="C5782" s="2">
        <v>4881</v>
      </c>
      <c r="D5782" s="2" t="s">
        <v>3</v>
      </c>
      <c r="E5782" s="2">
        <v>4537</v>
      </c>
      <c r="F5782" s="2" t="s">
        <v>3</v>
      </c>
      <c r="G5782" s="2" t="s">
        <v>3</v>
      </c>
      <c r="H5782" s="2">
        <v>344</v>
      </c>
      <c r="I5782" s="2">
        <v>-327</v>
      </c>
    </row>
    <row r="5783" spans="1:9" hidden="1" x14ac:dyDescent="0.3">
      <c r="A5783" t="s">
        <v>85</v>
      </c>
      <c r="B5783" s="1">
        <v>44682</v>
      </c>
      <c r="C5783" s="2">
        <v>5180</v>
      </c>
      <c r="D5783" s="2" t="s">
        <v>3</v>
      </c>
      <c r="E5783" s="2">
        <v>4509</v>
      </c>
      <c r="F5783" s="2" t="s">
        <v>3</v>
      </c>
      <c r="G5783" s="2" t="s">
        <v>3</v>
      </c>
      <c r="H5783" s="2">
        <v>671</v>
      </c>
      <c r="I5783" s="2">
        <v>-80</v>
      </c>
    </row>
    <row r="5784" spans="1:9" hidden="1" x14ac:dyDescent="0.3">
      <c r="A5784" t="s">
        <v>85</v>
      </c>
      <c r="B5784" s="1">
        <v>44652</v>
      </c>
      <c r="C5784" s="2">
        <v>5355</v>
      </c>
      <c r="D5784" s="2" t="s">
        <v>3</v>
      </c>
      <c r="E5784" s="2">
        <v>4604</v>
      </c>
      <c r="F5784" s="2" t="s">
        <v>3</v>
      </c>
      <c r="G5784" s="2" t="s">
        <v>3</v>
      </c>
      <c r="H5784" s="2">
        <v>751</v>
      </c>
      <c r="I5784" s="2">
        <v>100</v>
      </c>
    </row>
    <row r="5785" spans="1:9" hidden="1" x14ac:dyDescent="0.3">
      <c r="A5785" t="s">
        <v>85</v>
      </c>
      <c r="B5785" s="1">
        <v>44621</v>
      </c>
      <c r="C5785" s="2">
        <v>5538</v>
      </c>
      <c r="D5785" s="2" t="s">
        <v>3</v>
      </c>
      <c r="E5785" s="2">
        <v>4887</v>
      </c>
      <c r="F5785" s="2" t="s">
        <v>3</v>
      </c>
      <c r="G5785" s="2" t="s">
        <v>3</v>
      </c>
      <c r="H5785" s="2">
        <v>651</v>
      </c>
      <c r="I5785" s="2">
        <v>153</v>
      </c>
    </row>
    <row r="5786" spans="1:9" hidden="1" x14ac:dyDescent="0.3">
      <c r="A5786" t="s">
        <v>85</v>
      </c>
      <c r="B5786" s="1">
        <v>44593</v>
      </c>
      <c r="C5786" s="2">
        <v>5338</v>
      </c>
      <c r="D5786" s="2" t="s">
        <v>3</v>
      </c>
      <c r="E5786" s="2">
        <v>4840</v>
      </c>
      <c r="F5786" s="2" t="s">
        <v>3</v>
      </c>
      <c r="G5786" s="2" t="s">
        <v>3</v>
      </c>
      <c r="H5786" s="2">
        <v>498</v>
      </c>
      <c r="I5786" s="2">
        <v>-75</v>
      </c>
    </row>
    <row r="5787" spans="1:9" hidden="1" x14ac:dyDescent="0.3">
      <c r="A5787" t="s">
        <v>85</v>
      </c>
      <c r="B5787" s="1">
        <v>44562</v>
      </c>
      <c r="C5787" s="2">
        <v>5360</v>
      </c>
      <c r="D5787" s="2" t="s">
        <v>3</v>
      </c>
      <c r="E5787" s="2">
        <v>4787</v>
      </c>
      <c r="F5787" s="2" t="s">
        <v>3</v>
      </c>
      <c r="G5787" s="2" t="s">
        <v>3</v>
      </c>
      <c r="H5787" s="2">
        <v>573</v>
      </c>
      <c r="I5787" s="2">
        <v>3</v>
      </c>
    </row>
    <row r="5788" spans="1:9" hidden="1" x14ac:dyDescent="0.3">
      <c r="A5788" t="s">
        <v>85</v>
      </c>
      <c r="B5788" s="1">
        <v>44531</v>
      </c>
      <c r="C5788" s="2">
        <v>5455</v>
      </c>
      <c r="D5788" s="2" t="s">
        <v>3</v>
      </c>
      <c r="E5788" s="2">
        <v>4885</v>
      </c>
      <c r="F5788" s="2" t="s">
        <v>3</v>
      </c>
      <c r="G5788" s="2" t="s">
        <v>3</v>
      </c>
      <c r="H5788" s="2">
        <v>570</v>
      </c>
      <c r="I5788" s="2">
        <v>-90</v>
      </c>
    </row>
    <row r="5789" spans="1:9" hidden="1" x14ac:dyDescent="0.3">
      <c r="A5789" t="s">
        <v>85</v>
      </c>
      <c r="B5789" s="1">
        <v>44501</v>
      </c>
      <c r="C5789" s="2">
        <v>5762</v>
      </c>
      <c r="D5789" s="2" t="s">
        <v>3</v>
      </c>
      <c r="E5789" s="2">
        <v>5102</v>
      </c>
      <c r="F5789" s="2" t="s">
        <v>3</v>
      </c>
      <c r="G5789" s="2" t="s">
        <v>3</v>
      </c>
      <c r="H5789" s="2">
        <v>660</v>
      </c>
      <c r="I5789" s="2">
        <v>-62</v>
      </c>
    </row>
    <row r="5790" spans="1:9" hidden="1" x14ac:dyDescent="0.3">
      <c r="A5790" t="s">
        <v>85</v>
      </c>
      <c r="B5790" s="1">
        <v>44470</v>
      </c>
      <c r="C5790" s="2">
        <v>5788</v>
      </c>
      <c r="D5790" s="2" t="s">
        <v>3</v>
      </c>
      <c r="E5790" s="2">
        <v>5066</v>
      </c>
      <c r="F5790" s="2" t="s">
        <v>3</v>
      </c>
      <c r="G5790" s="2" t="s">
        <v>3</v>
      </c>
      <c r="H5790" s="2">
        <v>722</v>
      </c>
      <c r="I5790" s="2">
        <v>50</v>
      </c>
    </row>
    <row r="5791" spans="1:9" hidden="1" x14ac:dyDescent="0.3">
      <c r="A5791" t="s">
        <v>85</v>
      </c>
      <c r="B5791" s="1">
        <v>44440</v>
      </c>
      <c r="C5791" s="2">
        <v>5720</v>
      </c>
      <c r="D5791" s="2" t="s">
        <v>3</v>
      </c>
      <c r="E5791" s="2">
        <v>5048</v>
      </c>
      <c r="F5791" s="2" t="s">
        <v>3</v>
      </c>
      <c r="G5791" s="2" t="s">
        <v>3</v>
      </c>
      <c r="H5791" s="2">
        <v>672</v>
      </c>
      <c r="I5791" s="2">
        <v>-412</v>
      </c>
    </row>
    <row r="5792" spans="1:9" hidden="1" x14ac:dyDescent="0.3">
      <c r="A5792" t="s">
        <v>85</v>
      </c>
      <c r="B5792" s="1">
        <v>44409</v>
      </c>
      <c r="C5792" s="2">
        <v>6188</v>
      </c>
      <c r="D5792" s="2" t="s">
        <v>3</v>
      </c>
      <c r="E5792" s="2">
        <v>5104</v>
      </c>
      <c r="F5792" s="2" t="s">
        <v>3</v>
      </c>
      <c r="G5792" s="2" t="s">
        <v>3</v>
      </c>
      <c r="H5792" s="2">
        <v>1084</v>
      </c>
      <c r="I5792" s="2">
        <v>-28</v>
      </c>
    </row>
    <row r="5793" spans="1:9" hidden="1" x14ac:dyDescent="0.3">
      <c r="A5793" t="s">
        <v>85</v>
      </c>
      <c r="B5793" s="1">
        <v>44378</v>
      </c>
      <c r="C5793" s="2">
        <v>6420</v>
      </c>
      <c r="D5793" s="2" t="s">
        <v>3</v>
      </c>
      <c r="E5793" s="2">
        <v>5308</v>
      </c>
      <c r="F5793" s="2" t="s">
        <v>3</v>
      </c>
      <c r="G5793" s="2" t="s">
        <v>3</v>
      </c>
      <c r="H5793" s="2">
        <v>1112</v>
      </c>
      <c r="I5793" s="2">
        <v>-531</v>
      </c>
    </row>
    <row r="5794" spans="1:9" hidden="1" x14ac:dyDescent="0.3">
      <c r="A5794" t="s">
        <v>85</v>
      </c>
      <c r="B5794" s="1">
        <v>44348</v>
      </c>
      <c r="C5794" s="2">
        <v>6850</v>
      </c>
      <c r="D5794" s="2" t="s">
        <v>3</v>
      </c>
      <c r="E5794" s="2">
        <v>5207</v>
      </c>
      <c r="F5794" s="2" t="s">
        <v>3</v>
      </c>
      <c r="G5794" s="2" t="s">
        <v>3</v>
      </c>
      <c r="H5794" s="2">
        <v>1643</v>
      </c>
      <c r="I5794" s="2">
        <v>250</v>
      </c>
    </row>
    <row r="5795" spans="1:9" hidden="1" x14ac:dyDescent="0.3">
      <c r="A5795" t="s">
        <v>85</v>
      </c>
      <c r="B5795" s="1">
        <v>44317</v>
      </c>
      <c r="C5795" s="2">
        <v>6752</v>
      </c>
      <c r="D5795" s="2" t="s">
        <v>3</v>
      </c>
      <c r="E5795" s="2">
        <v>5359</v>
      </c>
      <c r="F5795" s="2" t="s">
        <v>3</v>
      </c>
      <c r="G5795" s="2" t="s">
        <v>3</v>
      </c>
      <c r="H5795" s="2">
        <v>1393</v>
      </c>
      <c r="I5795" s="2">
        <v>-640</v>
      </c>
    </row>
    <row r="5796" spans="1:9" hidden="1" x14ac:dyDescent="0.3">
      <c r="A5796" t="s">
        <v>85</v>
      </c>
      <c r="B5796" s="1">
        <v>44287</v>
      </c>
      <c r="C5796" s="2">
        <v>7445</v>
      </c>
      <c r="D5796" s="2" t="s">
        <v>3</v>
      </c>
      <c r="E5796" s="2">
        <v>5412</v>
      </c>
      <c r="F5796" s="2" t="s">
        <v>3</v>
      </c>
      <c r="G5796" s="2" t="s">
        <v>3</v>
      </c>
      <c r="H5796" s="2">
        <v>2033</v>
      </c>
      <c r="I5796" s="2">
        <v>-371</v>
      </c>
    </row>
    <row r="5797" spans="1:9" hidden="1" x14ac:dyDescent="0.3">
      <c r="A5797" t="s">
        <v>85</v>
      </c>
      <c r="B5797" s="1">
        <v>44256</v>
      </c>
      <c r="C5797" s="2">
        <v>7774</v>
      </c>
      <c r="D5797" s="2" t="s">
        <v>3</v>
      </c>
      <c r="E5797" s="2">
        <v>5370</v>
      </c>
      <c r="F5797" s="2" t="s">
        <v>3</v>
      </c>
      <c r="G5797" s="2" t="s">
        <v>3</v>
      </c>
      <c r="H5797" s="2">
        <v>2404</v>
      </c>
      <c r="I5797" s="2">
        <v>-446</v>
      </c>
    </row>
    <row r="5798" spans="1:9" hidden="1" x14ac:dyDescent="0.3">
      <c r="A5798" t="s">
        <v>85</v>
      </c>
      <c r="B5798" s="1">
        <v>44228</v>
      </c>
      <c r="C5798" s="2">
        <v>8580</v>
      </c>
      <c r="D5798" s="2" t="s">
        <v>3</v>
      </c>
      <c r="E5798" s="2">
        <v>5730</v>
      </c>
      <c r="F5798" s="2" t="s">
        <v>3</v>
      </c>
      <c r="G5798" s="2" t="s">
        <v>3</v>
      </c>
      <c r="H5798" s="2">
        <v>2850</v>
      </c>
      <c r="I5798" s="2">
        <v>-30</v>
      </c>
    </row>
    <row r="5799" spans="1:9" hidden="1" x14ac:dyDescent="0.3">
      <c r="A5799" t="s">
        <v>85</v>
      </c>
      <c r="B5799" s="1">
        <v>44197</v>
      </c>
      <c r="C5799" s="2">
        <v>8323</v>
      </c>
      <c r="D5799" s="2" t="s">
        <v>3</v>
      </c>
      <c r="E5799" s="2">
        <v>5443</v>
      </c>
      <c r="F5799" s="2" t="s">
        <v>3</v>
      </c>
      <c r="G5799" s="2" t="s">
        <v>3</v>
      </c>
      <c r="H5799" s="2">
        <v>2880</v>
      </c>
      <c r="I5799" s="2">
        <v>699</v>
      </c>
    </row>
    <row r="5800" spans="1:9" hidden="1" x14ac:dyDescent="0.3">
      <c r="A5800" t="s">
        <v>85</v>
      </c>
      <c r="B5800" s="1">
        <v>44166</v>
      </c>
      <c r="C5800" s="2">
        <v>7509</v>
      </c>
      <c r="D5800" s="2" t="s">
        <v>3</v>
      </c>
      <c r="E5800" s="2">
        <v>5328</v>
      </c>
      <c r="F5800" s="2" t="s">
        <v>3</v>
      </c>
      <c r="G5800" s="2" t="s">
        <v>3</v>
      </c>
      <c r="H5800" s="2">
        <v>2181</v>
      </c>
      <c r="I5800" s="2">
        <v>-366</v>
      </c>
    </row>
    <row r="5801" spans="1:9" hidden="1" x14ac:dyDescent="0.3">
      <c r="A5801" t="s">
        <v>85</v>
      </c>
      <c r="B5801" s="1">
        <v>44136</v>
      </c>
      <c r="C5801" s="2">
        <v>7998</v>
      </c>
      <c r="D5801" s="2" t="s">
        <v>3</v>
      </c>
      <c r="E5801" s="2">
        <v>5451</v>
      </c>
      <c r="F5801" s="2" t="s">
        <v>3</v>
      </c>
      <c r="G5801" s="2" t="s">
        <v>3</v>
      </c>
      <c r="H5801" s="2">
        <v>2547</v>
      </c>
      <c r="I5801" s="2">
        <v>754</v>
      </c>
    </row>
    <row r="5802" spans="1:9" hidden="1" x14ac:dyDescent="0.3">
      <c r="A5802" t="s">
        <v>85</v>
      </c>
      <c r="B5802" s="1">
        <v>44105</v>
      </c>
      <c r="C5802" s="2">
        <v>7537</v>
      </c>
      <c r="D5802" s="2" t="s">
        <v>3</v>
      </c>
      <c r="E5802" s="2">
        <v>5744</v>
      </c>
      <c r="F5802" s="2" t="s">
        <v>3</v>
      </c>
      <c r="G5802" s="2" t="s">
        <v>3</v>
      </c>
      <c r="H5802" s="2">
        <v>1793</v>
      </c>
      <c r="I5802" s="2">
        <v>346</v>
      </c>
    </row>
    <row r="5803" spans="1:9" hidden="1" x14ac:dyDescent="0.3">
      <c r="A5803" t="s">
        <v>85</v>
      </c>
      <c r="B5803" s="1">
        <v>44075</v>
      </c>
      <c r="C5803" s="2">
        <v>6924</v>
      </c>
      <c r="D5803" s="2" t="s">
        <v>3</v>
      </c>
      <c r="E5803" s="2">
        <v>5477</v>
      </c>
      <c r="F5803" s="2" t="s">
        <v>3</v>
      </c>
      <c r="G5803" s="2" t="s">
        <v>3</v>
      </c>
      <c r="H5803" s="2">
        <v>1447</v>
      </c>
      <c r="I5803" s="2">
        <v>-280</v>
      </c>
    </row>
    <row r="5804" spans="1:9" hidden="1" x14ac:dyDescent="0.3">
      <c r="A5804" t="s">
        <v>85</v>
      </c>
      <c r="B5804" s="1">
        <v>44044</v>
      </c>
      <c r="C5804" s="2">
        <v>7760</v>
      </c>
      <c r="D5804" s="2" t="s">
        <v>3</v>
      </c>
      <c r="E5804" s="2">
        <v>6033</v>
      </c>
      <c r="F5804" s="2" t="s">
        <v>3</v>
      </c>
      <c r="G5804" s="2" t="s">
        <v>3</v>
      </c>
      <c r="H5804" s="2">
        <v>1727</v>
      </c>
      <c r="I5804" s="2">
        <v>-214</v>
      </c>
    </row>
    <row r="5805" spans="1:9" hidden="1" x14ac:dyDescent="0.3">
      <c r="A5805" t="s">
        <v>85</v>
      </c>
      <c r="B5805" s="1">
        <v>44013</v>
      </c>
      <c r="C5805" s="2">
        <v>7438</v>
      </c>
      <c r="D5805" s="2" t="s">
        <v>3</v>
      </c>
      <c r="E5805" s="2">
        <v>5497</v>
      </c>
      <c r="F5805" s="2" t="s">
        <v>3</v>
      </c>
      <c r="G5805" s="2" t="s">
        <v>3</v>
      </c>
      <c r="H5805" s="2">
        <v>1941</v>
      </c>
      <c r="I5805" s="2">
        <v>-902</v>
      </c>
    </row>
    <row r="5806" spans="1:9" hidden="1" x14ac:dyDescent="0.3">
      <c r="A5806" t="s">
        <v>85</v>
      </c>
      <c r="B5806" s="1">
        <v>43983</v>
      </c>
      <c r="C5806" s="2">
        <v>8407</v>
      </c>
      <c r="D5806" s="2" t="s">
        <v>3</v>
      </c>
      <c r="E5806" s="2">
        <v>5564</v>
      </c>
      <c r="F5806" s="2" t="s">
        <v>3</v>
      </c>
      <c r="G5806" s="2" t="s">
        <v>3</v>
      </c>
      <c r="H5806" s="2">
        <v>2843</v>
      </c>
      <c r="I5806" s="2">
        <v>1101</v>
      </c>
    </row>
    <row r="5807" spans="1:9" hidden="1" x14ac:dyDescent="0.3">
      <c r="A5807" t="s">
        <v>85</v>
      </c>
      <c r="B5807" s="1">
        <v>43952</v>
      </c>
      <c r="C5807" s="2">
        <v>7606</v>
      </c>
      <c r="D5807" s="2" t="s">
        <v>3</v>
      </c>
      <c r="E5807" s="2">
        <v>5864</v>
      </c>
      <c r="F5807" s="2" t="s">
        <v>3</v>
      </c>
      <c r="G5807" s="2" t="s">
        <v>3</v>
      </c>
      <c r="H5807" s="2">
        <v>1742</v>
      </c>
      <c r="I5807" s="2">
        <v>-185</v>
      </c>
    </row>
    <row r="5808" spans="1:9" hidden="1" x14ac:dyDescent="0.3">
      <c r="A5808" t="s">
        <v>85</v>
      </c>
      <c r="B5808" s="1">
        <v>43922</v>
      </c>
      <c r="C5808" s="2">
        <v>7844</v>
      </c>
      <c r="D5808" s="2" t="s">
        <v>3</v>
      </c>
      <c r="E5808" s="2">
        <v>5917</v>
      </c>
      <c r="F5808" s="2" t="s">
        <v>3</v>
      </c>
      <c r="G5808" s="2" t="s">
        <v>3</v>
      </c>
      <c r="H5808" s="2">
        <v>1927</v>
      </c>
      <c r="I5808" s="2">
        <v>487</v>
      </c>
    </row>
    <row r="5809" spans="1:9" hidden="1" x14ac:dyDescent="0.3">
      <c r="A5809" t="s">
        <v>85</v>
      </c>
      <c r="B5809" s="1">
        <v>43891</v>
      </c>
      <c r="C5809" s="2">
        <v>7638</v>
      </c>
      <c r="D5809" s="2" t="s">
        <v>3</v>
      </c>
      <c r="E5809" s="2">
        <v>6198</v>
      </c>
      <c r="F5809" s="2" t="s">
        <v>3</v>
      </c>
      <c r="G5809" s="2" t="s">
        <v>3</v>
      </c>
      <c r="H5809" s="2">
        <v>1440</v>
      </c>
      <c r="I5809" s="2">
        <v>362</v>
      </c>
    </row>
    <row r="5810" spans="1:9" hidden="1" x14ac:dyDescent="0.3">
      <c r="A5810" t="s">
        <v>85</v>
      </c>
      <c r="B5810" s="1">
        <v>43862</v>
      </c>
      <c r="C5810" s="2">
        <v>7915</v>
      </c>
      <c r="D5810" s="2" t="s">
        <v>3</v>
      </c>
      <c r="E5810" s="2">
        <v>6837</v>
      </c>
      <c r="F5810" s="2" t="s">
        <v>3</v>
      </c>
      <c r="G5810" s="2" t="s">
        <v>3</v>
      </c>
      <c r="H5810" s="2">
        <v>1078</v>
      </c>
      <c r="I5810" s="2">
        <v>238</v>
      </c>
    </row>
    <row r="5811" spans="1:9" hidden="1" x14ac:dyDescent="0.3">
      <c r="A5811" t="s">
        <v>85</v>
      </c>
      <c r="B5811" s="1">
        <v>43831</v>
      </c>
      <c r="C5811" s="2">
        <v>7283</v>
      </c>
      <c r="D5811" s="2" t="s">
        <v>3</v>
      </c>
      <c r="E5811" s="2">
        <v>6443</v>
      </c>
      <c r="F5811" s="2" t="s">
        <v>3</v>
      </c>
      <c r="G5811" s="2" t="s">
        <v>3</v>
      </c>
      <c r="H5811" s="2">
        <v>840</v>
      </c>
      <c r="I5811" s="2">
        <v>43</v>
      </c>
    </row>
    <row r="5812" spans="1:9" x14ac:dyDescent="0.3">
      <c r="A5812" t="s">
        <v>86</v>
      </c>
      <c r="B5812" s="1">
        <v>45931</v>
      </c>
      <c r="C5812" s="2">
        <v>91896</v>
      </c>
      <c r="D5812" s="2">
        <v>4128</v>
      </c>
      <c r="E5812" s="2">
        <v>79616</v>
      </c>
      <c r="F5812" s="2">
        <v>5281</v>
      </c>
      <c r="G5812" s="2">
        <v>-1035</v>
      </c>
      <c r="H5812" s="2">
        <v>12280</v>
      </c>
      <c r="I5812" s="2">
        <v>-1153</v>
      </c>
    </row>
    <row r="5813" spans="1:9" x14ac:dyDescent="0.3">
      <c r="A5813" t="s">
        <v>86</v>
      </c>
      <c r="B5813" s="1">
        <v>45901</v>
      </c>
      <c r="C5813" s="2">
        <v>89109</v>
      </c>
      <c r="D5813" s="2">
        <v>4814</v>
      </c>
      <c r="E5813" s="2">
        <v>75676</v>
      </c>
      <c r="F5813" s="2">
        <v>3078</v>
      </c>
      <c r="G5813" s="2">
        <v>59</v>
      </c>
      <c r="H5813" s="2">
        <v>13433</v>
      </c>
      <c r="I5813" s="2">
        <v>1736</v>
      </c>
    </row>
    <row r="5814" spans="1:9" x14ac:dyDescent="0.3">
      <c r="A5814" t="s">
        <v>86</v>
      </c>
      <c r="B5814" s="1">
        <v>45870</v>
      </c>
      <c r="C5814" s="2">
        <v>84131</v>
      </c>
      <c r="D5814" s="2">
        <v>-5130</v>
      </c>
      <c r="E5814" s="2">
        <v>72434</v>
      </c>
      <c r="F5814" s="2">
        <v>-4202</v>
      </c>
      <c r="G5814" s="2">
        <v>933</v>
      </c>
      <c r="H5814" s="2">
        <v>11697</v>
      </c>
      <c r="I5814" s="2">
        <v>-928</v>
      </c>
    </row>
    <row r="5815" spans="1:9" x14ac:dyDescent="0.3">
      <c r="A5815" t="s">
        <v>86</v>
      </c>
      <c r="B5815" s="1">
        <v>45839</v>
      </c>
      <c r="C5815" s="2">
        <v>88729</v>
      </c>
      <c r="D5815" s="2">
        <v>10082</v>
      </c>
      <c r="E5815" s="2">
        <v>76104</v>
      </c>
      <c r="F5815" s="2">
        <v>9346</v>
      </c>
      <c r="G5815" s="2">
        <v>-560</v>
      </c>
      <c r="H5815" s="2">
        <v>12625</v>
      </c>
      <c r="I5815" s="2">
        <v>736</v>
      </c>
    </row>
    <row r="5816" spans="1:9" x14ac:dyDescent="0.3">
      <c r="A5816" t="s">
        <v>86</v>
      </c>
      <c r="B5816" s="1">
        <v>45809</v>
      </c>
      <c r="C5816" s="2">
        <v>79508</v>
      </c>
      <c r="D5816" s="2">
        <v>-1721</v>
      </c>
      <c r="E5816" s="2">
        <v>67619</v>
      </c>
      <c r="F5816" s="2">
        <v>-701</v>
      </c>
      <c r="G5816" s="2">
        <v>1166</v>
      </c>
      <c r="H5816" s="2">
        <v>11889</v>
      </c>
      <c r="I5816" s="2">
        <v>-1020</v>
      </c>
    </row>
    <row r="5817" spans="1:9" x14ac:dyDescent="0.3">
      <c r="A5817" t="s">
        <v>86</v>
      </c>
      <c r="B5817" s="1">
        <v>45778</v>
      </c>
      <c r="C5817" s="2">
        <v>79855</v>
      </c>
      <c r="D5817" s="2">
        <v>-2219</v>
      </c>
      <c r="E5817" s="2">
        <v>66946</v>
      </c>
      <c r="F5817" s="2">
        <v>-3871</v>
      </c>
      <c r="G5817" s="2">
        <v>-1743</v>
      </c>
      <c r="H5817" s="2">
        <v>12909</v>
      </c>
      <c r="I5817" s="2">
        <v>1652</v>
      </c>
    </row>
    <row r="5818" spans="1:9" x14ac:dyDescent="0.3">
      <c r="A5818" t="s">
        <v>86</v>
      </c>
      <c r="B5818" s="1">
        <v>45748</v>
      </c>
      <c r="C5818" s="2">
        <v>84436</v>
      </c>
      <c r="D5818" s="2">
        <v>3676</v>
      </c>
      <c r="E5818" s="2">
        <v>73179</v>
      </c>
      <c r="F5818" s="2">
        <v>1202</v>
      </c>
      <c r="G5818" s="2">
        <v>252</v>
      </c>
      <c r="H5818" s="2">
        <v>11257</v>
      </c>
      <c r="I5818" s="2">
        <v>2474</v>
      </c>
    </row>
    <row r="5819" spans="1:9" x14ac:dyDescent="0.3">
      <c r="A5819" t="s">
        <v>86</v>
      </c>
      <c r="B5819" s="1">
        <v>45717</v>
      </c>
      <c r="C5819" s="2">
        <v>81074</v>
      </c>
      <c r="D5819" s="2">
        <v>-1992</v>
      </c>
      <c r="E5819" s="2">
        <v>72291</v>
      </c>
      <c r="F5819" s="2">
        <v>-1364</v>
      </c>
      <c r="G5819" s="2">
        <v>-743</v>
      </c>
      <c r="H5819" s="2">
        <v>8783</v>
      </c>
      <c r="I5819" s="2">
        <v>-628</v>
      </c>
    </row>
    <row r="5820" spans="1:9" x14ac:dyDescent="0.3">
      <c r="A5820" t="s">
        <v>86</v>
      </c>
      <c r="B5820" s="1">
        <v>45689</v>
      </c>
      <c r="C5820" s="2">
        <v>82751</v>
      </c>
      <c r="D5820" s="2">
        <v>3485</v>
      </c>
      <c r="E5820" s="2">
        <v>73340</v>
      </c>
      <c r="F5820" s="2">
        <v>2955</v>
      </c>
      <c r="G5820" s="2">
        <v>986</v>
      </c>
      <c r="H5820" s="2">
        <v>9411</v>
      </c>
      <c r="I5820" s="2">
        <v>530</v>
      </c>
    </row>
    <row r="5821" spans="1:9" x14ac:dyDescent="0.3">
      <c r="A5821" t="s">
        <v>86</v>
      </c>
      <c r="B5821" s="1">
        <v>45658</v>
      </c>
      <c r="C5821" s="2">
        <v>77838</v>
      </c>
      <c r="D5821" s="2">
        <v>-2928</v>
      </c>
      <c r="E5821" s="2">
        <v>68957</v>
      </c>
      <c r="F5821" s="2">
        <v>-4137</v>
      </c>
      <c r="G5821" s="2">
        <v>613</v>
      </c>
      <c r="H5821" s="2">
        <v>8881</v>
      </c>
      <c r="I5821" s="2">
        <v>1209</v>
      </c>
    </row>
    <row r="5822" spans="1:9" x14ac:dyDescent="0.3">
      <c r="A5822" t="s">
        <v>86</v>
      </c>
      <c r="B5822" s="1">
        <v>45627</v>
      </c>
      <c r="C5822" s="2">
        <v>78765</v>
      </c>
      <c r="D5822" s="2">
        <v>1474</v>
      </c>
      <c r="E5822" s="2">
        <v>71093</v>
      </c>
      <c r="F5822" s="2">
        <v>2973</v>
      </c>
      <c r="G5822" s="2">
        <v>-1884</v>
      </c>
      <c r="H5822" s="2">
        <v>7672</v>
      </c>
      <c r="I5822" s="2">
        <v>-1499</v>
      </c>
    </row>
    <row r="5823" spans="1:9" x14ac:dyDescent="0.3">
      <c r="A5823" t="s">
        <v>86</v>
      </c>
      <c r="B5823" s="1">
        <v>45597</v>
      </c>
      <c r="C5823" s="2">
        <v>79833</v>
      </c>
      <c r="D5823" s="2">
        <v>-6199</v>
      </c>
      <c r="E5823" s="2">
        <v>70662</v>
      </c>
      <c r="F5823" s="2">
        <v>-5443</v>
      </c>
      <c r="G5823" s="2">
        <v>-67</v>
      </c>
      <c r="H5823" s="2">
        <v>9171</v>
      </c>
      <c r="I5823" s="2">
        <v>-756</v>
      </c>
    </row>
    <row r="5824" spans="1:9" x14ac:dyDescent="0.3">
      <c r="A5824" t="s">
        <v>86</v>
      </c>
      <c r="B5824" s="1">
        <v>45566</v>
      </c>
      <c r="C5824" s="2">
        <v>84169</v>
      </c>
      <c r="D5824" s="2">
        <v>-202</v>
      </c>
      <c r="E5824" s="2">
        <v>74242</v>
      </c>
      <c r="F5824" s="2">
        <v>-634</v>
      </c>
      <c r="G5824" s="2">
        <v>-649</v>
      </c>
      <c r="H5824" s="2">
        <v>9927</v>
      </c>
      <c r="I5824" s="2">
        <v>432</v>
      </c>
    </row>
    <row r="5825" spans="1:9" x14ac:dyDescent="0.3">
      <c r="A5825" t="s">
        <v>86</v>
      </c>
      <c r="B5825" s="1">
        <v>45536</v>
      </c>
      <c r="C5825" s="2">
        <v>85366</v>
      </c>
      <c r="D5825" s="2">
        <v>634</v>
      </c>
      <c r="E5825" s="2">
        <v>75871</v>
      </c>
      <c r="F5825" s="2">
        <v>2652</v>
      </c>
      <c r="G5825" s="2">
        <v>526</v>
      </c>
      <c r="H5825" s="2">
        <v>9495</v>
      </c>
      <c r="I5825" s="2">
        <v>-2018</v>
      </c>
    </row>
    <row r="5826" spans="1:9" x14ac:dyDescent="0.3">
      <c r="A5826" t="s">
        <v>86</v>
      </c>
      <c r="B5826" s="1">
        <v>45505</v>
      </c>
      <c r="C5826" s="2">
        <v>85910</v>
      </c>
      <c r="D5826" s="2">
        <v>-2517</v>
      </c>
      <c r="E5826" s="2">
        <v>74397</v>
      </c>
      <c r="F5826" s="2">
        <v>-4359</v>
      </c>
      <c r="G5826" s="2">
        <v>330</v>
      </c>
      <c r="H5826" s="2">
        <v>11513</v>
      </c>
      <c r="I5826" s="2">
        <v>1842</v>
      </c>
    </row>
    <row r="5827" spans="1:9" x14ac:dyDescent="0.3">
      <c r="A5827" t="s">
        <v>86</v>
      </c>
      <c r="B5827" s="1">
        <v>45474</v>
      </c>
      <c r="C5827" s="2">
        <v>86054</v>
      </c>
      <c r="D5827" s="2">
        <v>6928</v>
      </c>
      <c r="E5827" s="2">
        <v>76383</v>
      </c>
      <c r="F5827" s="2">
        <v>8319</v>
      </c>
      <c r="G5827" s="2">
        <v>1505</v>
      </c>
      <c r="H5827" s="2">
        <v>9671</v>
      </c>
      <c r="I5827" s="2">
        <v>-1391</v>
      </c>
    </row>
    <row r="5828" spans="1:9" x14ac:dyDescent="0.3">
      <c r="A5828" t="s">
        <v>86</v>
      </c>
      <c r="B5828" s="1">
        <v>45444</v>
      </c>
      <c r="C5828" s="2">
        <v>77026</v>
      </c>
      <c r="D5828" s="2">
        <v>958</v>
      </c>
      <c r="E5828" s="2">
        <v>65964</v>
      </c>
      <c r="F5828" s="2">
        <v>398</v>
      </c>
      <c r="G5828" s="2">
        <v>414</v>
      </c>
      <c r="H5828" s="2">
        <v>11062</v>
      </c>
      <c r="I5828" s="2">
        <v>560</v>
      </c>
    </row>
    <row r="5829" spans="1:9" x14ac:dyDescent="0.3">
      <c r="A5829" t="s">
        <v>86</v>
      </c>
      <c r="B5829" s="1">
        <v>45413</v>
      </c>
      <c r="C5829" s="2">
        <v>77249</v>
      </c>
      <c r="D5829" s="2">
        <v>-3691</v>
      </c>
      <c r="E5829" s="2">
        <v>66747</v>
      </c>
      <c r="F5829" s="2">
        <v>-3427</v>
      </c>
      <c r="G5829" s="2">
        <v>764</v>
      </c>
      <c r="H5829" s="2">
        <v>10502</v>
      </c>
      <c r="I5829" s="2">
        <v>-264</v>
      </c>
    </row>
    <row r="5830" spans="1:9" x14ac:dyDescent="0.3">
      <c r="A5830" t="s">
        <v>86</v>
      </c>
      <c r="B5830" s="1">
        <v>45383</v>
      </c>
      <c r="C5830" s="2">
        <v>79985</v>
      </c>
      <c r="D5830" s="2">
        <v>3737</v>
      </c>
      <c r="E5830" s="2">
        <v>69219</v>
      </c>
      <c r="F5830" s="2">
        <v>4352</v>
      </c>
      <c r="G5830" s="2">
        <v>-2401</v>
      </c>
      <c r="H5830" s="2">
        <v>10766</v>
      </c>
      <c r="I5830" s="2">
        <v>-615</v>
      </c>
    </row>
    <row r="5831" spans="1:9" x14ac:dyDescent="0.3">
      <c r="A5831" t="s">
        <v>86</v>
      </c>
      <c r="B5831" s="1">
        <v>45352</v>
      </c>
      <c r="C5831" s="2">
        <v>78382</v>
      </c>
      <c r="D5831" s="2">
        <v>-945</v>
      </c>
      <c r="E5831" s="2">
        <v>67001</v>
      </c>
      <c r="F5831" s="2">
        <v>-162</v>
      </c>
      <c r="G5831" s="2">
        <v>429</v>
      </c>
      <c r="H5831" s="2">
        <v>11381</v>
      </c>
      <c r="I5831" s="2">
        <v>-783</v>
      </c>
    </row>
    <row r="5832" spans="1:9" x14ac:dyDescent="0.3">
      <c r="A5832" t="s">
        <v>86</v>
      </c>
      <c r="B5832" s="1">
        <v>45323</v>
      </c>
      <c r="C5832" s="2">
        <v>79906</v>
      </c>
      <c r="D5832" s="2">
        <v>2123</v>
      </c>
      <c r="E5832" s="2">
        <v>67742</v>
      </c>
      <c r="F5832" s="2">
        <v>156</v>
      </c>
      <c r="G5832" s="2">
        <v>-932</v>
      </c>
      <c r="H5832" s="2">
        <v>12164</v>
      </c>
      <c r="I5832" s="2">
        <v>1967</v>
      </c>
    </row>
    <row r="5833" spans="1:9" x14ac:dyDescent="0.3">
      <c r="A5833" t="s">
        <v>86</v>
      </c>
      <c r="B5833" s="1">
        <v>45292</v>
      </c>
      <c r="C5833" s="2">
        <v>76987</v>
      </c>
      <c r="D5833" s="2">
        <v>9063</v>
      </c>
      <c r="E5833" s="2">
        <v>66790</v>
      </c>
      <c r="F5833" s="2">
        <v>12743</v>
      </c>
      <c r="G5833" s="2">
        <v>208</v>
      </c>
      <c r="H5833" s="2">
        <v>10197</v>
      </c>
      <c r="I5833" s="2">
        <v>-3680</v>
      </c>
    </row>
    <row r="5834" spans="1:9" x14ac:dyDescent="0.3">
      <c r="A5834" t="s">
        <v>86</v>
      </c>
      <c r="B5834" s="1">
        <v>45261</v>
      </c>
      <c r="C5834" s="2">
        <v>67928</v>
      </c>
      <c r="D5834" s="2">
        <v>703</v>
      </c>
      <c r="E5834" s="2">
        <v>54051</v>
      </c>
      <c r="F5834" s="2">
        <v>-532</v>
      </c>
      <c r="G5834" s="2">
        <v>1626</v>
      </c>
      <c r="H5834" s="2">
        <v>13877</v>
      </c>
      <c r="I5834" s="2">
        <v>1235</v>
      </c>
    </row>
    <row r="5835" spans="1:9" x14ac:dyDescent="0.3">
      <c r="A5835" t="s">
        <v>86</v>
      </c>
      <c r="B5835" s="1">
        <v>45231</v>
      </c>
      <c r="C5835" s="2">
        <v>64635</v>
      </c>
      <c r="D5835" s="2">
        <v>-360</v>
      </c>
      <c r="E5835" s="2">
        <v>51993</v>
      </c>
      <c r="F5835" s="2">
        <v>125</v>
      </c>
      <c r="G5835" s="2">
        <v>1367</v>
      </c>
      <c r="H5835" s="2">
        <v>12642</v>
      </c>
      <c r="I5835" s="2">
        <v>-485</v>
      </c>
    </row>
    <row r="5836" spans="1:9" x14ac:dyDescent="0.3">
      <c r="A5836" t="s">
        <v>86</v>
      </c>
      <c r="B5836" s="1">
        <v>45200</v>
      </c>
      <c r="C5836" s="2">
        <v>64037</v>
      </c>
      <c r="D5836" s="2">
        <v>-796</v>
      </c>
      <c r="E5836" s="2">
        <v>50910</v>
      </c>
      <c r="F5836" s="2">
        <v>-515</v>
      </c>
      <c r="G5836" s="2">
        <v>-444</v>
      </c>
      <c r="H5836" s="2">
        <v>13127</v>
      </c>
      <c r="I5836" s="2">
        <v>-281</v>
      </c>
    </row>
    <row r="5837" spans="1:9" x14ac:dyDescent="0.3">
      <c r="A5837" t="s">
        <v>86</v>
      </c>
      <c r="B5837" s="1">
        <v>45170</v>
      </c>
      <c r="C5837" s="2">
        <v>63697</v>
      </c>
      <c r="D5837" s="2">
        <v>1548</v>
      </c>
      <c r="E5837" s="2">
        <v>50289</v>
      </c>
      <c r="F5837" s="2">
        <v>3844</v>
      </c>
      <c r="G5837" s="2">
        <v>-796</v>
      </c>
      <c r="H5837" s="2">
        <v>13408</v>
      </c>
      <c r="I5837" s="2">
        <v>-2296</v>
      </c>
    </row>
    <row r="5838" spans="1:9" x14ac:dyDescent="0.3">
      <c r="A5838" t="s">
        <v>86</v>
      </c>
      <c r="B5838" s="1">
        <v>45139</v>
      </c>
      <c r="C5838" s="2">
        <v>63019</v>
      </c>
      <c r="D5838" s="2">
        <v>3002</v>
      </c>
      <c r="E5838" s="2">
        <v>47315</v>
      </c>
      <c r="F5838" s="2">
        <v>1194</v>
      </c>
      <c r="G5838" s="2">
        <v>-327</v>
      </c>
      <c r="H5838" s="2">
        <v>15704</v>
      </c>
      <c r="I5838" s="2">
        <v>1808</v>
      </c>
    </row>
    <row r="5839" spans="1:9" x14ac:dyDescent="0.3">
      <c r="A5839" t="s">
        <v>86</v>
      </c>
      <c r="B5839" s="1">
        <v>45108</v>
      </c>
      <c r="C5839" s="2">
        <v>60633</v>
      </c>
      <c r="D5839" s="2">
        <v>-3575</v>
      </c>
      <c r="E5839" s="2">
        <v>46737</v>
      </c>
      <c r="F5839" s="2">
        <v>-4029</v>
      </c>
      <c r="G5839" s="2">
        <v>148</v>
      </c>
      <c r="H5839" s="2">
        <v>13896</v>
      </c>
      <c r="I5839" s="2">
        <v>454</v>
      </c>
    </row>
    <row r="5840" spans="1:9" x14ac:dyDescent="0.3">
      <c r="A5840" t="s">
        <v>86</v>
      </c>
      <c r="B5840" s="1">
        <v>45078</v>
      </c>
      <c r="C5840" s="2">
        <v>62974</v>
      </c>
      <c r="D5840" s="2">
        <v>2358</v>
      </c>
      <c r="E5840" s="2">
        <v>49532</v>
      </c>
      <c r="F5840" s="2">
        <v>468</v>
      </c>
      <c r="G5840" s="2">
        <v>396</v>
      </c>
      <c r="H5840" s="2">
        <v>13442</v>
      </c>
      <c r="I5840" s="2">
        <v>1890</v>
      </c>
    </row>
    <row r="5841" spans="1:9" x14ac:dyDescent="0.3">
      <c r="A5841" t="s">
        <v>86</v>
      </c>
      <c r="B5841" s="1">
        <v>45047</v>
      </c>
      <c r="C5841" s="2">
        <v>60134</v>
      </c>
      <c r="D5841" s="2">
        <v>-1275</v>
      </c>
      <c r="E5841" s="2">
        <v>48582</v>
      </c>
      <c r="F5841" s="2">
        <v>-360</v>
      </c>
      <c r="G5841" s="2">
        <v>-666</v>
      </c>
      <c r="H5841" s="2">
        <v>11552</v>
      </c>
      <c r="I5841" s="2">
        <v>-915</v>
      </c>
    </row>
    <row r="5842" spans="1:9" x14ac:dyDescent="0.3">
      <c r="A5842" t="s">
        <v>86</v>
      </c>
      <c r="B5842" s="1">
        <v>45017</v>
      </c>
      <c r="C5842" s="2">
        <v>65447</v>
      </c>
      <c r="D5842" s="2">
        <v>-484</v>
      </c>
      <c r="E5842" s="2">
        <v>52980</v>
      </c>
      <c r="F5842" s="2">
        <v>346</v>
      </c>
      <c r="G5842" s="2">
        <v>343</v>
      </c>
      <c r="H5842" s="2">
        <v>12467</v>
      </c>
      <c r="I5842" s="2">
        <v>-830</v>
      </c>
    </row>
    <row r="5843" spans="1:9" x14ac:dyDescent="0.3">
      <c r="A5843" t="s">
        <v>86</v>
      </c>
      <c r="B5843" s="1">
        <v>44986</v>
      </c>
      <c r="C5843" s="2">
        <v>65110</v>
      </c>
      <c r="D5843" s="2">
        <v>-182</v>
      </c>
      <c r="E5843" s="2">
        <v>51813</v>
      </c>
      <c r="F5843" s="2">
        <v>-1207</v>
      </c>
      <c r="G5843" s="2">
        <v>2029</v>
      </c>
      <c r="H5843" s="2">
        <v>13297</v>
      </c>
      <c r="I5843" s="2">
        <v>1025</v>
      </c>
    </row>
    <row r="5844" spans="1:9" x14ac:dyDescent="0.3">
      <c r="A5844" t="s">
        <v>86</v>
      </c>
      <c r="B5844" s="1">
        <v>44958</v>
      </c>
      <c r="C5844" s="2">
        <v>63434</v>
      </c>
      <c r="D5844" s="2">
        <v>-1695</v>
      </c>
      <c r="E5844" s="2">
        <v>51162</v>
      </c>
      <c r="F5844" s="2">
        <v>-1004</v>
      </c>
      <c r="G5844" s="2">
        <v>-593</v>
      </c>
      <c r="H5844" s="2">
        <v>12272</v>
      </c>
      <c r="I5844" s="2">
        <v>-691</v>
      </c>
    </row>
    <row r="5845" spans="1:9" hidden="1" x14ac:dyDescent="0.3">
      <c r="A5845" t="s">
        <v>86</v>
      </c>
      <c r="B5845" s="1">
        <v>44927</v>
      </c>
      <c r="C5845" s="2">
        <v>66842</v>
      </c>
      <c r="D5845" s="2" t="s">
        <v>3</v>
      </c>
      <c r="E5845" s="2">
        <v>53879</v>
      </c>
      <c r="F5845" s="2" t="s">
        <v>3</v>
      </c>
      <c r="G5845" s="2" t="s">
        <v>3</v>
      </c>
      <c r="H5845" s="2">
        <v>12963</v>
      </c>
      <c r="I5845" s="2">
        <v>260</v>
      </c>
    </row>
    <row r="5846" spans="1:9" hidden="1" x14ac:dyDescent="0.3">
      <c r="A5846" t="s">
        <v>86</v>
      </c>
      <c r="B5846" s="1">
        <v>44896</v>
      </c>
      <c r="C5846" s="2">
        <v>62335</v>
      </c>
      <c r="D5846" s="2" t="s">
        <v>3</v>
      </c>
      <c r="E5846" s="2">
        <v>49632</v>
      </c>
      <c r="F5846" s="2" t="s">
        <v>3</v>
      </c>
      <c r="G5846" s="2" t="s">
        <v>3</v>
      </c>
      <c r="H5846" s="2">
        <v>12703</v>
      </c>
      <c r="I5846" s="2">
        <v>192</v>
      </c>
    </row>
    <row r="5847" spans="1:9" hidden="1" x14ac:dyDescent="0.3">
      <c r="A5847" t="s">
        <v>86</v>
      </c>
      <c r="B5847" s="1">
        <v>44866</v>
      </c>
      <c r="C5847" s="2">
        <v>64353</v>
      </c>
      <c r="D5847" s="2" t="s">
        <v>3</v>
      </c>
      <c r="E5847" s="2">
        <v>51842</v>
      </c>
      <c r="F5847" s="2" t="s">
        <v>3</v>
      </c>
      <c r="G5847" s="2" t="s">
        <v>3</v>
      </c>
      <c r="H5847" s="2">
        <v>12511</v>
      </c>
      <c r="I5847" s="2">
        <v>-51</v>
      </c>
    </row>
    <row r="5848" spans="1:9" hidden="1" x14ac:dyDescent="0.3">
      <c r="A5848" t="s">
        <v>86</v>
      </c>
      <c r="B5848" s="1">
        <v>44835</v>
      </c>
      <c r="C5848" s="2">
        <v>64277</v>
      </c>
      <c r="D5848" s="2" t="s">
        <v>3</v>
      </c>
      <c r="E5848" s="2">
        <v>51715</v>
      </c>
      <c r="F5848" s="2" t="s">
        <v>3</v>
      </c>
      <c r="G5848" s="2" t="s">
        <v>3</v>
      </c>
      <c r="H5848" s="2">
        <v>12562</v>
      </c>
      <c r="I5848" s="2">
        <v>463</v>
      </c>
    </row>
    <row r="5849" spans="1:9" hidden="1" x14ac:dyDescent="0.3">
      <c r="A5849" t="s">
        <v>86</v>
      </c>
      <c r="B5849" s="1">
        <v>44805</v>
      </c>
      <c r="C5849" s="2">
        <v>62516</v>
      </c>
      <c r="D5849" s="2" t="s">
        <v>3</v>
      </c>
      <c r="E5849" s="2">
        <v>50417</v>
      </c>
      <c r="F5849" s="2" t="s">
        <v>3</v>
      </c>
      <c r="G5849" s="2" t="s">
        <v>3</v>
      </c>
      <c r="H5849" s="2">
        <v>12099</v>
      </c>
      <c r="I5849" s="2">
        <v>1828</v>
      </c>
    </row>
    <row r="5850" spans="1:9" hidden="1" x14ac:dyDescent="0.3">
      <c r="A5850" t="s">
        <v>86</v>
      </c>
      <c r="B5850" s="1">
        <v>44774</v>
      </c>
      <c r="C5850" s="2">
        <v>63016</v>
      </c>
      <c r="D5850" s="2" t="s">
        <v>3</v>
      </c>
      <c r="E5850" s="2">
        <v>52745</v>
      </c>
      <c r="F5850" s="2" t="s">
        <v>3</v>
      </c>
      <c r="G5850" s="2" t="s">
        <v>3</v>
      </c>
      <c r="H5850" s="2">
        <v>10271</v>
      </c>
      <c r="I5850" s="2">
        <v>2373</v>
      </c>
    </row>
    <row r="5851" spans="1:9" hidden="1" x14ac:dyDescent="0.3">
      <c r="A5851" t="s">
        <v>86</v>
      </c>
      <c r="B5851" s="1">
        <v>44743</v>
      </c>
      <c r="C5851" s="2">
        <v>62291</v>
      </c>
      <c r="D5851" s="2" t="s">
        <v>3</v>
      </c>
      <c r="E5851" s="2">
        <v>54393</v>
      </c>
      <c r="F5851" s="2" t="s">
        <v>3</v>
      </c>
      <c r="G5851" s="2" t="s">
        <v>3</v>
      </c>
      <c r="H5851" s="2">
        <v>7898</v>
      </c>
      <c r="I5851" s="2">
        <v>311</v>
      </c>
    </row>
    <row r="5852" spans="1:9" hidden="1" x14ac:dyDescent="0.3">
      <c r="A5852" t="s">
        <v>86</v>
      </c>
      <c r="B5852" s="1">
        <v>44713</v>
      </c>
      <c r="C5852" s="2">
        <v>60227</v>
      </c>
      <c r="D5852" s="2" t="s">
        <v>3</v>
      </c>
      <c r="E5852" s="2">
        <v>52640</v>
      </c>
      <c r="F5852" s="2" t="s">
        <v>3</v>
      </c>
      <c r="G5852" s="2" t="s">
        <v>3</v>
      </c>
      <c r="H5852" s="2">
        <v>7587</v>
      </c>
      <c r="I5852" s="2">
        <v>-1444</v>
      </c>
    </row>
    <row r="5853" spans="1:9" hidden="1" x14ac:dyDescent="0.3">
      <c r="A5853" t="s">
        <v>86</v>
      </c>
      <c r="B5853" s="1">
        <v>44682</v>
      </c>
      <c r="C5853" s="2">
        <v>63483</v>
      </c>
      <c r="D5853" s="2" t="s">
        <v>3</v>
      </c>
      <c r="E5853" s="2">
        <v>54452</v>
      </c>
      <c r="F5853" s="2" t="s">
        <v>3</v>
      </c>
      <c r="G5853" s="2" t="s">
        <v>3</v>
      </c>
      <c r="H5853" s="2">
        <v>9031</v>
      </c>
      <c r="I5853" s="2">
        <v>-2303</v>
      </c>
    </row>
    <row r="5854" spans="1:9" hidden="1" x14ac:dyDescent="0.3">
      <c r="A5854" t="s">
        <v>86</v>
      </c>
      <c r="B5854" s="1">
        <v>44652</v>
      </c>
      <c r="C5854" s="2">
        <v>66312</v>
      </c>
      <c r="D5854" s="2" t="s">
        <v>3</v>
      </c>
      <c r="E5854" s="2">
        <v>54978</v>
      </c>
      <c r="F5854" s="2" t="s">
        <v>3</v>
      </c>
      <c r="G5854" s="2" t="s">
        <v>3</v>
      </c>
      <c r="H5854" s="2">
        <v>11334</v>
      </c>
      <c r="I5854" s="2">
        <v>-785</v>
      </c>
    </row>
    <row r="5855" spans="1:9" hidden="1" x14ac:dyDescent="0.3">
      <c r="A5855" t="s">
        <v>86</v>
      </c>
      <c r="B5855" s="1">
        <v>44621</v>
      </c>
      <c r="C5855" s="2">
        <v>65433</v>
      </c>
      <c r="D5855" s="2" t="s">
        <v>3</v>
      </c>
      <c r="E5855" s="2">
        <v>53314</v>
      </c>
      <c r="F5855" s="2" t="s">
        <v>3</v>
      </c>
      <c r="G5855" s="2" t="s">
        <v>3</v>
      </c>
      <c r="H5855" s="2">
        <v>12119</v>
      </c>
      <c r="I5855" s="2">
        <v>-379</v>
      </c>
    </row>
    <row r="5856" spans="1:9" hidden="1" x14ac:dyDescent="0.3">
      <c r="A5856" t="s">
        <v>86</v>
      </c>
      <c r="B5856" s="1">
        <v>44593</v>
      </c>
      <c r="C5856" s="2">
        <v>66514</v>
      </c>
      <c r="D5856" s="2" t="s">
        <v>3</v>
      </c>
      <c r="E5856" s="2">
        <v>54016</v>
      </c>
      <c r="F5856" s="2" t="s">
        <v>3</v>
      </c>
      <c r="G5856" s="2" t="s">
        <v>3</v>
      </c>
      <c r="H5856" s="2">
        <v>12498</v>
      </c>
      <c r="I5856" s="2">
        <v>-473</v>
      </c>
    </row>
    <row r="5857" spans="1:9" hidden="1" x14ac:dyDescent="0.3">
      <c r="A5857" t="s">
        <v>86</v>
      </c>
      <c r="B5857" s="1">
        <v>44562</v>
      </c>
      <c r="C5857" s="2">
        <v>65513</v>
      </c>
      <c r="D5857" s="2" t="s">
        <v>3</v>
      </c>
      <c r="E5857" s="2">
        <v>52542</v>
      </c>
      <c r="F5857" s="2" t="s">
        <v>3</v>
      </c>
      <c r="G5857" s="2" t="s">
        <v>3</v>
      </c>
      <c r="H5857" s="2">
        <v>12971</v>
      </c>
      <c r="I5857" s="2">
        <v>1648</v>
      </c>
    </row>
    <row r="5858" spans="1:9" hidden="1" x14ac:dyDescent="0.3">
      <c r="A5858" t="s">
        <v>86</v>
      </c>
      <c r="B5858" s="1">
        <v>44531</v>
      </c>
      <c r="C5858" s="2">
        <v>62153</v>
      </c>
      <c r="D5858" s="2" t="s">
        <v>3</v>
      </c>
      <c r="E5858" s="2">
        <v>50830</v>
      </c>
      <c r="F5858" s="2" t="s">
        <v>3</v>
      </c>
      <c r="G5858" s="2" t="s">
        <v>3</v>
      </c>
      <c r="H5858" s="2">
        <v>11323</v>
      </c>
      <c r="I5858" s="2">
        <v>415</v>
      </c>
    </row>
    <row r="5859" spans="1:9" hidden="1" x14ac:dyDescent="0.3">
      <c r="A5859" t="s">
        <v>86</v>
      </c>
      <c r="B5859" s="1">
        <v>44501</v>
      </c>
      <c r="C5859" s="2">
        <v>60773</v>
      </c>
      <c r="D5859" s="2" t="s">
        <v>3</v>
      </c>
      <c r="E5859" s="2">
        <v>49865</v>
      </c>
      <c r="F5859" s="2" t="s">
        <v>3</v>
      </c>
      <c r="G5859" s="2" t="s">
        <v>3</v>
      </c>
      <c r="H5859" s="2">
        <v>10908</v>
      </c>
      <c r="I5859" s="2">
        <v>-317</v>
      </c>
    </row>
    <row r="5860" spans="1:9" hidden="1" x14ac:dyDescent="0.3">
      <c r="A5860" t="s">
        <v>86</v>
      </c>
      <c r="B5860" s="1">
        <v>44470</v>
      </c>
      <c r="C5860" s="2">
        <v>59923</v>
      </c>
      <c r="D5860" s="2" t="s">
        <v>3</v>
      </c>
      <c r="E5860" s="2">
        <v>48698</v>
      </c>
      <c r="F5860" s="2" t="s">
        <v>3</v>
      </c>
      <c r="G5860" s="2" t="s">
        <v>3</v>
      </c>
      <c r="H5860" s="2">
        <v>11225</v>
      </c>
      <c r="I5860" s="2">
        <v>1366</v>
      </c>
    </row>
    <row r="5861" spans="1:9" hidden="1" x14ac:dyDescent="0.3">
      <c r="A5861" t="s">
        <v>86</v>
      </c>
      <c r="B5861" s="1">
        <v>44440</v>
      </c>
      <c r="C5861" s="2">
        <v>53904</v>
      </c>
      <c r="D5861" s="2" t="s">
        <v>3</v>
      </c>
      <c r="E5861" s="2">
        <v>44045</v>
      </c>
      <c r="F5861" s="2" t="s">
        <v>3</v>
      </c>
      <c r="G5861" s="2" t="s">
        <v>3</v>
      </c>
      <c r="H5861" s="2">
        <v>9859</v>
      </c>
      <c r="I5861" s="2">
        <v>716</v>
      </c>
    </row>
    <row r="5862" spans="1:9" hidden="1" x14ac:dyDescent="0.3">
      <c r="A5862" t="s">
        <v>86</v>
      </c>
      <c r="B5862" s="1">
        <v>44409</v>
      </c>
      <c r="C5862" s="2">
        <v>53668</v>
      </c>
      <c r="D5862" s="2" t="s">
        <v>3</v>
      </c>
      <c r="E5862" s="2">
        <v>44525</v>
      </c>
      <c r="F5862" s="2" t="s">
        <v>3</v>
      </c>
      <c r="G5862" s="2" t="s">
        <v>3</v>
      </c>
      <c r="H5862" s="2">
        <v>9143</v>
      </c>
      <c r="I5862" s="2">
        <v>258</v>
      </c>
    </row>
    <row r="5863" spans="1:9" hidden="1" x14ac:dyDescent="0.3">
      <c r="A5863" t="s">
        <v>86</v>
      </c>
      <c r="B5863" s="1">
        <v>44378</v>
      </c>
      <c r="C5863" s="2">
        <v>53077</v>
      </c>
      <c r="D5863" s="2" t="s">
        <v>3</v>
      </c>
      <c r="E5863" s="2">
        <v>44192</v>
      </c>
      <c r="F5863" s="2" t="s">
        <v>3</v>
      </c>
      <c r="G5863" s="2" t="s">
        <v>3</v>
      </c>
      <c r="H5863" s="2">
        <v>8885</v>
      </c>
      <c r="I5863" s="2">
        <v>-927</v>
      </c>
    </row>
    <row r="5864" spans="1:9" hidden="1" x14ac:dyDescent="0.3">
      <c r="A5864" t="s">
        <v>86</v>
      </c>
      <c r="B5864" s="1">
        <v>44348</v>
      </c>
      <c r="C5864" s="2">
        <v>52442</v>
      </c>
      <c r="D5864" s="2" t="s">
        <v>3</v>
      </c>
      <c r="E5864" s="2">
        <v>42630</v>
      </c>
      <c r="F5864" s="2" t="s">
        <v>3</v>
      </c>
      <c r="G5864" s="2" t="s">
        <v>3</v>
      </c>
      <c r="H5864" s="2">
        <v>9812</v>
      </c>
      <c r="I5864" s="2">
        <v>-161</v>
      </c>
    </row>
    <row r="5865" spans="1:9" hidden="1" x14ac:dyDescent="0.3">
      <c r="A5865" t="s">
        <v>86</v>
      </c>
      <c r="B5865" s="1">
        <v>44317</v>
      </c>
      <c r="C5865" s="2">
        <v>52563</v>
      </c>
      <c r="D5865" s="2" t="s">
        <v>3</v>
      </c>
      <c r="E5865" s="2">
        <v>42590</v>
      </c>
      <c r="F5865" s="2" t="s">
        <v>3</v>
      </c>
      <c r="G5865" s="2" t="s">
        <v>3</v>
      </c>
      <c r="H5865" s="2">
        <v>9973</v>
      </c>
      <c r="I5865" s="2">
        <v>709</v>
      </c>
    </row>
    <row r="5866" spans="1:9" hidden="1" x14ac:dyDescent="0.3">
      <c r="A5866" t="s">
        <v>86</v>
      </c>
      <c r="B5866" s="1">
        <v>44287</v>
      </c>
      <c r="C5866" s="2">
        <v>50840</v>
      </c>
      <c r="D5866" s="2" t="s">
        <v>3</v>
      </c>
      <c r="E5866" s="2">
        <v>41576</v>
      </c>
      <c r="F5866" s="2" t="s">
        <v>3</v>
      </c>
      <c r="G5866" s="2" t="s">
        <v>3</v>
      </c>
      <c r="H5866" s="2">
        <v>9264</v>
      </c>
      <c r="I5866" s="2">
        <v>-508</v>
      </c>
    </row>
    <row r="5867" spans="1:9" hidden="1" x14ac:dyDescent="0.3">
      <c r="A5867" t="s">
        <v>86</v>
      </c>
      <c r="B5867" s="1">
        <v>44256</v>
      </c>
      <c r="C5867" s="2">
        <v>49512</v>
      </c>
      <c r="D5867" s="2" t="s">
        <v>3</v>
      </c>
      <c r="E5867" s="2">
        <v>39740</v>
      </c>
      <c r="F5867" s="2" t="s">
        <v>3</v>
      </c>
      <c r="G5867" s="2" t="s">
        <v>3</v>
      </c>
      <c r="H5867" s="2">
        <v>9772</v>
      </c>
      <c r="I5867" s="2">
        <v>-753</v>
      </c>
    </row>
    <row r="5868" spans="1:9" hidden="1" x14ac:dyDescent="0.3">
      <c r="A5868" t="s">
        <v>86</v>
      </c>
      <c r="B5868" s="1">
        <v>44228</v>
      </c>
      <c r="C5868" s="2">
        <v>49518</v>
      </c>
      <c r="D5868" s="2" t="s">
        <v>3</v>
      </c>
      <c r="E5868" s="2">
        <v>38993</v>
      </c>
      <c r="F5868" s="2" t="s">
        <v>3</v>
      </c>
      <c r="G5868" s="2" t="s">
        <v>3</v>
      </c>
      <c r="H5868" s="2">
        <v>10525</v>
      </c>
      <c r="I5868" s="2">
        <v>-1840</v>
      </c>
    </row>
    <row r="5869" spans="1:9" hidden="1" x14ac:dyDescent="0.3">
      <c r="A5869" t="s">
        <v>86</v>
      </c>
      <c r="B5869" s="1">
        <v>44197</v>
      </c>
      <c r="C5869" s="2">
        <v>49801</v>
      </c>
      <c r="D5869" s="2" t="s">
        <v>3</v>
      </c>
      <c r="E5869" s="2">
        <v>37436</v>
      </c>
      <c r="F5869" s="2" t="s">
        <v>3</v>
      </c>
      <c r="G5869" s="2" t="s">
        <v>3</v>
      </c>
      <c r="H5869" s="2">
        <v>12365</v>
      </c>
      <c r="I5869" s="2">
        <v>2506</v>
      </c>
    </row>
    <row r="5870" spans="1:9" hidden="1" x14ac:dyDescent="0.3">
      <c r="A5870" t="s">
        <v>86</v>
      </c>
      <c r="B5870" s="1">
        <v>44166</v>
      </c>
      <c r="C5870" s="2">
        <v>47673</v>
      </c>
      <c r="D5870" s="2" t="s">
        <v>3</v>
      </c>
      <c r="E5870" s="2">
        <v>37814</v>
      </c>
      <c r="F5870" s="2" t="s">
        <v>3</v>
      </c>
      <c r="G5870" s="2" t="s">
        <v>3</v>
      </c>
      <c r="H5870" s="2">
        <v>9859</v>
      </c>
      <c r="I5870" s="2">
        <v>-2563</v>
      </c>
    </row>
    <row r="5871" spans="1:9" hidden="1" x14ac:dyDescent="0.3">
      <c r="A5871" t="s">
        <v>86</v>
      </c>
      <c r="B5871" s="1">
        <v>44136</v>
      </c>
      <c r="C5871" s="2">
        <v>48994</v>
      </c>
      <c r="D5871" s="2" t="s">
        <v>3</v>
      </c>
      <c r="E5871" s="2">
        <v>36572</v>
      </c>
      <c r="F5871" s="2" t="s">
        <v>3</v>
      </c>
      <c r="G5871" s="2" t="s">
        <v>3</v>
      </c>
      <c r="H5871" s="2">
        <v>12422</v>
      </c>
      <c r="I5871" s="2">
        <v>1936</v>
      </c>
    </row>
    <row r="5872" spans="1:9" hidden="1" x14ac:dyDescent="0.3">
      <c r="A5872" t="s">
        <v>86</v>
      </c>
      <c r="B5872" s="1">
        <v>44105</v>
      </c>
      <c r="C5872" s="2">
        <v>47413</v>
      </c>
      <c r="D5872" s="2" t="s">
        <v>3</v>
      </c>
      <c r="E5872" s="2">
        <v>36927</v>
      </c>
      <c r="F5872" s="2" t="s">
        <v>3</v>
      </c>
      <c r="G5872" s="2" t="s">
        <v>3</v>
      </c>
      <c r="H5872" s="2">
        <v>10486</v>
      </c>
      <c r="I5872" s="2">
        <v>925</v>
      </c>
    </row>
    <row r="5873" spans="1:9" hidden="1" x14ac:dyDescent="0.3">
      <c r="A5873" t="s">
        <v>86</v>
      </c>
      <c r="B5873" s="1">
        <v>44075</v>
      </c>
      <c r="C5873" s="2">
        <v>46625</v>
      </c>
      <c r="D5873" s="2" t="s">
        <v>3</v>
      </c>
      <c r="E5873" s="2">
        <v>37064</v>
      </c>
      <c r="F5873" s="2" t="s">
        <v>3</v>
      </c>
      <c r="G5873" s="2" t="s">
        <v>3</v>
      </c>
      <c r="H5873" s="2">
        <v>9561</v>
      </c>
      <c r="I5873" s="2">
        <v>-1038</v>
      </c>
    </row>
    <row r="5874" spans="1:9" hidden="1" x14ac:dyDescent="0.3">
      <c r="A5874" t="s">
        <v>86</v>
      </c>
      <c r="B5874" s="1">
        <v>44044</v>
      </c>
      <c r="C5874" s="2">
        <v>50902</v>
      </c>
      <c r="D5874" s="2" t="s">
        <v>3</v>
      </c>
      <c r="E5874" s="2">
        <v>40303</v>
      </c>
      <c r="F5874" s="2" t="s">
        <v>3</v>
      </c>
      <c r="G5874" s="2" t="s">
        <v>3</v>
      </c>
      <c r="H5874" s="2">
        <v>10599</v>
      </c>
      <c r="I5874" s="2">
        <v>-636</v>
      </c>
    </row>
    <row r="5875" spans="1:9" hidden="1" x14ac:dyDescent="0.3">
      <c r="A5875" t="s">
        <v>86</v>
      </c>
      <c r="B5875" s="1">
        <v>44013</v>
      </c>
      <c r="C5875" s="2">
        <v>51517</v>
      </c>
      <c r="D5875" s="2" t="s">
        <v>3</v>
      </c>
      <c r="E5875" s="2">
        <v>40282</v>
      </c>
      <c r="F5875" s="2" t="s">
        <v>3</v>
      </c>
      <c r="G5875" s="2" t="s">
        <v>3</v>
      </c>
      <c r="H5875" s="2">
        <v>11235</v>
      </c>
      <c r="I5875" s="2">
        <v>-1946</v>
      </c>
    </row>
    <row r="5876" spans="1:9" hidden="1" x14ac:dyDescent="0.3">
      <c r="A5876" t="s">
        <v>86</v>
      </c>
      <c r="B5876" s="1">
        <v>43983</v>
      </c>
      <c r="C5876" s="2">
        <v>51728</v>
      </c>
      <c r="D5876" s="2" t="s">
        <v>3</v>
      </c>
      <c r="E5876" s="2">
        <v>38547</v>
      </c>
      <c r="F5876" s="2" t="s">
        <v>3</v>
      </c>
      <c r="G5876" s="2" t="s">
        <v>3</v>
      </c>
      <c r="H5876" s="2">
        <v>13181</v>
      </c>
      <c r="I5876" s="2">
        <v>1618</v>
      </c>
    </row>
    <row r="5877" spans="1:9" hidden="1" x14ac:dyDescent="0.3">
      <c r="A5877" t="s">
        <v>86</v>
      </c>
      <c r="B5877" s="1">
        <v>43952</v>
      </c>
      <c r="C5877" s="2">
        <v>51267</v>
      </c>
      <c r="D5877" s="2" t="s">
        <v>3</v>
      </c>
      <c r="E5877" s="2">
        <v>39704</v>
      </c>
      <c r="F5877" s="2" t="s">
        <v>3</v>
      </c>
      <c r="G5877" s="2" t="s">
        <v>3</v>
      </c>
      <c r="H5877" s="2">
        <v>11563</v>
      </c>
      <c r="I5877" s="2">
        <v>1599</v>
      </c>
    </row>
    <row r="5878" spans="1:9" hidden="1" x14ac:dyDescent="0.3">
      <c r="A5878" t="s">
        <v>86</v>
      </c>
      <c r="B5878" s="1">
        <v>43922</v>
      </c>
      <c r="C5878" s="2">
        <v>52925</v>
      </c>
      <c r="D5878" s="2" t="s">
        <v>3</v>
      </c>
      <c r="E5878" s="2">
        <v>42961</v>
      </c>
      <c r="F5878" s="2" t="s">
        <v>3</v>
      </c>
      <c r="G5878" s="2" t="s">
        <v>3</v>
      </c>
      <c r="H5878" s="2">
        <v>9964</v>
      </c>
      <c r="I5878" s="2">
        <v>2729</v>
      </c>
    </row>
    <row r="5879" spans="1:9" hidden="1" x14ac:dyDescent="0.3">
      <c r="A5879" t="s">
        <v>86</v>
      </c>
      <c r="B5879" s="1">
        <v>43891</v>
      </c>
      <c r="C5879" s="2">
        <v>54207</v>
      </c>
      <c r="D5879" s="2" t="s">
        <v>3</v>
      </c>
      <c r="E5879" s="2">
        <v>46972</v>
      </c>
      <c r="F5879" s="2" t="s">
        <v>3</v>
      </c>
      <c r="G5879" s="2" t="s">
        <v>3</v>
      </c>
      <c r="H5879" s="2">
        <v>7235</v>
      </c>
      <c r="I5879" s="2">
        <v>552</v>
      </c>
    </row>
    <row r="5880" spans="1:9" hidden="1" x14ac:dyDescent="0.3">
      <c r="A5880" t="s">
        <v>86</v>
      </c>
      <c r="B5880" s="1">
        <v>43862</v>
      </c>
      <c r="C5880" s="2">
        <v>52058</v>
      </c>
      <c r="D5880" s="2" t="s">
        <v>3</v>
      </c>
      <c r="E5880" s="2">
        <v>45375</v>
      </c>
      <c r="F5880" s="2" t="s">
        <v>3</v>
      </c>
      <c r="G5880" s="2" t="s">
        <v>3</v>
      </c>
      <c r="H5880" s="2">
        <v>6683</v>
      </c>
      <c r="I5880" s="2">
        <v>-90</v>
      </c>
    </row>
    <row r="5881" spans="1:9" hidden="1" x14ac:dyDescent="0.3">
      <c r="A5881" t="s">
        <v>86</v>
      </c>
      <c r="B5881" s="1">
        <v>43831</v>
      </c>
      <c r="C5881" s="2">
        <v>52791</v>
      </c>
      <c r="D5881" s="2" t="s">
        <v>3</v>
      </c>
      <c r="E5881" s="2">
        <v>46018</v>
      </c>
      <c r="F5881" s="2" t="s">
        <v>3</v>
      </c>
      <c r="G5881" s="2" t="s">
        <v>3</v>
      </c>
      <c r="H5881" s="2">
        <v>6773</v>
      </c>
      <c r="I5881" s="2">
        <v>-175</v>
      </c>
    </row>
    <row r="5882" spans="1:9" x14ac:dyDescent="0.3">
      <c r="A5882" t="s">
        <v>87</v>
      </c>
      <c r="B5882" s="1">
        <v>45931</v>
      </c>
      <c r="C5882" s="2">
        <v>9150537</v>
      </c>
      <c r="D5882" s="2">
        <v>-37548</v>
      </c>
      <c r="E5882" s="2">
        <v>7737453</v>
      </c>
      <c r="F5882" s="2">
        <v>-61275</v>
      </c>
      <c r="G5882" s="2">
        <v>11434</v>
      </c>
      <c r="H5882" s="2">
        <v>1413084</v>
      </c>
      <c r="I5882" s="2">
        <v>23727</v>
      </c>
    </row>
    <row r="5883" spans="1:9" x14ac:dyDescent="0.3">
      <c r="A5883" t="s">
        <v>87</v>
      </c>
      <c r="B5883" s="1">
        <v>45901</v>
      </c>
      <c r="C5883" s="2">
        <v>9153928</v>
      </c>
      <c r="D5883" s="2">
        <v>1581</v>
      </c>
      <c r="E5883" s="2">
        <v>7764571</v>
      </c>
      <c r="F5883" s="2">
        <v>24432</v>
      </c>
      <c r="G5883" s="2">
        <v>32636</v>
      </c>
      <c r="H5883" s="2">
        <v>1389357</v>
      </c>
      <c r="I5883" s="2">
        <v>-22851</v>
      </c>
    </row>
    <row r="5884" spans="1:9" x14ac:dyDescent="0.3">
      <c r="A5884" t="s">
        <v>87</v>
      </c>
      <c r="B5884" s="1">
        <v>45870</v>
      </c>
      <c r="C5884" s="2">
        <v>9172221</v>
      </c>
      <c r="D5884" s="2">
        <v>71457</v>
      </c>
      <c r="E5884" s="2">
        <v>7760013</v>
      </c>
      <c r="F5884" s="2">
        <v>47265</v>
      </c>
      <c r="G5884" s="2">
        <v>40855</v>
      </c>
      <c r="H5884" s="2">
        <v>1412208</v>
      </c>
      <c r="I5884" s="2">
        <v>24192</v>
      </c>
    </row>
    <row r="5885" spans="1:9" x14ac:dyDescent="0.3">
      <c r="A5885" t="s">
        <v>87</v>
      </c>
      <c r="B5885" s="1">
        <v>45839</v>
      </c>
      <c r="C5885" s="2">
        <v>9032348</v>
      </c>
      <c r="D5885" s="2">
        <v>46026</v>
      </c>
      <c r="E5885" s="2">
        <v>7644332</v>
      </c>
      <c r="F5885" s="2">
        <v>44165</v>
      </c>
      <c r="G5885" s="2">
        <v>-48918</v>
      </c>
      <c r="H5885" s="2">
        <v>1388016</v>
      </c>
      <c r="I5885" s="2">
        <v>1861</v>
      </c>
    </row>
    <row r="5886" spans="1:9" x14ac:dyDescent="0.3">
      <c r="A5886" t="s">
        <v>87</v>
      </c>
      <c r="B5886" s="1">
        <v>45809</v>
      </c>
      <c r="C5886" s="2">
        <v>9012241</v>
      </c>
      <c r="D5886" s="2">
        <v>3364</v>
      </c>
      <c r="E5886" s="2">
        <v>7626086</v>
      </c>
      <c r="F5886" s="2">
        <v>-3940</v>
      </c>
      <c r="G5886" s="2">
        <v>50828</v>
      </c>
      <c r="H5886" s="2">
        <v>1386155</v>
      </c>
      <c r="I5886" s="2">
        <v>7304</v>
      </c>
    </row>
    <row r="5887" spans="1:9" x14ac:dyDescent="0.3">
      <c r="A5887" t="s">
        <v>87</v>
      </c>
      <c r="B5887" s="1">
        <v>45778</v>
      </c>
      <c r="C5887" s="2">
        <v>8937169</v>
      </c>
      <c r="D5887" s="2">
        <v>137030</v>
      </c>
      <c r="E5887" s="2">
        <v>7558318</v>
      </c>
      <c r="F5887" s="2">
        <v>134103</v>
      </c>
      <c r="G5887" s="2">
        <v>-80084</v>
      </c>
      <c r="H5887" s="2">
        <v>1378851</v>
      </c>
      <c r="I5887" s="2">
        <v>2927</v>
      </c>
    </row>
    <row r="5888" spans="1:9" x14ac:dyDescent="0.3">
      <c r="A5888" t="s">
        <v>87</v>
      </c>
      <c r="B5888" s="1">
        <v>45748</v>
      </c>
      <c r="C5888" s="2">
        <v>8913261</v>
      </c>
      <c r="D5888" s="2">
        <v>-73257</v>
      </c>
      <c r="E5888" s="2">
        <v>7537337</v>
      </c>
      <c r="F5888" s="2">
        <v>-58690</v>
      </c>
      <c r="G5888" s="2">
        <v>22851</v>
      </c>
      <c r="H5888" s="2">
        <v>1375924</v>
      </c>
      <c r="I5888" s="2">
        <v>-14567</v>
      </c>
    </row>
    <row r="5889" spans="1:9" x14ac:dyDescent="0.3">
      <c r="A5889" t="s">
        <v>87</v>
      </c>
      <c r="B5889" s="1">
        <v>45717</v>
      </c>
      <c r="C5889" s="2">
        <v>8970210</v>
      </c>
      <c r="D5889" s="2">
        <v>143358</v>
      </c>
      <c r="E5889" s="2">
        <v>7579719</v>
      </c>
      <c r="F5889" s="2">
        <v>126023</v>
      </c>
      <c r="G5889" s="2">
        <v>-2570</v>
      </c>
      <c r="H5889" s="2">
        <v>1390491</v>
      </c>
      <c r="I5889" s="2">
        <v>17335</v>
      </c>
    </row>
    <row r="5890" spans="1:9" x14ac:dyDescent="0.3">
      <c r="A5890" t="s">
        <v>87</v>
      </c>
      <c r="B5890" s="1">
        <v>45689</v>
      </c>
      <c r="C5890" s="2">
        <v>8817426</v>
      </c>
      <c r="D5890" s="2">
        <v>171443</v>
      </c>
      <c r="E5890" s="2">
        <v>7444270</v>
      </c>
      <c r="F5890" s="2">
        <v>105049</v>
      </c>
      <c r="G5890" s="2">
        <v>116349</v>
      </c>
      <c r="H5890" s="2">
        <v>1373156</v>
      </c>
      <c r="I5890" s="2">
        <v>66394</v>
      </c>
    </row>
    <row r="5891" spans="1:9" x14ac:dyDescent="0.3">
      <c r="A5891" t="s">
        <v>87</v>
      </c>
      <c r="B5891" s="1">
        <v>45658</v>
      </c>
      <c r="C5891" s="2">
        <v>8528300</v>
      </c>
      <c r="D5891" s="2">
        <v>38918</v>
      </c>
      <c r="E5891" s="2">
        <v>7221538</v>
      </c>
      <c r="F5891" s="2">
        <v>-3640</v>
      </c>
      <c r="G5891" s="2">
        <v>5926</v>
      </c>
      <c r="H5891" s="2">
        <v>1306762</v>
      </c>
      <c r="I5891" s="2">
        <v>42558</v>
      </c>
    </row>
    <row r="5892" spans="1:9" x14ac:dyDescent="0.3">
      <c r="A5892" t="s">
        <v>87</v>
      </c>
      <c r="B5892" s="1">
        <v>45627</v>
      </c>
      <c r="C5892" s="2">
        <v>8506419</v>
      </c>
      <c r="D5892" s="2">
        <v>-16609</v>
      </c>
      <c r="E5892" s="2">
        <v>7242215</v>
      </c>
      <c r="F5892" s="2">
        <v>-41477</v>
      </c>
      <c r="G5892" s="2">
        <v>-96288</v>
      </c>
      <c r="H5892" s="2">
        <v>1264204</v>
      </c>
      <c r="I5892" s="2">
        <v>24868</v>
      </c>
    </row>
    <row r="5893" spans="1:9" x14ac:dyDescent="0.3">
      <c r="A5893" t="s">
        <v>87</v>
      </c>
      <c r="B5893" s="1">
        <v>45597</v>
      </c>
      <c r="C5893" s="2">
        <v>8615470</v>
      </c>
      <c r="D5893" s="2">
        <v>-25121</v>
      </c>
      <c r="E5893" s="2">
        <v>7376134</v>
      </c>
      <c r="F5893" s="2">
        <v>-34565</v>
      </c>
      <c r="G5893" s="2">
        <v>44656</v>
      </c>
      <c r="H5893" s="2">
        <v>1239336</v>
      </c>
      <c r="I5893" s="2">
        <v>9444</v>
      </c>
    </row>
    <row r="5894" spans="1:9" x14ac:dyDescent="0.3">
      <c r="A5894" t="s">
        <v>87</v>
      </c>
      <c r="B5894" s="1">
        <v>45566</v>
      </c>
      <c r="C5894" s="2">
        <v>8582797</v>
      </c>
      <c r="D5894" s="2">
        <v>89531</v>
      </c>
      <c r="E5894" s="2">
        <v>7352905</v>
      </c>
      <c r="F5894" s="2">
        <v>84315</v>
      </c>
      <c r="G5894" s="2">
        <v>-112830</v>
      </c>
      <c r="H5894" s="2">
        <v>1229892</v>
      </c>
      <c r="I5894" s="2">
        <v>5216</v>
      </c>
    </row>
    <row r="5895" spans="1:9" x14ac:dyDescent="0.3">
      <c r="A5895" t="s">
        <v>87</v>
      </c>
      <c r="B5895" s="1">
        <v>45536</v>
      </c>
      <c r="C5895" s="2">
        <v>8666442</v>
      </c>
      <c r="D5895" s="2">
        <v>76066</v>
      </c>
      <c r="E5895" s="2">
        <v>7441766</v>
      </c>
      <c r="F5895" s="2">
        <v>62566</v>
      </c>
      <c r="G5895" s="2">
        <v>54006</v>
      </c>
      <c r="H5895" s="2">
        <v>1224676</v>
      </c>
      <c r="I5895" s="2">
        <v>13500</v>
      </c>
    </row>
    <row r="5896" spans="1:9" x14ac:dyDescent="0.3">
      <c r="A5896" t="s">
        <v>87</v>
      </c>
      <c r="B5896" s="1">
        <v>45505</v>
      </c>
      <c r="C5896" s="2">
        <v>8508975</v>
      </c>
      <c r="D5896" s="2">
        <v>92353</v>
      </c>
      <c r="E5896" s="2">
        <v>7297799</v>
      </c>
      <c r="F5896" s="2">
        <v>22995</v>
      </c>
      <c r="G5896" s="2">
        <v>73818</v>
      </c>
      <c r="H5896" s="2">
        <v>1211176</v>
      </c>
      <c r="I5896" s="2">
        <v>69358</v>
      </c>
    </row>
    <row r="5897" spans="1:9" x14ac:dyDescent="0.3">
      <c r="A5897" t="s">
        <v>87</v>
      </c>
      <c r="B5897" s="1">
        <v>45474</v>
      </c>
      <c r="C5897" s="2">
        <v>8325951</v>
      </c>
      <c r="D5897" s="2">
        <v>62986</v>
      </c>
      <c r="E5897" s="2">
        <v>7184133</v>
      </c>
      <c r="F5897" s="2">
        <v>52581</v>
      </c>
      <c r="G5897" s="2">
        <v>91706</v>
      </c>
      <c r="H5897" s="2">
        <v>1141818</v>
      </c>
      <c r="I5897" s="2">
        <v>10405</v>
      </c>
    </row>
    <row r="5898" spans="1:9" x14ac:dyDescent="0.3">
      <c r="A5898" t="s">
        <v>87</v>
      </c>
      <c r="B5898" s="1">
        <v>45444</v>
      </c>
      <c r="C5898" s="2">
        <v>8202035</v>
      </c>
      <c r="D5898" s="2">
        <v>91313</v>
      </c>
      <c r="E5898" s="2">
        <v>7070622</v>
      </c>
      <c r="F5898" s="2">
        <v>7777</v>
      </c>
      <c r="G5898" s="2">
        <v>80833</v>
      </c>
      <c r="H5898" s="2">
        <v>1131413</v>
      </c>
      <c r="I5898" s="2">
        <v>83536</v>
      </c>
    </row>
    <row r="5899" spans="1:9" x14ac:dyDescent="0.3">
      <c r="A5899" t="s">
        <v>87</v>
      </c>
      <c r="B5899" s="1">
        <v>45413</v>
      </c>
      <c r="C5899" s="2">
        <v>8027086</v>
      </c>
      <c r="D5899" s="2">
        <v>34220</v>
      </c>
      <c r="E5899" s="2">
        <v>6979209</v>
      </c>
      <c r="F5899" s="2">
        <v>43835</v>
      </c>
      <c r="G5899" s="2">
        <v>51333</v>
      </c>
      <c r="H5899" s="2">
        <v>1047877</v>
      </c>
      <c r="I5899" s="2">
        <v>-9615</v>
      </c>
    </row>
    <row r="5900" spans="1:9" x14ac:dyDescent="0.3">
      <c r="A5900" t="s">
        <v>87</v>
      </c>
      <c r="B5900" s="1">
        <v>45383</v>
      </c>
      <c r="C5900" s="2">
        <v>7940660</v>
      </c>
      <c r="D5900" s="2">
        <v>70224</v>
      </c>
      <c r="E5900" s="2">
        <v>6883168</v>
      </c>
      <c r="F5900" s="2">
        <v>82392</v>
      </c>
      <c r="G5900" s="2">
        <v>-111498</v>
      </c>
      <c r="H5900" s="2">
        <v>1057492</v>
      </c>
      <c r="I5900" s="2">
        <v>-12168</v>
      </c>
    </row>
    <row r="5901" spans="1:9" x14ac:dyDescent="0.3">
      <c r="A5901" t="s">
        <v>87</v>
      </c>
      <c r="B5901" s="1">
        <v>45352</v>
      </c>
      <c r="C5901" s="2">
        <v>8015371</v>
      </c>
      <c r="D5901" s="2">
        <v>47917</v>
      </c>
      <c r="E5901" s="2">
        <v>6945711</v>
      </c>
      <c r="F5901" s="2">
        <v>45298</v>
      </c>
      <c r="G5901" s="2">
        <v>39367</v>
      </c>
      <c r="H5901" s="2">
        <v>1069660</v>
      </c>
      <c r="I5901" s="2">
        <v>2619</v>
      </c>
    </row>
    <row r="5902" spans="1:9" x14ac:dyDescent="0.3">
      <c r="A5902" t="s">
        <v>87</v>
      </c>
      <c r="B5902" s="1">
        <v>45323</v>
      </c>
      <c r="C5902" s="2">
        <v>7909289</v>
      </c>
      <c r="D5902" s="2">
        <v>117563</v>
      </c>
      <c r="E5902" s="2">
        <v>6842248</v>
      </c>
      <c r="F5902" s="2">
        <v>87179</v>
      </c>
      <c r="G5902" s="2">
        <v>-61904</v>
      </c>
      <c r="H5902" s="2">
        <v>1067041</v>
      </c>
      <c r="I5902" s="2">
        <v>30384</v>
      </c>
    </row>
    <row r="5903" spans="1:9" x14ac:dyDescent="0.3">
      <c r="A5903" t="s">
        <v>87</v>
      </c>
      <c r="B5903" s="1">
        <v>45292</v>
      </c>
      <c r="C5903" s="2">
        <v>7872388</v>
      </c>
      <c r="D5903" s="2">
        <v>37824</v>
      </c>
      <c r="E5903" s="2">
        <v>6835731</v>
      </c>
      <c r="F5903" s="2">
        <v>66890</v>
      </c>
      <c r="G5903" s="2">
        <v>5186</v>
      </c>
      <c r="H5903" s="2">
        <v>1036657</v>
      </c>
      <c r="I5903" s="2">
        <v>-29066</v>
      </c>
    </row>
    <row r="5904" spans="1:9" x14ac:dyDescent="0.3">
      <c r="A5904" t="s">
        <v>87</v>
      </c>
      <c r="B5904" s="1">
        <v>45261</v>
      </c>
      <c r="C5904" s="2">
        <v>7846483</v>
      </c>
      <c r="D5904" s="2">
        <v>23999</v>
      </c>
      <c r="E5904" s="2">
        <v>6780760</v>
      </c>
      <c r="F5904" s="2">
        <v>7879</v>
      </c>
      <c r="G5904" s="2">
        <v>137964</v>
      </c>
      <c r="H5904" s="2">
        <v>1065723</v>
      </c>
      <c r="I5904" s="2">
        <v>16120</v>
      </c>
    </row>
    <row r="5905" spans="1:9" x14ac:dyDescent="0.3">
      <c r="A5905" t="s">
        <v>87</v>
      </c>
      <c r="B5905" s="1">
        <v>45231</v>
      </c>
      <c r="C5905" s="2">
        <v>7632361</v>
      </c>
      <c r="D5905" s="2">
        <v>134341</v>
      </c>
      <c r="E5905" s="2">
        <v>6582758</v>
      </c>
      <c r="F5905" s="2">
        <v>104123</v>
      </c>
      <c r="G5905" s="2">
        <v>160271</v>
      </c>
      <c r="H5905" s="2">
        <v>1049603</v>
      </c>
      <c r="I5905" s="2">
        <v>30218</v>
      </c>
    </row>
    <row r="5906" spans="1:9" x14ac:dyDescent="0.3">
      <c r="A5906" t="s">
        <v>87</v>
      </c>
      <c r="B5906" s="1">
        <v>45200</v>
      </c>
      <c r="C5906" s="2">
        <v>7391932</v>
      </c>
      <c r="D5906" s="2">
        <v>-14472</v>
      </c>
      <c r="E5906" s="2">
        <v>6372547</v>
      </c>
      <c r="F5906" s="2">
        <v>11878</v>
      </c>
      <c r="G5906" s="2">
        <v>-51608</v>
      </c>
      <c r="H5906" s="2">
        <v>1019385</v>
      </c>
      <c r="I5906" s="2">
        <v>-26350</v>
      </c>
    </row>
    <row r="5907" spans="1:9" x14ac:dyDescent="0.3">
      <c r="A5907" t="s">
        <v>87</v>
      </c>
      <c r="B5907" s="1">
        <v>45170</v>
      </c>
      <c r="C5907" s="2">
        <v>7431258</v>
      </c>
      <c r="D5907" s="2">
        <v>31040</v>
      </c>
      <c r="E5907" s="2">
        <v>6385523</v>
      </c>
      <c r="F5907" s="2">
        <v>7225</v>
      </c>
      <c r="G5907" s="2">
        <v>-141772</v>
      </c>
      <c r="H5907" s="2">
        <v>1045735</v>
      </c>
      <c r="I5907" s="2">
        <v>23815</v>
      </c>
    </row>
    <row r="5908" spans="1:9" x14ac:dyDescent="0.3">
      <c r="A5908" t="s">
        <v>87</v>
      </c>
      <c r="B5908" s="1">
        <v>45139</v>
      </c>
      <c r="C5908" s="2">
        <v>7545750</v>
      </c>
      <c r="D5908" s="2">
        <v>47131</v>
      </c>
      <c r="E5908" s="2">
        <v>6523830</v>
      </c>
      <c r="F5908" s="2">
        <v>8637</v>
      </c>
      <c r="G5908" s="2">
        <v>-27667</v>
      </c>
      <c r="H5908" s="2">
        <v>1021920</v>
      </c>
      <c r="I5908" s="2">
        <v>38494</v>
      </c>
    </row>
    <row r="5909" spans="1:9" x14ac:dyDescent="0.3">
      <c r="A5909" t="s">
        <v>87</v>
      </c>
      <c r="B5909" s="1">
        <v>45108</v>
      </c>
      <c r="C5909" s="2">
        <v>7516867</v>
      </c>
      <c r="D5909" s="2">
        <v>23499</v>
      </c>
      <c r="E5909" s="2">
        <v>6533441</v>
      </c>
      <c r="F5909" s="2">
        <v>-9222</v>
      </c>
      <c r="G5909" s="2">
        <v>-19259</v>
      </c>
      <c r="H5909" s="2">
        <v>983426</v>
      </c>
      <c r="I5909" s="2">
        <v>32721</v>
      </c>
    </row>
    <row r="5910" spans="1:9" x14ac:dyDescent="0.3">
      <c r="A5910" t="s">
        <v>87</v>
      </c>
      <c r="B5910" s="1">
        <v>45078</v>
      </c>
      <c r="C5910" s="2">
        <v>7489028</v>
      </c>
      <c r="D5910" s="2">
        <v>126526</v>
      </c>
      <c r="E5910" s="2">
        <v>6538323</v>
      </c>
      <c r="F5910" s="2">
        <v>70773</v>
      </c>
      <c r="G5910" s="2">
        <v>-45767</v>
      </c>
      <c r="H5910" s="2">
        <v>950705</v>
      </c>
      <c r="I5910" s="2">
        <v>55753</v>
      </c>
    </row>
    <row r="5911" spans="1:9" x14ac:dyDescent="0.3">
      <c r="A5911" t="s">
        <v>87</v>
      </c>
      <c r="B5911" s="1">
        <v>45047</v>
      </c>
      <c r="C5911" s="2">
        <v>7398495</v>
      </c>
      <c r="D5911" s="2">
        <v>36885</v>
      </c>
      <c r="E5911" s="2">
        <v>6503543</v>
      </c>
      <c r="F5911" s="2">
        <v>55575</v>
      </c>
      <c r="G5911" s="2">
        <v>-67370</v>
      </c>
      <c r="H5911" s="2">
        <v>894952</v>
      </c>
      <c r="I5911" s="2">
        <v>-18690</v>
      </c>
    </row>
    <row r="5912" spans="1:9" x14ac:dyDescent="0.3">
      <c r="A5912" t="s">
        <v>87</v>
      </c>
      <c r="B5912" s="1">
        <v>45017</v>
      </c>
      <c r="C5912" s="2">
        <v>7455141</v>
      </c>
      <c r="D5912" s="2">
        <v>71296</v>
      </c>
      <c r="E5912" s="2">
        <v>6541499</v>
      </c>
      <c r="F5912" s="2">
        <v>114731</v>
      </c>
      <c r="G5912" s="2">
        <v>20464</v>
      </c>
      <c r="H5912" s="2">
        <v>913642</v>
      </c>
      <c r="I5912" s="2">
        <v>-43435</v>
      </c>
    </row>
    <row r="5913" spans="1:9" x14ac:dyDescent="0.3">
      <c r="A5913" t="s">
        <v>87</v>
      </c>
      <c r="B5913" s="1">
        <v>44986</v>
      </c>
      <c r="C5913" s="2">
        <v>7414943</v>
      </c>
      <c r="D5913" s="2">
        <v>90664</v>
      </c>
      <c r="E5913" s="2">
        <v>6457866</v>
      </c>
      <c r="F5913" s="2">
        <v>94182</v>
      </c>
      <c r="G5913" s="2">
        <v>122518</v>
      </c>
      <c r="H5913" s="2">
        <v>957077</v>
      </c>
      <c r="I5913" s="2">
        <v>-3518</v>
      </c>
    </row>
    <row r="5914" spans="1:9" x14ac:dyDescent="0.3">
      <c r="A5914" t="s">
        <v>87</v>
      </c>
      <c r="B5914" s="1">
        <v>44958</v>
      </c>
      <c r="C5914" s="2">
        <v>7202707</v>
      </c>
      <c r="D5914" s="2">
        <v>76911</v>
      </c>
      <c r="E5914" s="2">
        <v>6242112</v>
      </c>
      <c r="F5914" s="2">
        <v>50047</v>
      </c>
      <c r="G5914" s="2">
        <v>-107487</v>
      </c>
      <c r="H5914" s="2">
        <v>960595</v>
      </c>
      <c r="I5914" s="2">
        <v>26864</v>
      </c>
    </row>
    <row r="5915" spans="1:9" hidden="1" x14ac:dyDescent="0.3">
      <c r="A5915" t="s">
        <v>87</v>
      </c>
      <c r="B5915" s="1">
        <v>44927</v>
      </c>
      <c r="C5915" s="2">
        <v>7252120</v>
      </c>
      <c r="D5915" s="2" t="s">
        <v>3</v>
      </c>
      <c r="E5915" s="2">
        <v>6318389</v>
      </c>
      <c r="F5915" s="2" t="s">
        <v>3</v>
      </c>
      <c r="G5915" s="2" t="s">
        <v>3</v>
      </c>
      <c r="H5915" s="2">
        <v>933731</v>
      </c>
      <c r="I5915" s="2">
        <v>-7802</v>
      </c>
    </row>
    <row r="5916" spans="1:9" hidden="1" x14ac:dyDescent="0.3">
      <c r="A5916" t="s">
        <v>87</v>
      </c>
      <c r="B5916" s="1">
        <v>44896</v>
      </c>
      <c r="C5916" s="2">
        <v>7137127</v>
      </c>
      <c r="D5916" s="2" t="s">
        <v>3</v>
      </c>
      <c r="E5916" s="2">
        <v>6195594</v>
      </c>
      <c r="F5916" s="2" t="s">
        <v>3</v>
      </c>
      <c r="G5916" s="2" t="s">
        <v>3</v>
      </c>
      <c r="H5916" s="2">
        <v>941533</v>
      </c>
      <c r="I5916" s="2">
        <v>43508</v>
      </c>
    </row>
    <row r="5917" spans="1:9" hidden="1" x14ac:dyDescent="0.3">
      <c r="A5917" t="s">
        <v>87</v>
      </c>
      <c r="B5917" s="1">
        <v>44866</v>
      </c>
      <c r="C5917" s="2">
        <v>7131308</v>
      </c>
      <c r="D5917" s="2" t="s">
        <v>3</v>
      </c>
      <c r="E5917" s="2">
        <v>6233283</v>
      </c>
      <c r="F5917" s="2" t="s">
        <v>3</v>
      </c>
      <c r="G5917" s="2" t="s">
        <v>3</v>
      </c>
      <c r="H5917" s="2">
        <v>898025</v>
      </c>
      <c r="I5917" s="2">
        <v>3071</v>
      </c>
    </row>
    <row r="5918" spans="1:9" hidden="1" x14ac:dyDescent="0.3">
      <c r="A5918" t="s">
        <v>87</v>
      </c>
      <c r="B5918" s="1">
        <v>44835</v>
      </c>
      <c r="C5918" s="2">
        <v>7080500</v>
      </c>
      <c r="D5918" s="2" t="s">
        <v>3</v>
      </c>
      <c r="E5918" s="2">
        <v>6185546</v>
      </c>
      <c r="F5918" s="2" t="s">
        <v>3</v>
      </c>
      <c r="G5918" s="2" t="s">
        <v>3</v>
      </c>
      <c r="H5918" s="2">
        <v>894954</v>
      </c>
      <c r="I5918" s="2">
        <v>-17731</v>
      </c>
    </row>
    <row r="5919" spans="1:9" hidden="1" x14ac:dyDescent="0.3">
      <c r="A5919" t="s">
        <v>87</v>
      </c>
      <c r="B5919" s="1">
        <v>44805</v>
      </c>
      <c r="C5919" s="2">
        <v>7197520</v>
      </c>
      <c r="D5919" s="2" t="s">
        <v>3</v>
      </c>
      <c r="E5919" s="2">
        <v>6284835</v>
      </c>
      <c r="F5919" s="2" t="s">
        <v>3</v>
      </c>
      <c r="G5919" s="2" t="s">
        <v>3</v>
      </c>
      <c r="H5919" s="2">
        <v>912685</v>
      </c>
      <c r="I5919" s="2">
        <v>-8188</v>
      </c>
    </row>
    <row r="5920" spans="1:9" hidden="1" x14ac:dyDescent="0.3">
      <c r="A5920" t="s">
        <v>87</v>
      </c>
      <c r="B5920" s="1">
        <v>44774</v>
      </c>
      <c r="C5920" s="2">
        <v>7438660</v>
      </c>
      <c r="D5920" s="2" t="s">
        <v>3</v>
      </c>
      <c r="E5920" s="2">
        <v>6517787</v>
      </c>
      <c r="F5920" s="2" t="s">
        <v>3</v>
      </c>
      <c r="G5920" s="2" t="s">
        <v>3</v>
      </c>
      <c r="H5920" s="2">
        <v>920873</v>
      </c>
      <c r="I5920" s="2">
        <v>46730</v>
      </c>
    </row>
    <row r="5921" spans="1:9" hidden="1" x14ac:dyDescent="0.3">
      <c r="A5921" t="s">
        <v>87</v>
      </c>
      <c r="B5921" s="1">
        <v>44743</v>
      </c>
      <c r="C5921" s="2">
        <v>7427622</v>
      </c>
      <c r="D5921" s="2" t="s">
        <v>3</v>
      </c>
      <c r="E5921" s="2">
        <v>6553479</v>
      </c>
      <c r="F5921" s="2" t="s">
        <v>3</v>
      </c>
      <c r="G5921" s="2" t="s">
        <v>3</v>
      </c>
      <c r="H5921" s="2">
        <v>874143</v>
      </c>
      <c r="I5921" s="2">
        <v>-7166</v>
      </c>
    </row>
    <row r="5922" spans="1:9" hidden="1" x14ac:dyDescent="0.3">
      <c r="A5922" t="s">
        <v>87</v>
      </c>
      <c r="B5922" s="1">
        <v>44713</v>
      </c>
      <c r="C5922" s="2">
        <v>7352672</v>
      </c>
      <c r="D5922" s="2" t="s">
        <v>3</v>
      </c>
      <c r="E5922" s="2">
        <v>6471363</v>
      </c>
      <c r="F5922" s="2" t="s">
        <v>3</v>
      </c>
      <c r="G5922" s="2" t="s">
        <v>3</v>
      </c>
      <c r="H5922" s="2">
        <v>881309</v>
      </c>
      <c r="I5922" s="2">
        <v>-17488</v>
      </c>
    </row>
    <row r="5923" spans="1:9" hidden="1" x14ac:dyDescent="0.3">
      <c r="A5923" t="s">
        <v>87</v>
      </c>
      <c r="B5923" s="1">
        <v>44682</v>
      </c>
      <c r="C5923" s="2">
        <v>7348471</v>
      </c>
      <c r="D5923" s="2" t="s">
        <v>3</v>
      </c>
      <c r="E5923" s="2">
        <v>6449674</v>
      </c>
      <c r="F5923" s="2" t="s">
        <v>3</v>
      </c>
      <c r="G5923" s="2" t="s">
        <v>3</v>
      </c>
      <c r="H5923" s="2">
        <v>898797</v>
      </c>
      <c r="I5923" s="2">
        <v>-73725</v>
      </c>
    </row>
    <row r="5924" spans="1:9" hidden="1" x14ac:dyDescent="0.3">
      <c r="A5924" t="s">
        <v>87</v>
      </c>
      <c r="B5924" s="1">
        <v>44652</v>
      </c>
      <c r="C5924" s="2">
        <v>7378295</v>
      </c>
      <c r="D5924" s="2" t="s">
        <v>3</v>
      </c>
      <c r="E5924" s="2">
        <v>6405773</v>
      </c>
      <c r="F5924" s="2" t="s">
        <v>3</v>
      </c>
      <c r="G5924" s="2" t="s">
        <v>3</v>
      </c>
      <c r="H5924" s="2">
        <v>972522</v>
      </c>
      <c r="I5924" s="2">
        <v>-20319</v>
      </c>
    </row>
    <row r="5925" spans="1:9" hidden="1" x14ac:dyDescent="0.3">
      <c r="A5925" t="s">
        <v>87</v>
      </c>
      <c r="B5925" s="1">
        <v>44621</v>
      </c>
      <c r="C5925" s="2">
        <v>7541383</v>
      </c>
      <c r="D5925" s="2" t="s">
        <v>3</v>
      </c>
      <c r="E5925" s="2">
        <v>6548542</v>
      </c>
      <c r="F5925" s="2" t="s">
        <v>3</v>
      </c>
      <c r="G5925" s="2" t="s">
        <v>3</v>
      </c>
      <c r="H5925" s="2">
        <v>992841</v>
      </c>
      <c r="I5925" s="2">
        <v>-18154</v>
      </c>
    </row>
    <row r="5926" spans="1:9" hidden="1" x14ac:dyDescent="0.3">
      <c r="A5926" t="s">
        <v>87</v>
      </c>
      <c r="B5926" s="1">
        <v>44593</v>
      </c>
      <c r="C5926" s="2">
        <v>7645635</v>
      </c>
      <c r="D5926" s="2" t="s">
        <v>3</v>
      </c>
      <c r="E5926" s="2">
        <v>6634640</v>
      </c>
      <c r="F5926" s="2" t="s">
        <v>3</v>
      </c>
      <c r="G5926" s="2" t="s">
        <v>3</v>
      </c>
      <c r="H5926" s="2">
        <v>1010995</v>
      </c>
      <c r="I5926" s="2">
        <v>27526</v>
      </c>
    </row>
    <row r="5927" spans="1:9" hidden="1" x14ac:dyDescent="0.3">
      <c r="A5927" t="s">
        <v>87</v>
      </c>
      <c r="B5927" s="1">
        <v>44562</v>
      </c>
      <c r="C5927" s="2">
        <v>7594704</v>
      </c>
      <c r="D5927" s="2" t="s">
        <v>3</v>
      </c>
      <c r="E5927" s="2">
        <v>6611235</v>
      </c>
      <c r="F5927" s="2" t="s">
        <v>3</v>
      </c>
      <c r="G5927" s="2" t="s">
        <v>3</v>
      </c>
      <c r="H5927" s="2">
        <v>983469</v>
      </c>
      <c r="I5927" s="2">
        <v>9114</v>
      </c>
    </row>
    <row r="5928" spans="1:9" hidden="1" x14ac:dyDescent="0.3">
      <c r="A5928" t="s">
        <v>87</v>
      </c>
      <c r="B5928" s="1">
        <v>44531</v>
      </c>
      <c r="C5928" s="2">
        <v>7678707</v>
      </c>
      <c r="D5928" s="2" t="s">
        <v>3</v>
      </c>
      <c r="E5928" s="2">
        <v>6704352</v>
      </c>
      <c r="F5928" s="2" t="s">
        <v>3</v>
      </c>
      <c r="G5928" s="2" t="s">
        <v>3</v>
      </c>
      <c r="H5928" s="2">
        <v>974355</v>
      </c>
      <c r="I5928" s="2">
        <v>14815</v>
      </c>
    </row>
    <row r="5929" spans="1:9" hidden="1" x14ac:dyDescent="0.3">
      <c r="A5929" t="s">
        <v>87</v>
      </c>
      <c r="B5929" s="1">
        <v>44501</v>
      </c>
      <c r="C5929" s="2">
        <v>7625306</v>
      </c>
      <c r="D5929" s="2" t="s">
        <v>3</v>
      </c>
      <c r="E5929" s="2">
        <v>6665766</v>
      </c>
      <c r="F5929" s="2" t="s">
        <v>3</v>
      </c>
      <c r="G5929" s="2" t="s">
        <v>3</v>
      </c>
      <c r="H5929" s="2">
        <v>959540</v>
      </c>
      <c r="I5929" s="2">
        <v>10938</v>
      </c>
    </row>
    <row r="5930" spans="1:9" hidden="1" x14ac:dyDescent="0.3">
      <c r="A5930" t="s">
        <v>87</v>
      </c>
      <c r="B5930" s="1">
        <v>44470</v>
      </c>
      <c r="C5930" s="2">
        <v>7596687</v>
      </c>
      <c r="D5930" s="2" t="s">
        <v>3</v>
      </c>
      <c r="E5930" s="2">
        <v>6648085</v>
      </c>
      <c r="F5930" s="2" t="s">
        <v>3</v>
      </c>
      <c r="G5930" s="2" t="s">
        <v>3</v>
      </c>
      <c r="H5930" s="2">
        <v>948602</v>
      </c>
      <c r="I5930" s="2">
        <v>32470</v>
      </c>
    </row>
    <row r="5931" spans="1:9" hidden="1" x14ac:dyDescent="0.3">
      <c r="A5931" t="s">
        <v>87</v>
      </c>
      <c r="B5931" s="1">
        <v>44440</v>
      </c>
      <c r="C5931" s="2">
        <v>7512739</v>
      </c>
      <c r="D5931" s="2" t="s">
        <v>3</v>
      </c>
      <c r="E5931" s="2">
        <v>6596607</v>
      </c>
      <c r="F5931" s="2" t="s">
        <v>3</v>
      </c>
      <c r="G5931" s="2" t="s">
        <v>3</v>
      </c>
      <c r="H5931" s="2">
        <v>916132</v>
      </c>
      <c r="I5931" s="2">
        <v>6119</v>
      </c>
    </row>
    <row r="5932" spans="1:9" hidden="1" x14ac:dyDescent="0.3">
      <c r="A5932" t="s">
        <v>87</v>
      </c>
      <c r="B5932" s="1">
        <v>44409</v>
      </c>
      <c r="C5932" s="2">
        <v>7521169</v>
      </c>
      <c r="D5932" s="2" t="s">
        <v>3</v>
      </c>
      <c r="E5932" s="2">
        <v>6611156</v>
      </c>
      <c r="F5932" s="2" t="s">
        <v>3</v>
      </c>
      <c r="G5932" s="2" t="s">
        <v>3</v>
      </c>
      <c r="H5932" s="2">
        <v>910013</v>
      </c>
      <c r="I5932" s="2">
        <v>128</v>
      </c>
    </row>
    <row r="5933" spans="1:9" hidden="1" x14ac:dyDescent="0.3">
      <c r="A5933" t="s">
        <v>87</v>
      </c>
      <c r="B5933" s="1">
        <v>44378</v>
      </c>
      <c r="C5933" s="2">
        <v>7509370</v>
      </c>
      <c r="D5933" s="2" t="s">
        <v>3</v>
      </c>
      <c r="E5933" s="2">
        <v>6599485</v>
      </c>
      <c r="F5933" s="2" t="s">
        <v>3</v>
      </c>
      <c r="G5933" s="2" t="s">
        <v>3</v>
      </c>
      <c r="H5933" s="2">
        <v>909885</v>
      </c>
      <c r="I5933" s="2">
        <v>-1416</v>
      </c>
    </row>
    <row r="5934" spans="1:9" hidden="1" x14ac:dyDescent="0.3">
      <c r="A5934" t="s">
        <v>87</v>
      </c>
      <c r="B5934" s="1">
        <v>44348</v>
      </c>
      <c r="C5934" s="2">
        <v>7460789</v>
      </c>
      <c r="D5934" s="2" t="s">
        <v>3</v>
      </c>
      <c r="E5934" s="2">
        <v>6549488</v>
      </c>
      <c r="F5934" s="2" t="s">
        <v>3</v>
      </c>
      <c r="G5934" s="2" t="s">
        <v>3</v>
      </c>
      <c r="H5934" s="2">
        <v>911301</v>
      </c>
      <c r="I5934" s="2">
        <v>39158</v>
      </c>
    </row>
    <row r="5935" spans="1:9" hidden="1" x14ac:dyDescent="0.3">
      <c r="A5935" t="s">
        <v>87</v>
      </c>
      <c r="B5935" s="1">
        <v>44317</v>
      </c>
      <c r="C5935" s="2">
        <v>7089773</v>
      </c>
      <c r="D5935" s="2" t="s">
        <v>3</v>
      </c>
      <c r="E5935" s="2">
        <v>6217630</v>
      </c>
      <c r="F5935" s="2" t="s">
        <v>3</v>
      </c>
      <c r="G5935" s="2" t="s">
        <v>3</v>
      </c>
      <c r="H5935" s="2">
        <v>872143</v>
      </c>
      <c r="I5935" s="2">
        <v>-18541</v>
      </c>
    </row>
    <row r="5936" spans="1:9" hidden="1" x14ac:dyDescent="0.3">
      <c r="A5936" t="s">
        <v>87</v>
      </c>
      <c r="B5936" s="1">
        <v>44287</v>
      </c>
      <c r="C5936" s="2">
        <v>7026091</v>
      </c>
      <c r="D5936" s="2" t="s">
        <v>3</v>
      </c>
      <c r="E5936" s="2">
        <v>6135407</v>
      </c>
      <c r="F5936" s="2" t="s">
        <v>3</v>
      </c>
      <c r="G5936" s="2" t="s">
        <v>3</v>
      </c>
      <c r="H5936" s="2">
        <v>890684</v>
      </c>
      <c r="I5936" s="2">
        <v>-59816</v>
      </c>
    </row>
    <row r="5937" spans="1:9" hidden="1" x14ac:dyDescent="0.3">
      <c r="A5937" t="s">
        <v>87</v>
      </c>
      <c r="B5937" s="1">
        <v>44256</v>
      </c>
      <c r="C5937" s="2">
        <v>6977159</v>
      </c>
      <c r="D5937" s="2" t="s">
        <v>3</v>
      </c>
      <c r="E5937" s="2">
        <v>6026659</v>
      </c>
      <c r="F5937" s="2" t="s">
        <v>3</v>
      </c>
      <c r="G5937" s="2" t="s">
        <v>3</v>
      </c>
      <c r="H5937" s="2">
        <v>950500</v>
      </c>
      <c r="I5937" s="2">
        <v>-66100</v>
      </c>
    </row>
    <row r="5938" spans="1:9" hidden="1" x14ac:dyDescent="0.3">
      <c r="A5938" t="s">
        <v>87</v>
      </c>
      <c r="B5938" s="1">
        <v>44228</v>
      </c>
      <c r="C5938" s="2">
        <v>7048359</v>
      </c>
      <c r="D5938" s="2" t="s">
        <v>3</v>
      </c>
      <c r="E5938" s="2">
        <v>6031759</v>
      </c>
      <c r="F5938" s="2" t="s">
        <v>3</v>
      </c>
      <c r="G5938" s="2" t="s">
        <v>3</v>
      </c>
      <c r="H5938" s="2">
        <v>1016600</v>
      </c>
      <c r="I5938" s="2">
        <v>22616</v>
      </c>
    </row>
    <row r="5939" spans="1:9" hidden="1" x14ac:dyDescent="0.3">
      <c r="A5939" t="s">
        <v>87</v>
      </c>
      <c r="B5939" s="1">
        <v>44197</v>
      </c>
      <c r="C5939" s="2">
        <v>7065504</v>
      </c>
      <c r="D5939" s="2" t="s">
        <v>3</v>
      </c>
      <c r="E5939" s="2">
        <v>6071520</v>
      </c>
      <c r="F5939" s="2" t="s">
        <v>3</v>
      </c>
      <c r="G5939" s="2" t="s">
        <v>3</v>
      </c>
      <c r="H5939" s="2">
        <v>993984</v>
      </c>
      <c r="I5939" s="2">
        <v>-11676</v>
      </c>
    </row>
    <row r="5940" spans="1:9" hidden="1" x14ac:dyDescent="0.3">
      <c r="A5940" t="s">
        <v>87</v>
      </c>
      <c r="B5940" s="1">
        <v>44166</v>
      </c>
      <c r="C5940" s="2">
        <v>7018061</v>
      </c>
      <c r="D5940" s="2" t="s">
        <v>3</v>
      </c>
      <c r="E5940" s="2">
        <v>6012401</v>
      </c>
      <c r="F5940" s="2" t="s">
        <v>3</v>
      </c>
      <c r="G5940" s="2" t="s">
        <v>3</v>
      </c>
      <c r="H5940" s="2">
        <v>1005660</v>
      </c>
      <c r="I5940" s="2">
        <v>10854</v>
      </c>
    </row>
    <row r="5941" spans="1:9" hidden="1" x14ac:dyDescent="0.3">
      <c r="A5941" t="s">
        <v>87</v>
      </c>
      <c r="B5941" s="1">
        <v>44136</v>
      </c>
      <c r="C5941" s="2">
        <v>6987221</v>
      </c>
      <c r="D5941" s="2" t="s">
        <v>3</v>
      </c>
      <c r="E5941" s="2">
        <v>5992415</v>
      </c>
      <c r="F5941" s="2" t="s">
        <v>3</v>
      </c>
      <c r="G5941" s="2" t="s">
        <v>3</v>
      </c>
      <c r="H5941" s="2">
        <v>994806</v>
      </c>
      <c r="I5941" s="2">
        <v>12610</v>
      </c>
    </row>
    <row r="5942" spans="1:9" hidden="1" x14ac:dyDescent="0.3">
      <c r="A5942" t="s">
        <v>87</v>
      </c>
      <c r="B5942" s="1">
        <v>44105</v>
      </c>
      <c r="C5942" s="2">
        <v>7005787</v>
      </c>
      <c r="D5942" s="2" t="s">
        <v>3</v>
      </c>
      <c r="E5942" s="2">
        <v>6023591</v>
      </c>
      <c r="F5942" s="2" t="s">
        <v>3</v>
      </c>
      <c r="G5942" s="2" t="s">
        <v>3</v>
      </c>
      <c r="H5942" s="2">
        <v>982196</v>
      </c>
      <c r="I5942" s="2">
        <v>-5833</v>
      </c>
    </row>
    <row r="5943" spans="1:9" hidden="1" x14ac:dyDescent="0.3">
      <c r="A5943" t="s">
        <v>87</v>
      </c>
      <c r="B5943" s="1">
        <v>44075</v>
      </c>
      <c r="C5943" s="2">
        <v>6999078</v>
      </c>
      <c r="D5943" s="2" t="s">
        <v>3</v>
      </c>
      <c r="E5943" s="2">
        <v>6011049</v>
      </c>
      <c r="F5943" s="2" t="s">
        <v>3</v>
      </c>
      <c r="G5943" s="2" t="s">
        <v>3</v>
      </c>
      <c r="H5943" s="2">
        <v>988029</v>
      </c>
      <c r="I5943" s="2">
        <v>-31366</v>
      </c>
    </row>
    <row r="5944" spans="1:9" hidden="1" x14ac:dyDescent="0.3">
      <c r="A5944" t="s">
        <v>87</v>
      </c>
      <c r="B5944" s="1">
        <v>44044</v>
      </c>
      <c r="C5944" s="2">
        <v>7013571</v>
      </c>
      <c r="D5944" s="2" t="s">
        <v>3</v>
      </c>
      <c r="E5944" s="2">
        <v>5994176</v>
      </c>
      <c r="F5944" s="2" t="s">
        <v>3</v>
      </c>
      <c r="G5944" s="2" t="s">
        <v>3</v>
      </c>
      <c r="H5944" s="2">
        <v>1019395</v>
      </c>
      <c r="I5944" s="2">
        <v>10170</v>
      </c>
    </row>
    <row r="5945" spans="1:9" hidden="1" x14ac:dyDescent="0.3">
      <c r="A5945" t="s">
        <v>87</v>
      </c>
      <c r="B5945" s="1">
        <v>44013</v>
      </c>
      <c r="C5945" s="2">
        <v>7016865</v>
      </c>
      <c r="D5945" s="2" t="s">
        <v>3</v>
      </c>
      <c r="E5945" s="2">
        <v>6007640</v>
      </c>
      <c r="F5945" s="2" t="s">
        <v>3</v>
      </c>
      <c r="G5945" s="2" t="s">
        <v>3</v>
      </c>
      <c r="H5945" s="2">
        <v>1009225</v>
      </c>
      <c r="I5945" s="2">
        <v>-7005</v>
      </c>
    </row>
    <row r="5946" spans="1:9" hidden="1" x14ac:dyDescent="0.3">
      <c r="A5946" t="s">
        <v>87</v>
      </c>
      <c r="B5946" s="1">
        <v>43983</v>
      </c>
      <c r="C5946" s="2">
        <v>6982528</v>
      </c>
      <c r="D5946" s="2" t="s">
        <v>3</v>
      </c>
      <c r="E5946" s="2">
        <v>5966298</v>
      </c>
      <c r="F5946" s="2" t="s">
        <v>3</v>
      </c>
      <c r="G5946" s="2" t="s">
        <v>3</v>
      </c>
      <c r="H5946" s="2">
        <v>1016230</v>
      </c>
      <c r="I5946" s="2">
        <v>75638</v>
      </c>
    </row>
    <row r="5947" spans="1:9" hidden="1" x14ac:dyDescent="0.3">
      <c r="A5947" t="s">
        <v>87</v>
      </c>
      <c r="B5947" s="1">
        <v>43952</v>
      </c>
      <c r="C5947" s="2">
        <v>6906037</v>
      </c>
      <c r="D5947" s="2" t="s">
        <v>3</v>
      </c>
      <c r="E5947" s="2">
        <v>5965445</v>
      </c>
      <c r="F5947" s="2" t="s">
        <v>3</v>
      </c>
      <c r="G5947" s="2" t="s">
        <v>3</v>
      </c>
      <c r="H5947" s="2">
        <v>940592</v>
      </c>
      <c r="I5947" s="2">
        <v>77717</v>
      </c>
    </row>
    <row r="5948" spans="1:9" hidden="1" x14ac:dyDescent="0.3">
      <c r="A5948" t="s">
        <v>87</v>
      </c>
      <c r="B5948" s="1">
        <v>43922</v>
      </c>
      <c r="C5948" s="2">
        <v>6829860</v>
      </c>
      <c r="D5948" s="2" t="s">
        <v>3</v>
      </c>
      <c r="E5948" s="2">
        <v>5966985</v>
      </c>
      <c r="F5948" s="2" t="s">
        <v>3</v>
      </c>
      <c r="G5948" s="2" t="s">
        <v>3</v>
      </c>
      <c r="H5948" s="2">
        <v>862875</v>
      </c>
      <c r="I5948" s="2">
        <v>144211</v>
      </c>
    </row>
    <row r="5949" spans="1:9" hidden="1" x14ac:dyDescent="0.3">
      <c r="A5949" t="s">
        <v>87</v>
      </c>
      <c r="B5949" s="1">
        <v>43891</v>
      </c>
      <c r="C5949" s="2">
        <v>6892372</v>
      </c>
      <c r="D5949" s="2" t="s">
        <v>3</v>
      </c>
      <c r="E5949" s="2">
        <v>6173708</v>
      </c>
      <c r="F5949" s="2" t="s">
        <v>3</v>
      </c>
      <c r="G5949" s="2" t="s">
        <v>3</v>
      </c>
      <c r="H5949" s="2">
        <v>718664</v>
      </c>
      <c r="I5949" s="2">
        <v>-8939</v>
      </c>
    </row>
    <row r="5950" spans="1:9" hidden="1" x14ac:dyDescent="0.3">
      <c r="A5950" t="s">
        <v>87</v>
      </c>
      <c r="B5950" s="1">
        <v>43862</v>
      </c>
      <c r="C5950" s="2">
        <v>7153091</v>
      </c>
      <c r="D5950" s="2" t="s">
        <v>3</v>
      </c>
      <c r="E5950" s="2">
        <v>6425488</v>
      </c>
      <c r="F5950" s="2" t="s">
        <v>3</v>
      </c>
      <c r="G5950" s="2" t="s">
        <v>3</v>
      </c>
      <c r="H5950" s="2">
        <v>727603</v>
      </c>
      <c r="I5950" s="2">
        <v>30380</v>
      </c>
    </row>
    <row r="5951" spans="1:9" hidden="1" x14ac:dyDescent="0.3">
      <c r="A5951" t="s">
        <v>87</v>
      </c>
      <c r="B5951" s="1">
        <v>43831</v>
      </c>
      <c r="C5951" s="2">
        <v>6958428</v>
      </c>
      <c r="D5951" s="2" t="s">
        <v>3</v>
      </c>
      <c r="E5951" s="2">
        <v>6261205</v>
      </c>
      <c r="F5951" s="2" t="s">
        <v>3</v>
      </c>
      <c r="G5951" s="2" t="s">
        <v>3</v>
      </c>
      <c r="H5951" s="2">
        <v>697223</v>
      </c>
      <c r="I5951" s="2">
        <v>-10494</v>
      </c>
    </row>
    <row r="5952" spans="1:9" x14ac:dyDescent="0.3">
      <c r="A5952" t="s">
        <v>88</v>
      </c>
      <c r="B5952" s="1">
        <v>45931</v>
      </c>
      <c r="C5952" s="2">
        <v>62482</v>
      </c>
      <c r="D5952" s="2">
        <v>-1223</v>
      </c>
      <c r="E5952" s="2">
        <v>45181</v>
      </c>
      <c r="F5952" s="2">
        <v>356</v>
      </c>
      <c r="G5952" s="2">
        <v>-1275</v>
      </c>
      <c r="H5952" s="2">
        <v>17301</v>
      </c>
      <c r="I5952" s="2">
        <v>-1579</v>
      </c>
    </row>
    <row r="5953" spans="1:9" x14ac:dyDescent="0.3">
      <c r="A5953" t="s">
        <v>88</v>
      </c>
      <c r="B5953" s="1">
        <v>45901</v>
      </c>
      <c r="C5953" s="2">
        <v>64192</v>
      </c>
      <c r="D5953" s="2">
        <v>-253</v>
      </c>
      <c r="E5953" s="2">
        <v>45312</v>
      </c>
      <c r="F5953" s="2">
        <v>527</v>
      </c>
      <c r="G5953" s="2">
        <v>1345</v>
      </c>
      <c r="H5953" s="2">
        <v>18880</v>
      </c>
      <c r="I5953" s="2">
        <v>-780</v>
      </c>
    </row>
    <row r="5954" spans="1:9" x14ac:dyDescent="0.3">
      <c r="A5954" t="s">
        <v>88</v>
      </c>
      <c r="B5954" s="1">
        <v>45870</v>
      </c>
      <c r="C5954" s="2">
        <v>62138</v>
      </c>
      <c r="D5954" s="2">
        <v>209</v>
      </c>
      <c r="E5954" s="2">
        <v>42478</v>
      </c>
      <c r="F5954" s="2">
        <v>-294</v>
      </c>
      <c r="G5954" s="2">
        <v>-2807</v>
      </c>
      <c r="H5954" s="2">
        <v>19660</v>
      </c>
      <c r="I5954" s="2">
        <v>503</v>
      </c>
    </row>
    <row r="5955" spans="1:9" x14ac:dyDescent="0.3">
      <c r="A5955" t="s">
        <v>88</v>
      </c>
      <c r="B5955" s="1">
        <v>45839</v>
      </c>
      <c r="C5955" s="2">
        <v>64617</v>
      </c>
      <c r="D5955" s="2">
        <v>-728</v>
      </c>
      <c r="E5955" s="2">
        <v>45460</v>
      </c>
      <c r="F5955" s="2">
        <v>1317</v>
      </c>
      <c r="G5955" s="2">
        <v>-97</v>
      </c>
      <c r="H5955" s="2">
        <v>19157</v>
      </c>
      <c r="I5955" s="2">
        <v>-2045</v>
      </c>
    </row>
    <row r="5956" spans="1:9" x14ac:dyDescent="0.3">
      <c r="A5956" t="s">
        <v>88</v>
      </c>
      <c r="B5956" s="1">
        <v>45809</v>
      </c>
      <c r="C5956" s="2">
        <v>62850</v>
      </c>
      <c r="D5956" s="2">
        <v>3417</v>
      </c>
      <c r="E5956" s="2">
        <v>41648</v>
      </c>
      <c r="F5956" s="2">
        <v>2879</v>
      </c>
      <c r="G5956" s="2">
        <v>-1872</v>
      </c>
      <c r="H5956" s="2">
        <v>21202</v>
      </c>
      <c r="I5956" s="2">
        <v>538</v>
      </c>
    </row>
    <row r="5957" spans="1:9" x14ac:dyDescent="0.3">
      <c r="A5957" t="s">
        <v>88</v>
      </c>
      <c r="B5957" s="1">
        <v>45778</v>
      </c>
      <c r="C5957" s="2">
        <v>62560</v>
      </c>
      <c r="D5957" s="2">
        <v>-601</v>
      </c>
      <c r="E5957" s="2">
        <v>41896</v>
      </c>
      <c r="F5957" s="2">
        <v>2878</v>
      </c>
      <c r="G5957" s="2">
        <v>-460</v>
      </c>
      <c r="H5957" s="2">
        <v>20664</v>
      </c>
      <c r="I5957" s="2">
        <v>-3479</v>
      </c>
    </row>
    <row r="5958" spans="1:9" x14ac:dyDescent="0.3">
      <c r="A5958" t="s">
        <v>88</v>
      </c>
      <c r="B5958" s="1">
        <v>45748</v>
      </c>
      <c r="C5958" s="2">
        <v>65280</v>
      </c>
      <c r="D5958" s="2">
        <v>4051</v>
      </c>
      <c r="E5958" s="2">
        <v>41137</v>
      </c>
      <c r="F5958" s="2">
        <v>1202</v>
      </c>
      <c r="G5958" s="2">
        <v>368</v>
      </c>
      <c r="H5958" s="2">
        <v>24143</v>
      </c>
      <c r="I5958" s="2">
        <v>2849</v>
      </c>
    </row>
    <row r="5959" spans="1:9" x14ac:dyDescent="0.3">
      <c r="A5959" t="s">
        <v>88</v>
      </c>
      <c r="B5959" s="1">
        <v>45717</v>
      </c>
      <c r="C5959" s="2">
        <v>60902</v>
      </c>
      <c r="D5959" s="2">
        <v>779</v>
      </c>
      <c r="E5959" s="2">
        <v>39608</v>
      </c>
      <c r="F5959" s="2">
        <v>1879</v>
      </c>
      <c r="G5959" s="2">
        <v>12</v>
      </c>
      <c r="H5959" s="2">
        <v>21294</v>
      </c>
      <c r="I5959" s="2">
        <v>-1100</v>
      </c>
    </row>
    <row r="5960" spans="1:9" x14ac:dyDescent="0.3">
      <c r="A5960" t="s">
        <v>88</v>
      </c>
      <c r="B5960" s="1">
        <v>45689</v>
      </c>
      <c r="C5960" s="2">
        <v>60226</v>
      </c>
      <c r="D5960" s="2">
        <v>-3887</v>
      </c>
      <c r="E5960" s="2">
        <v>37832</v>
      </c>
      <c r="F5960" s="2">
        <v>-130</v>
      </c>
      <c r="G5960" s="2">
        <v>-1572</v>
      </c>
      <c r="H5960" s="2">
        <v>22394</v>
      </c>
      <c r="I5960" s="2">
        <v>-3757</v>
      </c>
    </row>
    <row r="5961" spans="1:9" x14ac:dyDescent="0.3">
      <c r="A5961" t="s">
        <v>88</v>
      </c>
      <c r="B5961" s="1">
        <v>45658</v>
      </c>
      <c r="C5961" s="2">
        <v>67299</v>
      </c>
      <c r="D5961" s="2">
        <v>-5652</v>
      </c>
      <c r="E5961" s="2">
        <v>41148</v>
      </c>
      <c r="F5961" s="2">
        <v>-1401</v>
      </c>
      <c r="G5961" s="2">
        <v>-8403</v>
      </c>
      <c r="H5961" s="2">
        <v>26151</v>
      </c>
      <c r="I5961" s="2">
        <v>-4251</v>
      </c>
    </row>
    <row r="5962" spans="1:9" x14ac:dyDescent="0.3">
      <c r="A5962" t="s">
        <v>88</v>
      </c>
      <c r="B5962" s="1">
        <v>45627</v>
      </c>
      <c r="C5962" s="2">
        <v>84178</v>
      </c>
      <c r="D5962" s="2">
        <v>15321</v>
      </c>
      <c r="E5962" s="2">
        <v>53776</v>
      </c>
      <c r="F5962" s="2">
        <v>5213</v>
      </c>
      <c r="G5962" s="2">
        <v>-3225</v>
      </c>
      <c r="H5962" s="2">
        <v>30402</v>
      </c>
      <c r="I5962" s="2">
        <v>10108</v>
      </c>
    </row>
    <row r="5963" spans="1:9" x14ac:dyDescent="0.3">
      <c r="A5963" t="s">
        <v>88</v>
      </c>
      <c r="B5963" s="1">
        <v>45597</v>
      </c>
      <c r="C5963" s="2">
        <v>83608</v>
      </c>
      <c r="D5963" s="2">
        <v>-2059</v>
      </c>
      <c r="E5963" s="2">
        <v>63314</v>
      </c>
      <c r="F5963" s="2">
        <v>-1069</v>
      </c>
      <c r="G5963" s="2">
        <v>349</v>
      </c>
      <c r="H5963" s="2">
        <v>20294</v>
      </c>
      <c r="I5963" s="2">
        <v>-990</v>
      </c>
    </row>
    <row r="5964" spans="1:9" x14ac:dyDescent="0.3">
      <c r="A5964" t="s">
        <v>88</v>
      </c>
      <c r="B5964" s="1">
        <v>45566</v>
      </c>
      <c r="C5964" s="2">
        <v>87523</v>
      </c>
      <c r="D5964" s="2">
        <v>8244</v>
      </c>
      <c r="E5964" s="2">
        <v>66239</v>
      </c>
      <c r="F5964" s="2">
        <v>6431</v>
      </c>
      <c r="G5964" s="2">
        <v>-446</v>
      </c>
      <c r="H5964" s="2">
        <v>21284</v>
      </c>
      <c r="I5964" s="2">
        <v>1813</v>
      </c>
    </row>
    <row r="5965" spans="1:9" x14ac:dyDescent="0.3">
      <c r="A5965" t="s">
        <v>88</v>
      </c>
      <c r="B5965" s="1">
        <v>45536</v>
      </c>
      <c r="C5965" s="2">
        <v>74762</v>
      </c>
      <c r="D5965" s="2">
        <v>-4558</v>
      </c>
      <c r="E5965" s="2">
        <v>55291</v>
      </c>
      <c r="F5965" s="2">
        <v>-882</v>
      </c>
      <c r="G5965" s="2">
        <v>-280</v>
      </c>
      <c r="H5965" s="2">
        <v>19471</v>
      </c>
      <c r="I5965" s="2">
        <v>-3676</v>
      </c>
    </row>
    <row r="5966" spans="1:9" x14ac:dyDescent="0.3">
      <c r="A5966" t="s">
        <v>88</v>
      </c>
      <c r="B5966" s="1">
        <v>45505</v>
      </c>
      <c r="C5966" s="2">
        <v>80577</v>
      </c>
      <c r="D5966" s="2">
        <v>-609</v>
      </c>
      <c r="E5966" s="2">
        <v>57430</v>
      </c>
      <c r="F5966" s="2">
        <v>-3734</v>
      </c>
      <c r="G5966" s="2">
        <v>53</v>
      </c>
      <c r="H5966" s="2">
        <v>23147</v>
      </c>
      <c r="I5966" s="2">
        <v>3125</v>
      </c>
    </row>
    <row r="5967" spans="1:9" x14ac:dyDescent="0.3">
      <c r="A5967" t="s">
        <v>88</v>
      </c>
      <c r="B5967" s="1">
        <v>45474</v>
      </c>
      <c r="C5967" s="2">
        <v>80994</v>
      </c>
      <c r="D5967" s="2">
        <v>5528</v>
      </c>
      <c r="E5967" s="2">
        <v>60972</v>
      </c>
      <c r="F5967" s="2">
        <v>3659</v>
      </c>
      <c r="G5967" s="2">
        <v>649</v>
      </c>
      <c r="H5967" s="2">
        <v>20022</v>
      </c>
      <c r="I5967" s="2">
        <v>1869</v>
      </c>
    </row>
    <row r="5968" spans="1:9" x14ac:dyDescent="0.3">
      <c r="A5968" t="s">
        <v>88</v>
      </c>
      <c r="B5968" s="1">
        <v>45444</v>
      </c>
      <c r="C5968" s="2">
        <v>77345</v>
      </c>
      <c r="D5968" s="2">
        <v>-7397</v>
      </c>
      <c r="E5968" s="2">
        <v>59192</v>
      </c>
      <c r="F5968" s="2">
        <v>-7617</v>
      </c>
      <c r="G5968" s="2">
        <v>-622</v>
      </c>
      <c r="H5968" s="2">
        <v>18153</v>
      </c>
      <c r="I5968" s="2">
        <v>220</v>
      </c>
    </row>
    <row r="5969" spans="1:9" x14ac:dyDescent="0.3">
      <c r="A5969" t="s">
        <v>88</v>
      </c>
      <c r="B5969" s="1">
        <v>45413</v>
      </c>
      <c r="C5969" s="2">
        <v>84803</v>
      </c>
      <c r="D5969" s="2">
        <v>9189</v>
      </c>
      <c r="E5969" s="2">
        <v>66870</v>
      </c>
      <c r="F5969" s="2">
        <v>9195</v>
      </c>
      <c r="G5969" s="2">
        <v>348</v>
      </c>
      <c r="H5969" s="2">
        <v>17933</v>
      </c>
      <c r="I5969" s="2">
        <v>-6</v>
      </c>
    </row>
    <row r="5970" spans="1:9" x14ac:dyDescent="0.3">
      <c r="A5970" t="s">
        <v>88</v>
      </c>
      <c r="B5970" s="1">
        <v>45383</v>
      </c>
      <c r="C5970" s="2">
        <v>76959</v>
      </c>
      <c r="D5970" s="2">
        <v>2399</v>
      </c>
      <c r="E5970" s="2">
        <v>59020</v>
      </c>
      <c r="F5970" s="2">
        <v>2830</v>
      </c>
      <c r="G5970" s="2">
        <v>-690</v>
      </c>
      <c r="H5970" s="2">
        <v>17939</v>
      </c>
      <c r="I5970" s="2">
        <v>-431</v>
      </c>
    </row>
    <row r="5971" spans="1:9" x14ac:dyDescent="0.3">
      <c r="A5971" t="s">
        <v>88</v>
      </c>
      <c r="B5971" s="1">
        <v>45352</v>
      </c>
      <c r="C5971" s="2">
        <v>74058</v>
      </c>
      <c r="D5971" s="2">
        <v>2586</v>
      </c>
      <c r="E5971" s="2">
        <v>55688</v>
      </c>
      <c r="F5971" s="2">
        <v>3742</v>
      </c>
      <c r="G5971" s="2">
        <v>-72</v>
      </c>
      <c r="H5971" s="2">
        <v>18370</v>
      </c>
      <c r="I5971" s="2">
        <v>-1156</v>
      </c>
    </row>
    <row r="5972" spans="1:9" x14ac:dyDescent="0.3">
      <c r="A5972" t="s">
        <v>88</v>
      </c>
      <c r="B5972" s="1">
        <v>45323</v>
      </c>
      <c r="C5972" s="2">
        <v>70971</v>
      </c>
      <c r="D5972" s="2">
        <v>8440</v>
      </c>
      <c r="E5972" s="2">
        <v>51445</v>
      </c>
      <c r="F5972" s="2">
        <v>4541</v>
      </c>
      <c r="G5972" s="2">
        <v>-121</v>
      </c>
      <c r="H5972" s="2">
        <v>19526</v>
      </c>
      <c r="I5972" s="2">
        <v>3899</v>
      </c>
    </row>
    <row r="5973" spans="1:9" x14ac:dyDescent="0.3">
      <c r="A5973" t="s">
        <v>88</v>
      </c>
      <c r="B5973" s="1">
        <v>45292</v>
      </c>
      <c r="C5973" s="2">
        <v>62483</v>
      </c>
      <c r="D5973" s="2">
        <v>-13208</v>
      </c>
      <c r="E5973" s="2">
        <v>46856</v>
      </c>
      <c r="F5973" s="2">
        <v>-14298</v>
      </c>
      <c r="G5973" s="2">
        <v>516</v>
      </c>
      <c r="H5973" s="2">
        <v>15627</v>
      </c>
      <c r="I5973" s="2">
        <v>1090</v>
      </c>
    </row>
    <row r="5974" spans="1:9" x14ac:dyDescent="0.3">
      <c r="A5974" t="s">
        <v>88</v>
      </c>
      <c r="B5974" s="1">
        <v>45261</v>
      </c>
      <c r="C5974" s="2">
        <v>74571</v>
      </c>
      <c r="D5974" s="2">
        <v>7384</v>
      </c>
      <c r="E5974" s="2">
        <v>60034</v>
      </c>
      <c r="F5974" s="2">
        <v>6119</v>
      </c>
      <c r="G5974" s="2">
        <v>1126</v>
      </c>
      <c r="H5974" s="2">
        <v>14537</v>
      </c>
      <c r="I5974" s="2">
        <v>1265</v>
      </c>
    </row>
    <row r="5975" spans="1:9" x14ac:dyDescent="0.3">
      <c r="A5975" t="s">
        <v>88</v>
      </c>
      <c r="B5975" s="1">
        <v>45231</v>
      </c>
      <c r="C5975" s="2">
        <v>66661</v>
      </c>
      <c r="D5975" s="2">
        <v>484</v>
      </c>
      <c r="E5975" s="2">
        <v>53389</v>
      </c>
      <c r="F5975" s="2">
        <v>889</v>
      </c>
      <c r="G5975" s="2">
        <v>289</v>
      </c>
      <c r="H5975" s="2">
        <v>13272</v>
      </c>
      <c r="I5975" s="2">
        <v>-405</v>
      </c>
    </row>
    <row r="5976" spans="1:9" x14ac:dyDescent="0.3">
      <c r="A5976" t="s">
        <v>88</v>
      </c>
      <c r="B5976" s="1">
        <v>45200</v>
      </c>
      <c r="C5976" s="2">
        <v>67510</v>
      </c>
      <c r="D5976" s="2">
        <v>8882</v>
      </c>
      <c r="E5976" s="2">
        <v>53833</v>
      </c>
      <c r="F5976" s="2">
        <v>7900</v>
      </c>
      <c r="G5976" s="2">
        <v>59</v>
      </c>
      <c r="H5976" s="2">
        <v>13677</v>
      </c>
      <c r="I5976" s="2">
        <v>982</v>
      </c>
    </row>
    <row r="5977" spans="1:9" x14ac:dyDescent="0.3">
      <c r="A5977" t="s">
        <v>88</v>
      </c>
      <c r="B5977" s="1">
        <v>45170</v>
      </c>
      <c r="C5977" s="2">
        <v>60442</v>
      </c>
      <c r="D5977" s="2">
        <v>1692</v>
      </c>
      <c r="E5977" s="2">
        <v>47747</v>
      </c>
      <c r="F5977" s="2">
        <v>846</v>
      </c>
      <c r="G5977" s="2">
        <v>-364</v>
      </c>
      <c r="H5977" s="2">
        <v>12695</v>
      </c>
      <c r="I5977" s="2">
        <v>846</v>
      </c>
    </row>
    <row r="5978" spans="1:9" x14ac:dyDescent="0.3">
      <c r="A5978" t="s">
        <v>88</v>
      </c>
      <c r="B5978" s="1">
        <v>45139</v>
      </c>
      <c r="C5978" s="2">
        <v>57461</v>
      </c>
      <c r="D5978" s="2">
        <v>-6009</v>
      </c>
      <c r="E5978" s="2">
        <v>45612</v>
      </c>
      <c r="F5978" s="2">
        <v>-6896</v>
      </c>
      <c r="G5978" s="2">
        <v>-194</v>
      </c>
      <c r="H5978" s="2">
        <v>11849</v>
      </c>
      <c r="I5978" s="2">
        <v>887</v>
      </c>
    </row>
    <row r="5979" spans="1:9" x14ac:dyDescent="0.3">
      <c r="A5979" t="s">
        <v>88</v>
      </c>
      <c r="B5979" s="1">
        <v>45108</v>
      </c>
      <c r="C5979" s="2">
        <v>61981</v>
      </c>
      <c r="D5979" s="2">
        <v>7213</v>
      </c>
      <c r="E5979" s="2">
        <v>51019</v>
      </c>
      <c r="F5979" s="2">
        <v>3960</v>
      </c>
      <c r="G5979" s="2">
        <v>607</v>
      </c>
      <c r="H5979" s="2">
        <v>10962</v>
      </c>
      <c r="I5979" s="2">
        <v>3253</v>
      </c>
    </row>
    <row r="5980" spans="1:9" x14ac:dyDescent="0.3">
      <c r="A5980" t="s">
        <v>88</v>
      </c>
      <c r="B5980" s="1">
        <v>45078</v>
      </c>
      <c r="C5980" s="2">
        <v>56910</v>
      </c>
      <c r="D5980" s="2">
        <v>11223</v>
      </c>
      <c r="E5980" s="2">
        <v>49201</v>
      </c>
      <c r="F5980" s="2">
        <v>6258</v>
      </c>
      <c r="G5980" s="2">
        <v>-600</v>
      </c>
      <c r="H5980" s="2">
        <v>7709</v>
      </c>
      <c r="I5980" s="2">
        <v>4965</v>
      </c>
    </row>
    <row r="5981" spans="1:9" x14ac:dyDescent="0.3">
      <c r="A5981" t="s">
        <v>88</v>
      </c>
      <c r="B5981" s="1">
        <v>45047</v>
      </c>
      <c r="C5981" s="2">
        <v>45294</v>
      </c>
      <c r="D5981" s="2">
        <v>8724</v>
      </c>
      <c r="E5981" s="2">
        <v>42550</v>
      </c>
      <c r="F5981" s="2">
        <v>7952</v>
      </c>
      <c r="G5981" s="2">
        <v>182</v>
      </c>
      <c r="H5981" s="2">
        <v>2744</v>
      </c>
      <c r="I5981" s="2">
        <v>772</v>
      </c>
    </row>
    <row r="5982" spans="1:9" x14ac:dyDescent="0.3">
      <c r="A5982" t="s">
        <v>88</v>
      </c>
      <c r="B5982" s="1">
        <v>45017</v>
      </c>
      <c r="C5982" s="2">
        <v>35003</v>
      </c>
      <c r="D5982" s="2">
        <v>381</v>
      </c>
      <c r="E5982" s="2">
        <v>33031</v>
      </c>
      <c r="F5982" s="2">
        <v>1823</v>
      </c>
      <c r="G5982" s="2">
        <v>-1136</v>
      </c>
      <c r="H5982" s="2">
        <v>1972</v>
      </c>
      <c r="I5982" s="2">
        <v>-1442</v>
      </c>
    </row>
    <row r="5983" spans="1:9" x14ac:dyDescent="0.3">
      <c r="A5983" t="s">
        <v>88</v>
      </c>
      <c r="B5983" s="1">
        <v>44986</v>
      </c>
      <c r="C5983" s="2">
        <v>37158</v>
      </c>
      <c r="D5983" s="2">
        <v>1312</v>
      </c>
      <c r="E5983" s="2">
        <v>33744</v>
      </c>
      <c r="F5983" s="2">
        <v>836</v>
      </c>
      <c r="G5983" s="2">
        <v>737</v>
      </c>
      <c r="H5983" s="2">
        <v>3414</v>
      </c>
      <c r="I5983" s="2">
        <v>476</v>
      </c>
    </row>
    <row r="5984" spans="1:9" x14ac:dyDescent="0.3">
      <c r="A5984" t="s">
        <v>88</v>
      </c>
      <c r="B5984" s="1">
        <v>44958</v>
      </c>
      <c r="C5984" s="2">
        <v>35551</v>
      </c>
      <c r="D5984" s="2">
        <v>-1946</v>
      </c>
      <c r="E5984" s="2">
        <v>32613</v>
      </c>
      <c r="F5984" s="2">
        <v>-194</v>
      </c>
      <c r="G5984" s="2">
        <v>-441</v>
      </c>
      <c r="H5984" s="2">
        <v>2938</v>
      </c>
      <c r="I5984" s="2">
        <v>-1752</v>
      </c>
    </row>
    <row r="5985" spans="1:9" hidden="1" x14ac:dyDescent="0.3">
      <c r="A5985" t="s">
        <v>88</v>
      </c>
      <c r="B5985" s="1">
        <v>44927</v>
      </c>
      <c r="C5985" s="2">
        <v>37890</v>
      </c>
      <c r="D5985" s="2" t="s">
        <v>3</v>
      </c>
      <c r="E5985" s="2">
        <v>33200</v>
      </c>
      <c r="F5985" s="2" t="s">
        <v>3</v>
      </c>
      <c r="G5985" s="2" t="s">
        <v>3</v>
      </c>
      <c r="H5985" s="2">
        <v>4690</v>
      </c>
      <c r="I5985" s="2">
        <v>-1229</v>
      </c>
    </row>
    <row r="5986" spans="1:9" hidden="1" x14ac:dyDescent="0.3">
      <c r="A5986" t="s">
        <v>88</v>
      </c>
      <c r="B5986" s="1">
        <v>44896</v>
      </c>
      <c r="C5986" s="2">
        <v>41278</v>
      </c>
      <c r="D5986" s="2" t="s">
        <v>3</v>
      </c>
      <c r="E5986" s="2">
        <v>35359</v>
      </c>
      <c r="F5986" s="2" t="s">
        <v>3</v>
      </c>
      <c r="G5986" s="2" t="s">
        <v>3</v>
      </c>
      <c r="H5986" s="2">
        <v>5919</v>
      </c>
      <c r="I5986" s="2">
        <v>-322</v>
      </c>
    </row>
    <row r="5987" spans="1:9" hidden="1" x14ac:dyDescent="0.3">
      <c r="A5987" t="s">
        <v>88</v>
      </c>
      <c r="B5987" s="1">
        <v>44866</v>
      </c>
      <c r="C5987" s="2">
        <v>39488</v>
      </c>
      <c r="D5987" s="2" t="s">
        <v>3</v>
      </c>
      <c r="E5987" s="2">
        <v>33247</v>
      </c>
      <c r="F5987" s="2" t="s">
        <v>3</v>
      </c>
      <c r="G5987" s="2" t="s">
        <v>3</v>
      </c>
      <c r="H5987" s="2">
        <v>6241</v>
      </c>
      <c r="I5987" s="2">
        <v>1451</v>
      </c>
    </row>
    <row r="5988" spans="1:9" hidden="1" x14ac:dyDescent="0.3">
      <c r="A5988" t="s">
        <v>88</v>
      </c>
      <c r="B5988" s="1">
        <v>44835</v>
      </c>
      <c r="C5988" s="2">
        <v>38942</v>
      </c>
      <c r="D5988" s="2" t="s">
        <v>3</v>
      </c>
      <c r="E5988" s="2">
        <v>34152</v>
      </c>
      <c r="F5988" s="2" t="s">
        <v>3</v>
      </c>
      <c r="G5988" s="2" t="s">
        <v>3</v>
      </c>
      <c r="H5988" s="2">
        <v>4790</v>
      </c>
      <c r="I5988" s="2">
        <v>-552</v>
      </c>
    </row>
    <row r="5989" spans="1:9" hidden="1" x14ac:dyDescent="0.3">
      <c r="A5989" t="s">
        <v>88</v>
      </c>
      <c r="B5989" s="1">
        <v>44805</v>
      </c>
      <c r="C5989" s="2">
        <v>40559</v>
      </c>
      <c r="D5989" s="2" t="s">
        <v>3</v>
      </c>
      <c r="E5989" s="2">
        <v>35217</v>
      </c>
      <c r="F5989" s="2" t="s">
        <v>3</v>
      </c>
      <c r="G5989" s="2" t="s">
        <v>3</v>
      </c>
      <c r="H5989" s="2">
        <v>5342</v>
      </c>
      <c r="I5989" s="2">
        <v>-1234</v>
      </c>
    </row>
    <row r="5990" spans="1:9" hidden="1" x14ac:dyDescent="0.3">
      <c r="A5990" t="s">
        <v>88</v>
      </c>
      <c r="B5990" s="1">
        <v>44774</v>
      </c>
      <c r="C5990" s="2">
        <v>40854</v>
      </c>
      <c r="D5990" s="2" t="s">
        <v>3</v>
      </c>
      <c r="E5990" s="2">
        <v>34278</v>
      </c>
      <c r="F5990" s="2" t="s">
        <v>3</v>
      </c>
      <c r="G5990" s="2" t="s">
        <v>3</v>
      </c>
      <c r="H5990" s="2">
        <v>6576</v>
      </c>
      <c r="I5990" s="2">
        <v>-1805</v>
      </c>
    </row>
    <row r="5991" spans="1:9" hidden="1" x14ac:dyDescent="0.3">
      <c r="A5991" t="s">
        <v>88</v>
      </c>
      <c r="B5991" s="1">
        <v>44743</v>
      </c>
      <c r="C5991" s="2">
        <v>44505</v>
      </c>
      <c r="D5991" s="2" t="s">
        <v>3</v>
      </c>
      <c r="E5991" s="2">
        <v>36124</v>
      </c>
      <c r="F5991" s="2" t="s">
        <v>3</v>
      </c>
      <c r="G5991" s="2" t="s">
        <v>3</v>
      </c>
      <c r="H5991" s="2">
        <v>8381</v>
      </c>
      <c r="I5991" s="2">
        <v>-3367</v>
      </c>
    </row>
    <row r="5992" spans="1:9" hidden="1" x14ac:dyDescent="0.3">
      <c r="A5992" t="s">
        <v>88</v>
      </c>
      <c r="B5992" s="1">
        <v>44713</v>
      </c>
      <c r="C5992" s="2">
        <v>48424</v>
      </c>
      <c r="D5992" s="2" t="s">
        <v>3</v>
      </c>
      <c r="E5992" s="2">
        <v>36676</v>
      </c>
      <c r="F5992" s="2" t="s">
        <v>3</v>
      </c>
      <c r="G5992" s="2" t="s">
        <v>3</v>
      </c>
      <c r="H5992" s="2">
        <v>11748</v>
      </c>
      <c r="I5992" s="2">
        <v>-615</v>
      </c>
    </row>
    <row r="5993" spans="1:9" hidden="1" x14ac:dyDescent="0.3">
      <c r="A5993" t="s">
        <v>88</v>
      </c>
      <c r="B5993" s="1">
        <v>44682</v>
      </c>
      <c r="C5993" s="2">
        <v>47814</v>
      </c>
      <c r="D5993" s="2" t="s">
        <v>3</v>
      </c>
      <c r="E5993" s="2">
        <v>35451</v>
      </c>
      <c r="F5993" s="2" t="s">
        <v>3</v>
      </c>
      <c r="G5993" s="2" t="s">
        <v>3</v>
      </c>
      <c r="H5993" s="2">
        <v>12363</v>
      </c>
      <c r="I5993" s="2">
        <v>-905</v>
      </c>
    </row>
    <row r="5994" spans="1:9" hidden="1" x14ac:dyDescent="0.3">
      <c r="A5994" t="s">
        <v>88</v>
      </c>
      <c r="B5994" s="1">
        <v>44652</v>
      </c>
      <c r="C5994" s="2">
        <v>50100</v>
      </c>
      <c r="D5994" s="2" t="s">
        <v>3</v>
      </c>
      <c r="E5994" s="2">
        <v>36832</v>
      </c>
      <c r="F5994" s="2" t="s">
        <v>3</v>
      </c>
      <c r="G5994" s="2" t="s">
        <v>3</v>
      </c>
      <c r="H5994" s="2">
        <v>13268</v>
      </c>
      <c r="I5994" s="2">
        <v>-145</v>
      </c>
    </row>
    <row r="5995" spans="1:9" hidden="1" x14ac:dyDescent="0.3">
      <c r="A5995" t="s">
        <v>88</v>
      </c>
      <c r="B5995" s="1">
        <v>44621</v>
      </c>
      <c r="C5995" s="2">
        <v>48873</v>
      </c>
      <c r="D5995" s="2" t="s">
        <v>3</v>
      </c>
      <c r="E5995" s="2">
        <v>35460</v>
      </c>
      <c r="F5995" s="2" t="s">
        <v>3</v>
      </c>
      <c r="G5995" s="2" t="s">
        <v>3</v>
      </c>
      <c r="H5995" s="2">
        <v>13413</v>
      </c>
      <c r="I5995" s="2">
        <v>1726</v>
      </c>
    </row>
    <row r="5996" spans="1:9" hidden="1" x14ac:dyDescent="0.3">
      <c r="A5996" t="s">
        <v>88</v>
      </c>
      <c r="B5996" s="1">
        <v>44593</v>
      </c>
      <c r="C5996" s="2">
        <v>44422</v>
      </c>
      <c r="D5996" s="2" t="s">
        <v>3</v>
      </c>
      <c r="E5996" s="2">
        <v>32735</v>
      </c>
      <c r="F5996" s="2" t="s">
        <v>3</v>
      </c>
      <c r="G5996" s="2" t="s">
        <v>3</v>
      </c>
      <c r="H5996" s="2">
        <v>11687</v>
      </c>
      <c r="I5996" s="2">
        <v>562</v>
      </c>
    </row>
    <row r="5997" spans="1:9" hidden="1" x14ac:dyDescent="0.3">
      <c r="A5997" t="s">
        <v>88</v>
      </c>
      <c r="B5997" s="1">
        <v>44562</v>
      </c>
      <c r="C5997" s="2">
        <v>45111</v>
      </c>
      <c r="D5997" s="2" t="s">
        <v>3</v>
      </c>
      <c r="E5997" s="2">
        <v>33986</v>
      </c>
      <c r="F5997" s="2" t="s">
        <v>3</v>
      </c>
      <c r="G5997" s="2" t="s">
        <v>3</v>
      </c>
      <c r="H5997" s="2">
        <v>11125</v>
      </c>
      <c r="I5997" s="2">
        <v>252</v>
      </c>
    </row>
    <row r="5998" spans="1:9" hidden="1" x14ac:dyDescent="0.3">
      <c r="A5998" t="s">
        <v>88</v>
      </c>
      <c r="B5998" s="1">
        <v>44531</v>
      </c>
      <c r="C5998" s="2">
        <v>44918</v>
      </c>
      <c r="D5998" s="2" t="s">
        <v>3</v>
      </c>
      <c r="E5998" s="2">
        <v>34045</v>
      </c>
      <c r="F5998" s="2" t="s">
        <v>3</v>
      </c>
      <c r="G5998" s="2" t="s">
        <v>3</v>
      </c>
      <c r="H5998" s="2">
        <v>10873</v>
      </c>
      <c r="I5998" s="2">
        <v>-1526</v>
      </c>
    </row>
    <row r="5999" spans="1:9" hidden="1" x14ac:dyDescent="0.3">
      <c r="A5999" t="s">
        <v>88</v>
      </c>
      <c r="B5999" s="1">
        <v>44501</v>
      </c>
      <c r="C5999" s="2">
        <v>45138</v>
      </c>
      <c r="D5999" s="2" t="s">
        <v>3</v>
      </c>
      <c r="E5999" s="2">
        <v>32739</v>
      </c>
      <c r="F5999" s="2" t="s">
        <v>3</v>
      </c>
      <c r="G5999" s="2" t="s">
        <v>3</v>
      </c>
      <c r="H5999" s="2">
        <v>12399</v>
      </c>
      <c r="I5999" s="2">
        <v>1609</v>
      </c>
    </row>
    <row r="6000" spans="1:9" hidden="1" x14ac:dyDescent="0.3">
      <c r="A6000" t="s">
        <v>88</v>
      </c>
      <c r="B6000" s="1">
        <v>44470</v>
      </c>
      <c r="C6000" s="2">
        <v>44701</v>
      </c>
      <c r="D6000" s="2" t="s">
        <v>3</v>
      </c>
      <c r="E6000" s="2">
        <v>33911</v>
      </c>
      <c r="F6000" s="2" t="s">
        <v>3</v>
      </c>
      <c r="G6000" s="2" t="s">
        <v>3</v>
      </c>
      <c r="H6000" s="2">
        <v>10790</v>
      </c>
      <c r="I6000" s="2">
        <v>946</v>
      </c>
    </row>
    <row r="6001" spans="1:9" hidden="1" x14ac:dyDescent="0.3">
      <c r="A6001" t="s">
        <v>88</v>
      </c>
      <c r="B6001" s="1">
        <v>44440</v>
      </c>
      <c r="C6001" s="2">
        <v>42210</v>
      </c>
      <c r="D6001" s="2" t="s">
        <v>3</v>
      </c>
      <c r="E6001" s="2">
        <v>32366</v>
      </c>
      <c r="F6001" s="2" t="s">
        <v>3</v>
      </c>
      <c r="G6001" s="2" t="s">
        <v>3</v>
      </c>
      <c r="H6001" s="2">
        <v>9844</v>
      </c>
      <c r="I6001" s="2">
        <v>-1671</v>
      </c>
    </row>
    <row r="6002" spans="1:9" hidden="1" x14ac:dyDescent="0.3">
      <c r="A6002" t="s">
        <v>88</v>
      </c>
      <c r="B6002" s="1">
        <v>44409</v>
      </c>
      <c r="C6002" s="2">
        <v>42171</v>
      </c>
      <c r="D6002" s="2" t="s">
        <v>3</v>
      </c>
      <c r="E6002" s="2">
        <v>30656</v>
      </c>
      <c r="F6002" s="2" t="s">
        <v>3</v>
      </c>
      <c r="G6002" s="2" t="s">
        <v>3</v>
      </c>
      <c r="H6002" s="2">
        <v>11515</v>
      </c>
      <c r="I6002" s="2">
        <v>-556</v>
      </c>
    </row>
    <row r="6003" spans="1:9" hidden="1" x14ac:dyDescent="0.3">
      <c r="A6003" t="s">
        <v>88</v>
      </c>
      <c r="B6003" s="1">
        <v>44378</v>
      </c>
      <c r="C6003" s="2">
        <v>42497</v>
      </c>
      <c r="D6003" s="2" t="s">
        <v>3</v>
      </c>
      <c r="E6003" s="2">
        <v>30426</v>
      </c>
      <c r="F6003" s="2" t="s">
        <v>3</v>
      </c>
      <c r="G6003" s="2" t="s">
        <v>3</v>
      </c>
      <c r="H6003" s="2">
        <v>12071</v>
      </c>
      <c r="I6003" s="2">
        <v>-50</v>
      </c>
    </row>
    <row r="6004" spans="1:9" hidden="1" x14ac:dyDescent="0.3">
      <c r="A6004" t="s">
        <v>88</v>
      </c>
      <c r="B6004" s="1">
        <v>44348</v>
      </c>
      <c r="C6004" s="2">
        <v>41846</v>
      </c>
      <c r="D6004" s="2" t="s">
        <v>3</v>
      </c>
      <c r="E6004" s="2">
        <v>29725</v>
      </c>
      <c r="F6004" s="2" t="s">
        <v>3</v>
      </c>
      <c r="G6004" s="2" t="s">
        <v>3</v>
      </c>
      <c r="H6004" s="2">
        <v>12121</v>
      </c>
      <c r="I6004" s="2">
        <v>-673</v>
      </c>
    </row>
    <row r="6005" spans="1:9" hidden="1" x14ac:dyDescent="0.3">
      <c r="A6005" t="s">
        <v>88</v>
      </c>
      <c r="B6005" s="1">
        <v>44317</v>
      </c>
      <c r="C6005" s="2">
        <v>39203</v>
      </c>
      <c r="D6005" s="2" t="s">
        <v>3</v>
      </c>
      <c r="E6005" s="2">
        <v>26409</v>
      </c>
      <c r="F6005" s="2" t="s">
        <v>3</v>
      </c>
      <c r="G6005" s="2" t="s">
        <v>3</v>
      </c>
      <c r="H6005" s="2">
        <v>12794</v>
      </c>
      <c r="I6005" s="2">
        <v>-362</v>
      </c>
    </row>
    <row r="6006" spans="1:9" hidden="1" x14ac:dyDescent="0.3">
      <c r="A6006" t="s">
        <v>88</v>
      </c>
      <c r="B6006" s="1">
        <v>44287</v>
      </c>
      <c r="C6006" s="2">
        <v>38949</v>
      </c>
      <c r="D6006" s="2" t="s">
        <v>3</v>
      </c>
      <c r="E6006" s="2">
        <v>25793</v>
      </c>
      <c r="F6006" s="2" t="s">
        <v>3</v>
      </c>
      <c r="G6006" s="2" t="s">
        <v>3</v>
      </c>
      <c r="H6006" s="2">
        <v>13156</v>
      </c>
      <c r="I6006" s="2">
        <v>-363</v>
      </c>
    </row>
    <row r="6007" spans="1:9" hidden="1" x14ac:dyDescent="0.3">
      <c r="A6007" t="s">
        <v>88</v>
      </c>
      <c r="B6007" s="1">
        <v>44256</v>
      </c>
      <c r="C6007" s="2">
        <v>45359</v>
      </c>
      <c r="D6007" s="2" t="s">
        <v>3</v>
      </c>
      <c r="E6007" s="2">
        <v>31840</v>
      </c>
      <c r="F6007" s="2" t="s">
        <v>3</v>
      </c>
      <c r="G6007" s="2" t="s">
        <v>3</v>
      </c>
      <c r="H6007" s="2">
        <v>13519</v>
      </c>
      <c r="I6007" s="2">
        <v>-2827</v>
      </c>
    </row>
    <row r="6008" spans="1:9" hidden="1" x14ac:dyDescent="0.3">
      <c r="A6008" t="s">
        <v>88</v>
      </c>
      <c r="B6008" s="1">
        <v>44228</v>
      </c>
      <c r="C6008" s="2">
        <v>42516</v>
      </c>
      <c r="D6008" s="2" t="s">
        <v>3</v>
      </c>
      <c r="E6008" s="2">
        <v>26170</v>
      </c>
      <c r="F6008" s="2" t="s">
        <v>3</v>
      </c>
      <c r="G6008" s="2" t="s">
        <v>3</v>
      </c>
      <c r="H6008" s="2">
        <v>16346</v>
      </c>
      <c r="I6008" s="2">
        <v>-2393</v>
      </c>
    </row>
    <row r="6009" spans="1:9" hidden="1" x14ac:dyDescent="0.3">
      <c r="A6009" t="s">
        <v>88</v>
      </c>
      <c r="B6009" s="1">
        <v>44197</v>
      </c>
      <c r="C6009" s="2">
        <v>44901</v>
      </c>
      <c r="D6009" s="2" t="s">
        <v>3</v>
      </c>
      <c r="E6009" s="2">
        <v>26162</v>
      </c>
      <c r="F6009" s="2" t="s">
        <v>3</v>
      </c>
      <c r="G6009" s="2" t="s">
        <v>3</v>
      </c>
      <c r="H6009" s="2">
        <v>18739</v>
      </c>
      <c r="I6009" s="2">
        <v>-726</v>
      </c>
    </row>
    <row r="6010" spans="1:9" hidden="1" x14ac:dyDescent="0.3">
      <c r="A6010" t="s">
        <v>88</v>
      </c>
      <c r="B6010" s="1">
        <v>44166</v>
      </c>
      <c r="C6010" s="2">
        <v>35109</v>
      </c>
      <c r="D6010" s="2" t="s">
        <v>3</v>
      </c>
      <c r="E6010" s="2">
        <v>15644</v>
      </c>
      <c r="F6010" s="2" t="s">
        <v>3</v>
      </c>
      <c r="G6010" s="2" t="s">
        <v>3</v>
      </c>
      <c r="H6010" s="2">
        <v>19465</v>
      </c>
      <c r="I6010" s="2">
        <v>-7365</v>
      </c>
    </row>
    <row r="6011" spans="1:9" hidden="1" x14ac:dyDescent="0.3">
      <c r="A6011" t="s">
        <v>88</v>
      </c>
      <c r="B6011" s="1">
        <v>44136</v>
      </c>
      <c r="C6011" s="2">
        <v>45652</v>
      </c>
      <c r="D6011" s="2" t="s">
        <v>3</v>
      </c>
      <c r="E6011" s="2">
        <v>18822</v>
      </c>
      <c r="F6011" s="2" t="s">
        <v>3</v>
      </c>
      <c r="G6011" s="2" t="s">
        <v>3</v>
      </c>
      <c r="H6011" s="2">
        <v>26830</v>
      </c>
      <c r="I6011" s="2">
        <v>1699</v>
      </c>
    </row>
    <row r="6012" spans="1:9" hidden="1" x14ac:dyDescent="0.3">
      <c r="A6012" t="s">
        <v>88</v>
      </c>
      <c r="B6012" s="1">
        <v>44105</v>
      </c>
      <c r="C6012" s="2">
        <v>45094</v>
      </c>
      <c r="D6012" s="2" t="s">
        <v>3</v>
      </c>
      <c r="E6012" s="2">
        <v>19963</v>
      </c>
      <c r="F6012" s="2" t="s">
        <v>3</v>
      </c>
      <c r="G6012" s="2" t="s">
        <v>3</v>
      </c>
      <c r="H6012" s="2">
        <v>25131</v>
      </c>
      <c r="I6012" s="2">
        <v>528</v>
      </c>
    </row>
    <row r="6013" spans="1:9" hidden="1" x14ac:dyDescent="0.3">
      <c r="A6013" t="s">
        <v>88</v>
      </c>
      <c r="B6013" s="1">
        <v>44075</v>
      </c>
      <c r="C6013" s="2">
        <v>49756</v>
      </c>
      <c r="D6013" s="2" t="s">
        <v>3</v>
      </c>
      <c r="E6013" s="2">
        <v>25153</v>
      </c>
      <c r="F6013" s="2" t="s">
        <v>3</v>
      </c>
      <c r="G6013" s="2" t="s">
        <v>3</v>
      </c>
      <c r="H6013" s="2">
        <v>24603</v>
      </c>
      <c r="I6013" s="2">
        <v>166</v>
      </c>
    </row>
    <row r="6014" spans="1:9" hidden="1" x14ac:dyDescent="0.3">
      <c r="A6014" t="s">
        <v>88</v>
      </c>
      <c r="B6014" s="1">
        <v>44044</v>
      </c>
      <c r="C6014" s="2">
        <v>49333</v>
      </c>
      <c r="D6014" s="2" t="s">
        <v>3</v>
      </c>
      <c r="E6014" s="2">
        <v>24896</v>
      </c>
      <c r="F6014" s="2" t="s">
        <v>3</v>
      </c>
      <c r="G6014" s="2" t="s">
        <v>3</v>
      </c>
      <c r="H6014" s="2">
        <v>24437</v>
      </c>
      <c r="I6014" s="2">
        <v>-2031</v>
      </c>
    </row>
    <row r="6015" spans="1:9" hidden="1" x14ac:dyDescent="0.3">
      <c r="A6015" t="s">
        <v>88</v>
      </c>
      <c r="B6015" s="1">
        <v>44013</v>
      </c>
      <c r="C6015" s="2">
        <v>59382</v>
      </c>
      <c r="D6015" s="2" t="s">
        <v>3</v>
      </c>
      <c r="E6015" s="2">
        <v>32914</v>
      </c>
      <c r="F6015" s="2" t="s">
        <v>3</v>
      </c>
      <c r="G6015" s="2" t="s">
        <v>3</v>
      </c>
      <c r="H6015" s="2">
        <v>26468</v>
      </c>
      <c r="I6015" s="2">
        <v>6163</v>
      </c>
    </row>
    <row r="6016" spans="1:9" hidden="1" x14ac:dyDescent="0.3">
      <c r="A6016" t="s">
        <v>88</v>
      </c>
      <c r="B6016" s="1">
        <v>43983</v>
      </c>
      <c r="C6016" s="2">
        <v>49607</v>
      </c>
      <c r="D6016" s="2" t="s">
        <v>3</v>
      </c>
      <c r="E6016" s="2">
        <v>29302</v>
      </c>
      <c r="F6016" s="2" t="s">
        <v>3</v>
      </c>
      <c r="G6016" s="2" t="s">
        <v>3</v>
      </c>
      <c r="H6016" s="2">
        <v>20305</v>
      </c>
      <c r="I6016" s="2">
        <v>2253</v>
      </c>
    </row>
    <row r="6017" spans="1:9" hidden="1" x14ac:dyDescent="0.3">
      <c r="A6017" t="s">
        <v>88</v>
      </c>
      <c r="B6017" s="1">
        <v>43952</v>
      </c>
      <c r="C6017" s="2">
        <v>52353</v>
      </c>
      <c r="D6017" s="2" t="s">
        <v>3</v>
      </c>
      <c r="E6017" s="2">
        <v>34301</v>
      </c>
      <c r="F6017" s="2" t="s">
        <v>3</v>
      </c>
      <c r="G6017" s="2" t="s">
        <v>3</v>
      </c>
      <c r="H6017" s="2">
        <v>18052</v>
      </c>
      <c r="I6017" s="2">
        <v>3195</v>
      </c>
    </row>
    <row r="6018" spans="1:9" hidden="1" x14ac:dyDescent="0.3">
      <c r="A6018" t="s">
        <v>88</v>
      </c>
      <c r="B6018" s="1">
        <v>43922</v>
      </c>
      <c r="C6018" s="2">
        <v>53546</v>
      </c>
      <c r="D6018" s="2" t="s">
        <v>3</v>
      </c>
      <c r="E6018" s="2">
        <v>38689</v>
      </c>
      <c r="F6018" s="2" t="s">
        <v>3</v>
      </c>
      <c r="G6018" s="2" t="s">
        <v>3</v>
      </c>
      <c r="H6018" s="2">
        <v>14857</v>
      </c>
      <c r="I6018" s="2">
        <v>5547</v>
      </c>
    </row>
    <row r="6019" spans="1:9" hidden="1" x14ac:dyDescent="0.3">
      <c r="A6019" t="s">
        <v>88</v>
      </c>
      <c r="B6019" s="1">
        <v>43891</v>
      </c>
      <c r="C6019" s="2">
        <v>39846</v>
      </c>
      <c r="D6019" s="2" t="s">
        <v>3</v>
      </c>
      <c r="E6019" s="2">
        <v>30536</v>
      </c>
      <c r="F6019" s="2" t="s">
        <v>3</v>
      </c>
      <c r="G6019" s="2" t="s">
        <v>3</v>
      </c>
      <c r="H6019" s="2">
        <v>9310</v>
      </c>
      <c r="I6019" s="2">
        <v>1075</v>
      </c>
    </row>
    <row r="6020" spans="1:9" hidden="1" x14ac:dyDescent="0.3">
      <c r="A6020" t="s">
        <v>88</v>
      </c>
      <c r="B6020" s="1">
        <v>43862</v>
      </c>
      <c r="C6020" s="2">
        <v>54218</v>
      </c>
      <c r="D6020" s="2" t="s">
        <v>3</v>
      </c>
      <c r="E6020" s="2">
        <v>45983</v>
      </c>
      <c r="F6020" s="2" t="s">
        <v>3</v>
      </c>
      <c r="G6020" s="2" t="s">
        <v>3</v>
      </c>
      <c r="H6020" s="2">
        <v>8235</v>
      </c>
      <c r="I6020" s="2">
        <v>569</v>
      </c>
    </row>
    <row r="6021" spans="1:9" hidden="1" x14ac:dyDescent="0.3">
      <c r="A6021" t="s">
        <v>88</v>
      </c>
      <c r="B6021" s="1">
        <v>43831</v>
      </c>
      <c r="C6021" s="2">
        <v>50706</v>
      </c>
      <c r="D6021" s="2" t="s">
        <v>3</v>
      </c>
      <c r="E6021" s="2">
        <v>43040</v>
      </c>
      <c r="F6021" s="2" t="s">
        <v>3</v>
      </c>
      <c r="G6021" s="2" t="s">
        <v>3</v>
      </c>
      <c r="H6021" s="2">
        <v>7666</v>
      </c>
      <c r="I6021" s="2">
        <v>144</v>
      </c>
    </row>
    <row r="6022" spans="1:9" x14ac:dyDescent="0.3">
      <c r="A6022" t="s">
        <v>89</v>
      </c>
      <c r="B6022" s="1">
        <v>45931</v>
      </c>
      <c r="C6022" s="2">
        <v>29607</v>
      </c>
      <c r="D6022" s="2">
        <v>-608</v>
      </c>
      <c r="E6022" s="2">
        <v>22437</v>
      </c>
      <c r="F6022" s="2">
        <v>-265</v>
      </c>
      <c r="G6022" s="2">
        <v>-66</v>
      </c>
      <c r="H6022" s="2">
        <v>7170</v>
      </c>
      <c r="I6022" s="2">
        <v>-343</v>
      </c>
    </row>
    <row r="6023" spans="1:9" x14ac:dyDescent="0.3">
      <c r="A6023" t="s">
        <v>89</v>
      </c>
      <c r="B6023" s="1">
        <v>45901</v>
      </c>
      <c r="C6023" s="2">
        <v>30322</v>
      </c>
      <c r="D6023" s="2">
        <v>2487</v>
      </c>
      <c r="E6023" s="2">
        <v>22809</v>
      </c>
      <c r="F6023" s="2">
        <v>180</v>
      </c>
      <c r="G6023" s="2">
        <v>-9</v>
      </c>
      <c r="H6023" s="2">
        <v>7513</v>
      </c>
      <c r="I6023" s="2">
        <v>2307</v>
      </c>
    </row>
    <row r="6024" spans="1:9" x14ac:dyDescent="0.3">
      <c r="A6024" t="s">
        <v>89</v>
      </c>
      <c r="B6024" s="1">
        <v>45870</v>
      </c>
      <c r="C6024" s="2">
        <v>27474</v>
      </c>
      <c r="D6024" s="2">
        <v>1680</v>
      </c>
      <c r="E6024" s="2">
        <v>22268</v>
      </c>
      <c r="F6024" s="2">
        <v>1553</v>
      </c>
      <c r="G6024" s="2">
        <v>-12</v>
      </c>
      <c r="H6024" s="2">
        <v>5206</v>
      </c>
      <c r="I6024" s="2">
        <v>127</v>
      </c>
    </row>
    <row r="6025" spans="1:9" x14ac:dyDescent="0.3">
      <c r="A6025" t="s">
        <v>89</v>
      </c>
      <c r="B6025" s="1">
        <v>45839</v>
      </c>
      <c r="C6025" s="2">
        <v>25537</v>
      </c>
      <c r="D6025" s="2">
        <v>-3781</v>
      </c>
      <c r="E6025" s="2">
        <v>20458</v>
      </c>
      <c r="F6025" s="2">
        <v>-901</v>
      </c>
      <c r="G6025" s="2">
        <v>-160</v>
      </c>
      <c r="H6025" s="2">
        <v>5079</v>
      </c>
      <c r="I6025" s="2">
        <v>-2880</v>
      </c>
    </row>
    <row r="6026" spans="1:9" x14ac:dyDescent="0.3">
      <c r="A6026" t="s">
        <v>89</v>
      </c>
      <c r="B6026" s="1">
        <v>45809</v>
      </c>
      <c r="C6026" s="2">
        <v>29462</v>
      </c>
      <c r="D6026" s="2">
        <v>3296</v>
      </c>
      <c r="E6026" s="2">
        <v>21503</v>
      </c>
      <c r="F6026" s="2">
        <v>209</v>
      </c>
      <c r="G6026" s="2">
        <v>217</v>
      </c>
      <c r="H6026" s="2">
        <v>7959</v>
      </c>
      <c r="I6026" s="2">
        <v>3087</v>
      </c>
    </row>
    <row r="6027" spans="1:9" x14ac:dyDescent="0.3">
      <c r="A6027" t="s">
        <v>89</v>
      </c>
      <c r="B6027" s="1">
        <v>45778</v>
      </c>
      <c r="C6027" s="2">
        <v>25503</v>
      </c>
      <c r="D6027" s="2">
        <v>1858</v>
      </c>
      <c r="E6027" s="2">
        <v>20631</v>
      </c>
      <c r="F6027" s="2">
        <v>1765</v>
      </c>
      <c r="G6027" s="2">
        <v>-278</v>
      </c>
      <c r="H6027" s="2">
        <v>4872</v>
      </c>
      <c r="I6027" s="2">
        <v>93</v>
      </c>
    </row>
    <row r="6028" spans="1:9" x14ac:dyDescent="0.3">
      <c r="A6028" t="s">
        <v>89</v>
      </c>
      <c r="B6028" s="1">
        <v>45748</v>
      </c>
      <c r="C6028" s="2">
        <v>24229</v>
      </c>
      <c r="D6028" s="2">
        <v>-1089</v>
      </c>
      <c r="E6028" s="2">
        <v>19450</v>
      </c>
      <c r="F6028" s="2">
        <v>-826</v>
      </c>
      <c r="G6028" s="2">
        <v>114</v>
      </c>
      <c r="H6028" s="2">
        <v>4779</v>
      </c>
      <c r="I6028" s="2">
        <v>-263</v>
      </c>
    </row>
    <row r="6029" spans="1:9" x14ac:dyDescent="0.3">
      <c r="A6029" t="s">
        <v>89</v>
      </c>
      <c r="B6029" s="1">
        <v>45717</v>
      </c>
      <c r="C6029" s="2">
        <v>24766</v>
      </c>
      <c r="D6029" s="2">
        <v>469</v>
      </c>
      <c r="E6029" s="2">
        <v>19724</v>
      </c>
      <c r="F6029" s="2">
        <v>71</v>
      </c>
      <c r="G6029" s="2">
        <v>124</v>
      </c>
      <c r="H6029" s="2">
        <v>5042</v>
      </c>
      <c r="I6029" s="2">
        <v>398</v>
      </c>
    </row>
    <row r="6030" spans="1:9" x14ac:dyDescent="0.3">
      <c r="A6030" t="s">
        <v>89</v>
      </c>
      <c r="B6030" s="1">
        <v>45689</v>
      </c>
      <c r="C6030" s="2">
        <v>24029</v>
      </c>
      <c r="D6030" s="2">
        <v>-47</v>
      </c>
      <c r="E6030" s="2">
        <v>19385</v>
      </c>
      <c r="F6030" s="2">
        <v>813</v>
      </c>
      <c r="G6030" s="2">
        <v>310</v>
      </c>
      <c r="H6030" s="2">
        <v>4644</v>
      </c>
      <c r="I6030" s="2">
        <v>-860</v>
      </c>
    </row>
    <row r="6031" spans="1:9" x14ac:dyDescent="0.3">
      <c r="A6031" t="s">
        <v>89</v>
      </c>
      <c r="B6031" s="1">
        <v>45658</v>
      </c>
      <c r="C6031" s="2">
        <v>23824</v>
      </c>
      <c r="D6031" s="2">
        <v>-4736</v>
      </c>
      <c r="E6031" s="2">
        <v>18320</v>
      </c>
      <c r="F6031" s="2">
        <v>487</v>
      </c>
      <c r="G6031" s="2">
        <v>1527</v>
      </c>
      <c r="H6031" s="2">
        <v>5504</v>
      </c>
      <c r="I6031" s="2">
        <v>-5223</v>
      </c>
    </row>
    <row r="6032" spans="1:9" x14ac:dyDescent="0.3">
      <c r="A6032" t="s">
        <v>89</v>
      </c>
      <c r="B6032" s="1">
        <v>45627</v>
      </c>
      <c r="C6032" s="2">
        <v>28705</v>
      </c>
      <c r="D6032" s="2">
        <v>4623</v>
      </c>
      <c r="E6032" s="2">
        <v>17978</v>
      </c>
      <c r="F6032" s="2">
        <v>428</v>
      </c>
      <c r="G6032" s="2">
        <v>-629</v>
      </c>
      <c r="H6032" s="2">
        <v>10727</v>
      </c>
      <c r="I6032" s="2">
        <v>4195</v>
      </c>
    </row>
    <row r="6033" spans="1:9" x14ac:dyDescent="0.3">
      <c r="A6033" t="s">
        <v>89</v>
      </c>
      <c r="B6033" s="1">
        <v>45597</v>
      </c>
      <c r="C6033" s="2">
        <v>24185</v>
      </c>
      <c r="D6033" s="2">
        <v>771</v>
      </c>
      <c r="E6033" s="2">
        <v>17653</v>
      </c>
      <c r="F6033" s="2">
        <v>499</v>
      </c>
      <c r="G6033" s="2">
        <v>-1011</v>
      </c>
      <c r="H6033" s="2">
        <v>6532</v>
      </c>
      <c r="I6033" s="2">
        <v>272</v>
      </c>
    </row>
    <row r="6034" spans="1:9" x14ac:dyDescent="0.3">
      <c r="A6034" t="s">
        <v>89</v>
      </c>
      <c r="B6034" s="1">
        <v>45566</v>
      </c>
      <c r="C6034" s="2">
        <v>23223</v>
      </c>
      <c r="D6034" s="2">
        <v>-1673</v>
      </c>
      <c r="E6034" s="2">
        <v>16963</v>
      </c>
      <c r="F6034" s="2">
        <v>-1731</v>
      </c>
      <c r="G6034" s="2">
        <v>-442</v>
      </c>
      <c r="H6034" s="2">
        <v>6260</v>
      </c>
      <c r="I6034" s="2">
        <v>58</v>
      </c>
    </row>
    <row r="6035" spans="1:9" x14ac:dyDescent="0.3">
      <c r="A6035" t="s">
        <v>89</v>
      </c>
      <c r="B6035" s="1">
        <v>45536</v>
      </c>
      <c r="C6035" s="2">
        <v>25048</v>
      </c>
      <c r="D6035" s="2">
        <v>3116</v>
      </c>
      <c r="E6035" s="2">
        <v>18846</v>
      </c>
      <c r="F6035" s="2">
        <v>107</v>
      </c>
      <c r="G6035" s="2">
        <v>133</v>
      </c>
      <c r="H6035" s="2">
        <v>6202</v>
      </c>
      <c r="I6035" s="2">
        <v>3009</v>
      </c>
    </row>
    <row r="6036" spans="1:9" x14ac:dyDescent="0.3">
      <c r="A6036" t="s">
        <v>89</v>
      </c>
      <c r="B6036" s="1">
        <v>45505</v>
      </c>
      <c r="C6036" s="2">
        <v>21808</v>
      </c>
      <c r="D6036" s="2">
        <v>494</v>
      </c>
      <c r="E6036" s="2">
        <v>18615</v>
      </c>
      <c r="F6036" s="2">
        <v>457</v>
      </c>
      <c r="G6036" s="2">
        <v>939</v>
      </c>
      <c r="H6036" s="2">
        <v>3193</v>
      </c>
      <c r="I6036" s="2">
        <v>37</v>
      </c>
    </row>
    <row r="6037" spans="1:9" x14ac:dyDescent="0.3">
      <c r="A6037" t="s">
        <v>89</v>
      </c>
      <c r="B6037" s="1">
        <v>45474</v>
      </c>
      <c r="C6037" s="2">
        <v>21277</v>
      </c>
      <c r="D6037" s="2">
        <v>1214</v>
      </c>
      <c r="E6037" s="2">
        <v>18121</v>
      </c>
      <c r="F6037" s="2">
        <v>2052</v>
      </c>
      <c r="G6037" s="2">
        <v>188</v>
      </c>
      <c r="H6037" s="2">
        <v>3156</v>
      </c>
      <c r="I6037" s="2">
        <v>-838</v>
      </c>
    </row>
    <row r="6038" spans="1:9" x14ac:dyDescent="0.3">
      <c r="A6038" t="s">
        <v>89</v>
      </c>
      <c r="B6038" s="1">
        <v>45444</v>
      </c>
      <c r="C6038" s="2">
        <v>19885</v>
      </c>
      <c r="D6038" s="2">
        <v>915</v>
      </c>
      <c r="E6038" s="2">
        <v>15891</v>
      </c>
      <c r="F6038" s="2">
        <v>422</v>
      </c>
      <c r="G6038" s="2">
        <v>549</v>
      </c>
      <c r="H6038" s="2">
        <v>3994</v>
      </c>
      <c r="I6038" s="2">
        <v>493</v>
      </c>
    </row>
    <row r="6039" spans="1:9" x14ac:dyDescent="0.3">
      <c r="A6039" t="s">
        <v>89</v>
      </c>
      <c r="B6039" s="1">
        <v>45413</v>
      </c>
      <c r="C6039" s="2">
        <v>18845</v>
      </c>
      <c r="D6039" s="2">
        <v>55</v>
      </c>
      <c r="E6039" s="2">
        <v>15344</v>
      </c>
      <c r="F6039" s="2">
        <v>-117</v>
      </c>
      <c r="G6039" s="2">
        <v>-282</v>
      </c>
      <c r="H6039" s="2">
        <v>3501</v>
      </c>
      <c r="I6039" s="2">
        <v>172</v>
      </c>
    </row>
    <row r="6040" spans="1:9" x14ac:dyDescent="0.3">
      <c r="A6040" t="s">
        <v>89</v>
      </c>
      <c r="B6040" s="1">
        <v>45383</v>
      </c>
      <c r="C6040" s="2">
        <v>18575</v>
      </c>
      <c r="D6040" s="2">
        <v>311</v>
      </c>
      <c r="E6040" s="2">
        <v>15246</v>
      </c>
      <c r="F6040" s="2">
        <v>127</v>
      </c>
      <c r="G6040" s="2">
        <v>-19</v>
      </c>
      <c r="H6040" s="2">
        <v>3329</v>
      </c>
      <c r="I6040" s="2">
        <v>184</v>
      </c>
    </row>
    <row r="6041" spans="1:9" x14ac:dyDescent="0.3">
      <c r="A6041" t="s">
        <v>89</v>
      </c>
      <c r="B6041" s="1">
        <v>45352</v>
      </c>
      <c r="C6041" s="2">
        <v>18442</v>
      </c>
      <c r="D6041" s="2">
        <v>-470</v>
      </c>
      <c r="E6041" s="2">
        <v>15297</v>
      </c>
      <c r="F6041" s="2">
        <v>-627</v>
      </c>
      <c r="G6041" s="2">
        <v>441</v>
      </c>
      <c r="H6041" s="2">
        <v>3145</v>
      </c>
      <c r="I6041" s="2">
        <v>157</v>
      </c>
    </row>
    <row r="6042" spans="1:9" x14ac:dyDescent="0.3">
      <c r="A6042" t="s">
        <v>89</v>
      </c>
      <c r="B6042" s="1">
        <v>45323</v>
      </c>
      <c r="C6042" s="2">
        <v>19012</v>
      </c>
      <c r="D6042" s="2">
        <v>328</v>
      </c>
      <c r="E6042" s="2">
        <v>16024</v>
      </c>
      <c r="F6042" s="2">
        <v>317</v>
      </c>
      <c r="G6042" s="2">
        <v>35</v>
      </c>
      <c r="H6042" s="2">
        <v>2988</v>
      </c>
      <c r="I6042" s="2">
        <v>11</v>
      </c>
    </row>
    <row r="6043" spans="1:9" x14ac:dyDescent="0.3">
      <c r="A6043" t="s">
        <v>89</v>
      </c>
      <c r="B6043" s="1">
        <v>45292</v>
      </c>
      <c r="C6043" s="2">
        <v>18916</v>
      </c>
      <c r="D6043" s="2">
        <v>336</v>
      </c>
      <c r="E6043" s="2">
        <v>15939</v>
      </c>
      <c r="F6043" s="2">
        <v>159</v>
      </c>
      <c r="G6043" s="2">
        <v>-728</v>
      </c>
      <c r="H6043" s="2">
        <v>2977</v>
      </c>
      <c r="I6043" s="2">
        <v>177</v>
      </c>
    </row>
    <row r="6044" spans="1:9" x14ac:dyDescent="0.3">
      <c r="A6044" t="s">
        <v>89</v>
      </c>
      <c r="B6044" s="1">
        <v>45261</v>
      </c>
      <c r="C6044" s="2">
        <v>18954</v>
      </c>
      <c r="D6044" s="2">
        <v>979</v>
      </c>
      <c r="E6044" s="2">
        <v>16154</v>
      </c>
      <c r="F6044" s="2">
        <v>292</v>
      </c>
      <c r="G6044" s="2">
        <v>360</v>
      </c>
      <c r="H6044" s="2">
        <v>2800</v>
      </c>
      <c r="I6044" s="2">
        <v>687</v>
      </c>
    </row>
    <row r="6045" spans="1:9" x14ac:dyDescent="0.3">
      <c r="A6045" t="s">
        <v>89</v>
      </c>
      <c r="B6045" s="1">
        <v>45231</v>
      </c>
      <c r="C6045" s="2">
        <v>17298</v>
      </c>
      <c r="D6045" s="2">
        <v>-221</v>
      </c>
      <c r="E6045" s="2">
        <v>15185</v>
      </c>
      <c r="F6045" s="2">
        <v>-2</v>
      </c>
      <c r="G6045" s="2">
        <v>332</v>
      </c>
      <c r="H6045" s="2">
        <v>2113</v>
      </c>
      <c r="I6045" s="2">
        <v>-219</v>
      </c>
    </row>
    <row r="6046" spans="1:9" x14ac:dyDescent="0.3">
      <c r="A6046" t="s">
        <v>89</v>
      </c>
      <c r="B6046" s="1">
        <v>45200</v>
      </c>
      <c r="C6046" s="2">
        <v>17300</v>
      </c>
      <c r="D6046" s="2">
        <v>-234</v>
      </c>
      <c r="E6046" s="2">
        <v>14968</v>
      </c>
      <c r="F6046" s="2">
        <v>-102</v>
      </c>
      <c r="G6046" s="2">
        <v>276</v>
      </c>
      <c r="H6046" s="2">
        <v>2332</v>
      </c>
      <c r="I6046" s="2">
        <v>-132</v>
      </c>
    </row>
    <row r="6047" spans="1:9" x14ac:dyDescent="0.3">
      <c r="A6047" t="s">
        <v>89</v>
      </c>
      <c r="B6047" s="1">
        <v>45170</v>
      </c>
      <c r="C6047" s="2">
        <v>17415</v>
      </c>
      <c r="D6047" s="2">
        <v>327</v>
      </c>
      <c r="E6047" s="2">
        <v>14951</v>
      </c>
      <c r="F6047" s="2">
        <v>332</v>
      </c>
      <c r="G6047" s="2">
        <v>-884</v>
      </c>
      <c r="H6047" s="2">
        <v>2464</v>
      </c>
      <c r="I6047" s="2">
        <v>-5</v>
      </c>
    </row>
    <row r="6048" spans="1:9" x14ac:dyDescent="0.3">
      <c r="A6048" t="s">
        <v>89</v>
      </c>
      <c r="B6048" s="1">
        <v>45139</v>
      </c>
      <c r="C6048" s="2">
        <v>17321</v>
      </c>
      <c r="D6048" s="2">
        <v>1110</v>
      </c>
      <c r="E6048" s="2">
        <v>14852</v>
      </c>
      <c r="F6048" s="2">
        <v>1455</v>
      </c>
      <c r="G6048" s="2">
        <v>105</v>
      </c>
      <c r="H6048" s="2">
        <v>2469</v>
      </c>
      <c r="I6048" s="2">
        <v>-345</v>
      </c>
    </row>
    <row r="6049" spans="1:9" x14ac:dyDescent="0.3">
      <c r="A6049" t="s">
        <v>89</v>
      </c>
      <c r="B6049" s="1">
        <v>45108</v>
      </c>
      <c r="C6049" s="2">
        <v>16252</v>
      </c>
      <c r="D6049" s="2">
        <v>-991</v>
      </c>
      <c r="E6049" s="2">
        <v>13438</v>
      </c>
      <c r="F6049" s="2">
        <v>29</v>
      </c>
      <c r="G6049" s="2">
        <v>715</v>
      </c>
      <c r="H6049" s="2">
        <v>2814</v>
      </c>
      <c r="I6049" s="2">
        <v>-1020</v>
      </c>
    </row>
    <row r="6050" spans="1:9" x14ac:dyDescent="0.3">
      <c r="A6050" t="s">
        <v>89</v>
      </c>
      <c r="B6050" s="1">
        <v>45078</v>
      </c>
      <c r="C6050" s="2">
        <v>17277</v>
      </c>
      <c r="D6050" s="2">
        <v>2688</v>
      </c>
      <c r="E6050" s="2">
        <v>13443</v>
      </c>
      <c r="F6050" s="2">
        <v>1187</v>
      </c>
      <c r="G6050" s="2">
        <v>335</v>
      </c>
      <c r="H6050" s="2">
        <v>3834</v>
      </c>
      <c r="I6050" s="2">
        <v>1501</v>
      </c>
    </row>
    <row r="6051" spans="1:9" x14ac:dyDescent="0.3">
      <c r="A6051" t="s">
        <v>89</v>
      </c>
      <c r="B6051" s="1">
        <v>45047</v>
      </c>
      <c r="C6051" s="2">
        <v>14764</v>
      </c>
      <c r="D6051" s="2">
        <v>-1072</v>
      </c>
      <c r="E6051" s="2">
        <v>12431</v>
      </c>
      <c r="F6051" s="2">
        <v>-1278</v>
      </c>
      <c r="G6051" s="2">
        <v>-878</v>
      </c>
      <c r="H6051" s="2">
        <v>2333</v>
      </c>
      <c r="I6051" s="2">
        <v>206</v>
      </c>
    </row>
    <row r="6052" spans="1:9" x14ac:dyDescent="0.3">
      <c r="A6052" t="s">
        <v>89</v>
      </c>
      <c r="B6052" s="1">
        <v>45017</v>
      </c>
      <c r="C6052" s="2">
        <v>15839</v>
      </c>
      <c r="D6052" s="2">
        <v>-654</v>
      </c>
      <c r="E6052" s="2">
        <v>13712</v>
      </c>
      <c r="F6052" s="2">
        <v>-651</v>
      </c>
      <c r="G6052" s="2">
        <v>-4</v>
      </c>
      <c r="H6052" s="2">
        <v>2127</v>
      </c>
      <c r="I6052" s="2">
        <v>-3</v>
      </c>
    </row>
    <row r="6053" spans="1:9" x14ac:dyDescent="0.3">
      <c r="A6053" t="s">
        <v>89</v>
      </c>
      <c r="B6053" s="1">
        <v>44986</v>
      </c>
      <c r="C6053" s="2">
        <v>16541</v>
      </c>
      <c r="D6053" s="2">
        <v>-267</v>
      </c>
      <c r="E6053" s="2">
        <v>14411</v>
      </c>
      <c r="F6053" s="2">
        <v>-145</v>
      </c>
      <c r="G6053" s="2">
        <v>202</v>
      </c>
      <c r="H6053" s="2">
        <v>2130</v>
      </c>
      <c r="I6053" s="2">
        <v>-122</v>
      </c>
    </row>
    <row r="6054" spans="1:9" x14ac:dyDescent="0.3">
      <c r="A6054" t="s">
        <v>89</v>
      </c>
      <c r="B6054" s="1">
        <v>44958</v>
      </c>
      <c r="C6054" s="2">
        <v>16642</v>
      </c>
      <c r="D6054" s="2">
        <v>1668</v>
      </c>
      <c r="E6054" s="2">
        <v>14390</v>
      </c>
      <c r="F6054" s="2">
        <v>1236</v>
      </c>
      <c r="G6054" s="2">
        <v>-194</v>
      </c>
      <c r="H6054" s="2">
        <v>2252</v>
      </c>
      <c r="I6054" s="2">
        <v>432</v>
      </c>
    </row>
    <row r="6055" spans="1:9" hidden="1" x14ac:dyDescent="0.3">
      <c r="A6055" t="s">
        <v>89</v>
      </c>
      <c r="B6055" s="1">
        <v>44927</v>
      </c>
      <c r="C6055" s="2">
        <v>15073</v>
      </c>
      <c r="D6055" s="2" t="s">
        <v>3</v>
      </c>
      <c r="E6055" s="2">
        <v>13253</v>
      </c>
      <c r="F6055" s="2" t="s">
        <v>3</v>
      </c>
      <c r="G6055" s="2" t="s">
        <v>3</v>
      </c>
      <c r="H6055" s="2">
        <v>1820</v>
      </c>
      <c r="I6055" s="2">
        <v>-716</v>
      </c>
    </row>
    <row r="6056" spans="1:9" hidden="1" x14ac:dyDescent="0.3">
      <c r="A6056" t="s">
        <v>89</v>
      </c>
      <c r="B6056" s="1">
        <v>44896</v>
      </c>
      <c r="C6056" s="2">
        <v>16279</v>
      </c>
      <c r="D6056" s="2" t="s">
        <v>3</v>
      </c>
      <c r="E6056" s="2">
        <v>13743</v>
      </c>
      <c r="F6056" s="2" t="s">
        <v>3</v>
      </c>
      <c r="G6056" s="2" t="s">
        <v>3</v>
      </c>
      <c r="H6056" s="2">
        <v>2536</v>
      </c>
      <c r="I6056" s="2">
        <v>878</v>
      </c>
    </row>
    <row r="6057" spans="1:9" hidden="1" x14ac:dyDescent="0.3">
      <c r="A6057" t="s">
        <v>89</v>
      </c>
      <c r="B6057" s="1">
        <v>44866</v>
      </c>
      <c r="C6057" s="2">
        <v>13866</v>
      </c>
      <c r="D6057" s="2" t="s">
        <v>3</v>
      </c>
      <c r="E6057" s="2">
        <v>12208</v>
      </c>
      <c r="F6057" s="2" t="s">
        <v>3</v>
      </c>
      <c r="G6057" s="2" t="s">
        <v>3</v>
      </c>
      <c r="H6057" s="2">
        <v>1658</v>
      </c>
      <c r="I6057" s="2">
        <v>166</v>
      </c>
    </row>
    <row r="6058" spans="1:9" hidden="1" x14ac:dyDescent="0.3">
      <c r="A6058" t="s">
        <v>89</v>
      </c>
      <c r="B6058" s="1">
        <v>44835</v>
      </c>
      <c r="C6058" s="2">
        <v>13709</v>
      </c>
      <c r="D6058" s="2" t="s">
        <v>3</v>
      </c>
      <c r="E6058" s="2">
        <v>12217</v>
      </c>
      <c r="F6058" s="2" t="s">
        <v>3</v>
      </c>
      <c r="G6058" s="2" t="s">
        <v>3</v>
      </c>
      <c r="H6058" s="2">
        <v>1492</v>
      </c>
      <c r="I6058" s="2">
        <v>-91</v>
      </c>
    </row>
    <row r="6059" spans="1:9" hidden="1" x14ac:dyDescent="0.3">
      <c r="A6059" t="s">
        <v>89</v>
      </c>
      <c r="B6059" s="1">
        <v>44805</v>
      </c>
      <c r="C6059" s="2">
        <v>13429</v>
      </c>
      <c r="D6059" s="2" t="s">
        <v>3</v>
      </c>
      <c r="E6059" s="2">
        <v>11846</v>
      </c>
      <c r="F6059" s="2" t="s">
        <v>3</v>
      </c>
      <c r="G6059" s="2" t="s">
        <v>3</v>
      </c>
      <c r="H6059" s="2">
        <v>1583</v>
      </c>
      <c r="I6059" s="2">
        <v>-41</v>
      </c>
    </row>
    <row r="6060" spans="1:9" hidden="1" x14ac:dyDescent="0.3">
      <c r="A6060" t="s">
        <v>89</v>
      </c>
      <c r="B6060" s="1">
        <v>44774</v>
      </c>
      <c r="C6060" s="2">
        <v>13180</v>
      </c>
      <c r="D6060" s="2" t="s">
        <v>3</v>
      </c>
      <c r="E6060" s="2">
        <v>11556</v>
      </c>
      <c r="F6060" s="2" t="s">
        <v>3</v>
      </c>
      <c r="G6060" s="2" t="s">
        <v>3</v>
      </c>
      <c r="H6060" s="2">
        <v>1624</v>
      </c>
      <c r="I6060" s="2">
        <v>98</v>
      </c>
    </row>
    <row r="6061" spans="1:9" hidden="1" x14ac:dyDescent="0.3">
      <c r="A6061" t="s">
        <v>89</v>
      </c>
      <c r="B6061" s="1">
        <v>44743</v>
      </c>
      <c r="C6061" s="2">
        <v>13395</v>
      </c>
      <c r="D6061" s="2" t="s">
        <v>3</v>
      </c>
      <c r="E6061" s="2">
        <v>11869</v>
      </c>
      <c r="F6061" s="2" t="s">
        <v>3</v>
      </c>
      <c r="G6061" s="2" t="s">
        <v>3</v>
      </c>
      <c r="H6061" s="2">
        <v>1526</v>
      </c>
      <c r="I6061" s="2">
        <v>-854</v>
      </c>
    </row>
    <row r="6062" spans="1:9" hidden="1" x14ac:dyDescent="0.3">
      <c r="A6062" t="s">
        <v>89</v>
      </c>
      <c r="B6062" s="1">
        <v>44713</v>
      </c>
      <c r="C6062" s="2">
        <v>15847</v>
      </c>
      <c r="D6062" s="2" t="s">
        <v>3</v>
      </c>
      <c r="E6062" s="2">
        <v>13467</v>
      </c>
      <c r="F6062" s="2" t="s">
        <v>3</v>
      </c>
      <c r="G6062" s="2" t="s">
        <v>3</v>
      </c>
      <c r="H6062" s="2">
        <v>2380</v>
      </c>
      <c r="I6062" s="2">
        <v>698</v>
      </c>
    </row>
    <row r="6063" spans="1:9" hidden="1" x14ac:dyDescent="0.3">
      <c r="A6063" t="s">
        <v>89</v>
      </c>
      <c r="B6063" s="1">
        <v>44682</v>
      </c>
      <c r="C6063" s="2">
        <v>14476</v>
      </c>
      <c r="D6063" s="2" t="s">
        <v>3</v>
      </c>
      <c r="E6063" s="2">
        <v>12794</v>
      </c>
      <c r="F6063" s="2" t="s">
        <v>3</v>
      </c>
      <c r="G6063" s="2" t="s">
        <v>3</v>
      </c>
      <c r="H6063" s="2">
        <v>1682</v>
      </c>
      <c r="I6063" s="2">
        <v>-90</v>
      </c>
    </row>
    <row r="6064" spans="1:9" hidden="1" x14ac:dyDescent="0.3">
      <c r="A6064" t="s">
        <v>89</v>
      </c>
      <c r="B6064" s="1">
        <v>44652</v>
      </c>
      <c r="C6064" s="2">
        <v>14725</v>
      </c>
      <c r="D6064" s="2" t="s">
        <v>3</v>
      </c>
      <c r="E6064" s="2">
        <v>12953</v>
      </c>
      <c r="F6064" s="2" t="s">
        <v>3</v>
      </c>
      <c r="G6064" s="2" t="s">
        <v>3</v>
      </c>
      <c r="H6064" s="2">
        <v>1772</v>
      </c>
      <c r="I6064" s="2">
        <v>-372</v>
      </c>
    </row>
    <row r="6065" spans="1:9" hidden="1" x14ac:dyDescent="0.3">
      <c r="A6065" t="s">
        <v>89</v>
      </c>
      <c r="B6065" s="1">
        <v>44621</v>
      </c>
      <c r="C6065" s="2">
        <v>13959</v>
      </c>
      <c r="D6065" s="2" t="s">
        <v>3</v>
      </c>
      <c r="E6065" s="2">
        <v>11815</v>
      </c>
      <c r="F6065" s="2" t="s">
        <v>3</v>
      </c>
      <c r="G6065" s="2" t="s">
        <v>3</v>
      </c>
      <c r="H6065" s="2">
        <v>2144</v>
      </c>
      <c r="I6065" s="2">
        <v>2</v>
      </c>
    </row>
    <row r="6066" spans="1:9" hidden="1" x14ac:dyDescent="0.3">
      <c r="A6066" t="s">
        <v>89</v>
      </c>
      <c r="B6066" s="1">
        <v>44593</v>
      </c>
      <c r="C6066" s="2">
        <v>13397</v>
      </c>
      <c r="D6066" s="2" t="s">
        <v>3</v>
      </c>
      <c r="E6066" s="2">
        <v>11255</v>
      </c>
      <c r="F6066" s="2" t="s">
        <v>3</v>
      </c>
      <c r="G6066" s="2" t="s">
        <v>3</v>
      </c>
      <c r="H6066" s="2">
        <v>2142</v>
      </c>
      <c r="I6066" s="2">
        <v>-124</v>
      </c>
    </row>
    <row r="6067" spans="1:9" hidden="1" x14ac:dyDescent="0.3">
      <c r="A6067" t="s">
        <v>89</v>
      </c>
      <c r="B6067" s="1">
        <v>44562</v>
      </c>
      <c r="C6067" s="2">
        <v>15851</v>
      </c>
      <c r="D6067" s="2" t="s">
        <v>3</v>
      </c>
      <c r="E6067" s="2">
        <v>13585</v>
      </c>
      <c r="F6067" s="2" t="s">
        <v>3</v>
      </c>
      <c r="G6067" s="2" t="s">
        <v>3</v>
      </c>
      <c r="H6067" s="2">
        <v>2266</v>
      </c>
      <c r="I6067" s="2">
        <v>84</v>
      </c>
    </row>
    <row r="6068" spans="1:9" hidden="1" x14ac:dyDescent="0.3">
      <c r="A6068" t="s">
        <v>89</v>
      </c>
      <c r="B6068" s="1">
        <v>44531</v>
      </c>
      <c r="C6068" s="2">
        <v>16745</v>
      </c>
      <c r="D6068" s="2" t="s">
        <v>3</v>
      </c>
      <c r="E6068" s="2">
        <v>14563</v>
      </c>
      <c r="F6068" s="2" t="s">
        <v>3</v>
      </c>
      <c r="G6068" s="2" t="s">
        <v>3</v>
      </c>
      <c r="H6068" s="2">
        <v>2182</v>
      </c>
      <c r="I6068" s="2">
        <v>-1301</v>
      </c>
    </row>
    <row r="6069" spans="1:9" hidden="1" x14ac:dyDescent="0.3">
      <c r="A6069" t="s">
        <v>89</v>
      </c>
      <c r="B6069" s="1">
        <v>44501</v>
      </c>
      <c r="C6069" s="2">
        <v>17417</v>
      </c>
      <c r="D6069" s="2" t="s">
        <v>3</v>
      </c>
      <c r="E6069" s="2">
        <v>13934</v>
      </c>
      <c r="F6069" s="2" t="s">
        <v>3</v>
      </c>
      <c r="G6069" s="2" t="s">
        <v>3</v>
      </c>
      <c r="H6069" s="2">
        <v>3483</v>
      </c>
      <c r="I6069" s="2">
        <v>259</v>
      </c>
    </row>
    <row r="6070" spans="1:9" hidden="1" x14ac:dyDescent="0.3">
      <c r="A6070" t="s">
        <v>89</v>
      </c>
      <c r="B6070" s="1">
        <v>44470</v>
      </c>
      <c r="C6070" s="2">
        <v>19284</v>
      </c>
      <c r="D6070" s="2" t="s">
        <v>3</v>
      </c>
      <c r="E6070" s="2">
        <v>16060</v>
      </c>
      <c r="F6070" s="2" t="s">
        <v>3</v>
      </c>
      <c r="G6070" s="2" t="s">
        <v>3</v>
      </c>
      <c r="H6070" s="2">
        <v>3224</v>
      </c>
      <c r="I6070" s="2">
        <v>818</v>
      </c>
    </row>
    <row r="6071" spans="1:9" hidden="1" x14ac:dyDescent="0.3">
      <c r="A6071" t="s">
        <v>89</v>
      </c>
      <c r="B6071" s="1">
        <v>44440</v>
      </c>
      <c r="C6071" s="2">
        <v>15947</v>
      </c>
      <c r="D6071" s="2" t="s">
        <v>3</v>
      </c>
      <c r="E6071" s="2">
        <v>13541</v>
      </c>
      <c r="F6071" s="2" t="s">
        <v>3</v>
      </c>
      <c r="G6071" s="2" t="s">
        <v>3</v>
      </c>
      <c r="H6071" s="2">
        <v>2406</v>
      </c>
      <c r="I6071" s="2">
        <v>-519</v>
      </c>
    </row>
    <row r="6072" spans="1:9" hidden="1" x14ac:dyDescent="0.3">
      <c r="A6072" t="s">
        <v>89</v>
      </c>
      <c r="B6072" s="1">
        <v>44409</v>
      </c>
      <c r="C6072" s="2">
        <v>15472</v>
      </c>
      <c r="D6072" s="2" t="s">
        <v>3</v>
      </c>
      <c r="E6072" s="2">
        <v>12547</v>
      </c>
      <c r="F6072" s="2" t="s">
        <v>3</v>
      </c>
      <c r="G6072" s="2" t="s">
        <v>3</v>
      </c>
      <c r="H6072" s="2">
        <v>2925</v>
      </c>
      <c r="I6072" s="2">
        <v>-37</v>
      </c>
    </row>
    <row r="6073" spans="1:9" hidden="1" x14ac:dyDescent="0.3">
      <c r="A6073" t="s">
        <v>89</v>
      </c>
      <c r="B6073" s="1">
        <v>44378</v>
      </c>
      <c r="C6073" s="2">
        <v>15453</v>
      </c>
      <c r="D6073" s="2" t="s">
        <v>3</v>
      </c>
      <c r="E6073" s="2">
        <v>12491</v>
      </c>
      <c r="F6073" s="2" t="s">
        <v>3</v>
      </c>
      <c r="G6073" s="2" t="s">
        <v>3</v>
      </c>
      <c r="H6073" s="2">
        <v>2962</v>
      </c>
      <c r="I6073" s="2">
        <v>-363</v>
      </c>
    </row>
    <row r="6074" spans="1:9" hidden="1" x14ac:dyDescent="0.3">
      <c r="A6074" t="s">
        <v>89</v>
      </c>
      <c r="B6074" s="1">
        <v>44348</v>
      </c>
      <c r="C6074" s="2">
        <v>16245</v>
      </c>
      <c r="D6074" s="2" t="s">
        <v>3</v>
      </c>
      <c r="E6074" s="2">
        <v>12920</v>
      </c>
      <c r="F6074" s="2" t="s">
        <v>3</v>
      </c>
      <c r="G6074" s="2" t="s">
        <v>3</v>
      </c>
      <c r="H6074" s="2">
        <v>3325</v>
      </c>
      <c r="I6074" s="2">
        <v>416</v>
      </c>
    </row>
    <row r="6075" spans="1:9" hidden="1" x14ac:dyDescent="0.3">
      <c r="A6075" t="s">
        <v>89</v>
      </c>
      <c r="B6075" s="1">
        <v>44317</v>
      </c>
      <c r="C6075" s="2">
        <v>15680</v>
      </c>
      <c r="D6075" s="2" t="s">
        <v>3</v>
      </c>
      <c r="E6075" s="2">
        <v>12771</v>
      </c>
      <c r="F6075" s="2" t="s">
        <v>3</v>
      </c>
      <c r="G6075" s="2" t="s">
        <v>3</v>
      </c>
      <c r="H6075" s="2">
        <v>2909</v>
      </c>
      <c r="I6075" s="2">
        <v>978</v>
      </c>
    </row>
    <row r="6076" spans="1:9" hidden="1" x14ac:dyDescent="0.3">
      <c r="A6076" t="s">
        <v>89</v>
      </c>
      <c r="B6076" s="1">
        <v>44287</v>
      </c>
      <c r="C6076" s="2">
        <v>13572</v>
      </c>
      <c r="D6076" s="2" t="s">
        <v>3</v>
      </c>
      <c r="E6076" s="2">
        <v>11641</v>
      </c>
      <c r="F6076" s="2" t="s">
        <v>3</v>
      </c>
      <c r="G6076" s="2" t="s">
        <v>3</v>
      </c>
      <c r="H6076" s="2">
        <v>1931</v>
      </c>
      <c r="I6076" s="2">
        <v>-549</v>
      </c>
    </row>
    <row r="6077" spans="1:9" hidden="1" x14ac:dyDescent="0.3">
      <c r="A6077" t="s">
        <v>89</v>
      </c>
      <c r="B6077" s="1">
        <v>44256</v>
      </c>
      <c r="C6077" s="2">
        <v>15769</v>
      </c>
      <c r="D6077" s="2" t="s">
        <v>3</v>
      </c>
      <c r="E6077" s="2">
        <v>13289</v>
      </c>
      <c r="F6077" s="2" t="s">
        <v>3</v>
      </c>
      <c r="G6077" s="2" t="s">
        <v>3</v>
      </c>
      <c r="H6077" s="2">
        <v>2480</v>
      </c>
      <c r="I6077" s="2">
        <v>-146</v>
      </c>
    </row>
    <row r="6078" spans="1:9" hidden="1" x14ac:dyDescent="0.3">
      <c r="A6078" t="s">
        <v>89</v>
      </c>
      <c r="B6078" s="1">
        <v>44228</v>
      </c>
      <c r="C6078" s="2">
        <v>17913</v>
      </c>
      <c r="D6078" s="2" t="s">
        <v>3</v>
      </c>
      <c r="E6078" s="2">
        <v>15287</v>
      </c>
      <c r="F6078" s="2" t="s">
        <v>3</v>
      </c>
      <c r="G6078" s="2" t="s">
        <v>3</v>
      </c>
      <c r="H6078" s="2">
        <v>2626</v>
      </c>
      <c r="I6078" s="2">
        <v>272</v>
      </c>
    </row>
    <row r="6079" spans="1:9" hidden="1" x14ac:dyDescent="0.3">
      <c r="A6079" t="s">
        <v>89</v>
      </c>
      <c r="B6079" s="1">
        <v>44197</v>
      </c>
      <c r="C6079" s="2">
        <v>17617</v>
      </c>
      <c r="D6079" s="2" t="s">
        <v>3</v>
      </c>
      <c r="E6079" s="2">
        <v>15263</v>
      </c>
      <c r="F6079" s="2" t="s">
        <v>3</v>
      </c>
      <c r="G6079" s="2" t="s">
        <v>3</v>
      </c>
      <c r="H6079" s="2">
        <v>2354</v>
      </c>
      <c r="I6079" s="2">
        <v>165</v>
      </c>
    </row>
    <row r="6080" spans="1:9" hidden="1" x14ac:dyDescent="0.3">
      <c r="A6080" t="s">
        <v>89</v>
      </c>
      <c r="B6080" s="1">
        <v>44166</v>
      </c>
      <c r="C6080" s="2">
        <v>17567</v>
      </c>
      <c r="D6080" s="2" t="s">
        <v>3</v>
      </c>
      <c r="E6080" s="2">
        <v>15378</v>
      </c>
      <c r="F6080" s="2" t="s">
        <v>3</v>
      </c>
      <c r="G6080" s="2" t="s">
        <v>3</v>
      </c>
      <c r="H6080" s="2">
        <v>2189</v>
      </c>
      <c r="I6080" s="2">
        <v>-264</v>
      </c>
    </row>
    <row r="6081" spans="1:9" hidden="1" x14ac:dyDescent="0.3">
      <c r="A6081" t="s">
        <v>89</v>
      </c>
      <c r="B6081" s="1">
        <v>44136</v>
      </c>
      <c r="C6081" s="2">
        <v>18310</v>
      </c>
      <c r="D6081" s="2" t="s">
        <v>3</v>
      </c>
      <c r="E6081" s="2">
        <v>15857</v>
      </c>
      <c r="F6081" s="2" t="s">
        <v>3</v>
      </c>
      <c r="G6081" s="2" t="s">
        <v>3</v>
      </c>
      <c r="H6081" s="2">
        <v>2453</v>
      </c>
      <c r="I6081" s="2">
        <v>-1353</v>
      </c>
    </row>
    <row r="6082" spans="1:9" hidden="1" x14ac:dyDescent="0.3">
      <c r="A6082" t="s">
        <v>89</v>
      </c>
      <c r="B6082" s="1">
        <v>44105</v>
      </c>
      <c r="C6082" s="2">
        <v>19546</v>
      </c>
      <c r="D6082" s="2" t="s">
        <v>3</v>
      </c>
      <c r="E6082" s="2">
        <v>15740</v>
      </c>
      <c r="F6082" s="2" t="s">
        <v>3</v>
      </c>
      <c r="G6082" s="2" t="s">
        <v>3</v>
      </c>
      <c r="H6082" s="2">
        <v>3806</v>
      </c>
      <c r="I6082" s="2">
        <v>-859</v>
      </c>
    </row>
    <row r="6083" spans="1:9" hidden="1" x14ac:dyDescent="0.3">
      <c r="A6083" t="s">
        <v>89</v>
      </c>
      <c r="B6083" s="1">
        <v>44075</v>
      </c>
      <c r="C6083" s="2">
        <v>20370</v>
      </c>
      <c r="D6083" s="2" t="s">
        <v>3</v>
      </c>
      <c r="E6083" s="2">
        <v>15705</v>
      </c>
      <c r="F6083" s="2" t="s">
        <v>3</v>
      </c>
      <c r="G6083" s="2" t="s">
        <v>3</v>
      </c>
      <c r="H6083" s="2">
        <v>4665</v>
      </c>
      <c r="I6083" s="2">
        <v>867</v>
      </c>
    </row>
    <row r="6084" spans="1:9" hidden="1" x14ac:dyDescent="0.3">
      <c r="A6084" t="s">
        <v>89</v>
      </c>
      <c r="B6084" s="1">
        <v>44044</v>
      </c>
      <c r="C6084" s="2">
        <v>19113</v>
      </c>
      <c r="D6084" s="2" t="s">
        <v>3</v>
      </c>
      <c r="E6084" s="2">
        <v>15315</v>
      </c>
      <c r="F6084" s="2" t="s">
        <v>3</v>
      </c>
      <c r="G6084" s="2" t="s">
        <v>3</v>
      </c>
      <c r="H6084" s="2">
        <v>3798</v>
      </c>
      <c r="I6084" s="2">
        <v>-60</v>
      </c>
    </row>
    <row r="6085" spans="1:9" hidden="1" x14ac:dyDescent="0.3">
      <c r="A6085" t="s">
        <v>89</v>
      </c>
      <c r="B6085" s="1">
        <v>44013</v>
      </c>
      <c r="C6085" s="2">
        <v>19973</v>
      </c>
      <c r="D6085" s="2" t="s">
        <v>3</v>
      </c>
      <c r="E6085" s="2">
        <v>16115</v>
      </c>
      <c r="F6085" s="2" t="s">
        <v>3</v>
      </c>
      <c r="G6085" s="2" t="s">
        <v>3</v>
      </c>
      <c r="H6085" s="2">
        <v>3858</v>
      </c>
      <c r="I6085" s="2">
        <v>-256</v>
      </c>
    </row>
    <row r="6086" spans="1:9" hidden="1" x14ac:dyDescent="0.3">
      <c r="A6086" t="s">
        <v>89</v>
      </c>
      <c r="B6086" s="1">
        <v>43983</v>
      </c>
      <c r="C6086" s="2">
        <v>19990</v>
      </c>
      <c r="D6086" s="2" t="s">
        <v>3</v>
      </c>
      <c r="E6086" s="2">
        <v>15876</v>
      </c>
      <c r="F6086" s="2" t="s">
        <v>3</v>
      </c>
      <c r="G6086" s="2" t="s">
        <v>3</v>
      </c>
      <c r="H6086" s="2">
        <v>4114</v>
      </c>
      <c r="I6086" s="2">
        <v>831</v>
      </c>
    </row>
    <row r="6087" spans="1:9" hidden="1" x14ac:dyDescent="0.3">
      <c r="A6087" t="s">
        <v>89</v>
      </c>
      <c r="B6087" s="1">
        <v>43952</v>
      </c>
      <c r="C6087" s="2">
        <v>19661</v>
      </c>
      <c r="D6087" s="2" t="s">
        <v>3</v>
      </c>
      <c r="E6087" s="2">
        <v>16378</v>
      </c>
      <c r="F6087" s="2" t="s">
        <v>3</v>
      </c>
      <c r="G6087" s="2" t="s">
        <v>3</v>
      </c>
      <c r="H6087" s="2">
        <v>3283</v>
      </c>
      <c r="I6087" s="2">
        <v>-186</v>
      </c>
    </row>
    <row r="6088" spans="1:9" hidden="1" x14ac:dyDescent="0.3">
      <c r="A6088" t="s">
        <v>89</v>
      </c>
      <c r="B6088" s="1">
        <v>43922</v>
      </c>
      <c r="C6088" s="2">
        <v>19681</v>
      </c>
      <c r="D6088" s="2" t="s">
        <v>3</v>
      </c>
      <c r="E6088" s="2">
        <v>16212</v>
      </c>
      <c r="F6088" s="2" t="s">
        <v>3</v>
      </c>
      <c r="G6088" s="2" t="s">
        <v>3</v>
      </c>
      <c r="H6088" s="2">
        <v>3469</v>
      </c>
      <c r="I6088" s="2">
        <v>1934</v>
      </c>
    </row>
    <row r="6089" spans="1:9" hidden="1" x14ac:dyDescent="0.3">
      <c r="A6089" t="s">
        <v>89</v>
      </c>
      <c r="B6089" s="1">
        <v>43891</v>
      </c>
      <c r="C6089" s="2">
        <v>17266</v>
      </c>
      <c r="D6089" s="2" t="s">
        <v>3</v>
      </c>
      <c r="E6089" s="2">
        <v>15731</v>
      </c>
      <c r="F6089" s="2" t="s">
        <v>3</v>
      </c>
      <c r="G6089" s="2" t="s">
        <v>3</v>
      </c>
      <c r="H6089" s="2">
        <v>1535</v>
      </c>
      <c r="I6089" s="2">
        <v>-81</v>
      </c>
    </row>
    <row r="6090" spans="1:9" hidden="1" x14ac:dyDescent="0.3">
      <c r="A6090" t="s">
        <v>89</v>
      </c>
      <c r="B6090" s="1">
        <v>43862</v>
      </c>
      <c r="C6090" s="2">
        <v>18738</v>
      </c>
      <c r="D6090" s="2" t="s">
        <v>3</v>
      </c>
      <c r="E6090" s="2">
        <v>17122</v>
      </c>
      <c r="F6090" s="2" t="s">
        <v>3</v>
      </c>
      <c r="G6090" s="2" t="s">
        <v>3</v>
      </c>
      <c r="H6090" s="2">
        <v>1616</v>
      </c>
      <c r="I6090" s="2">
        <v>756</v>
      </c>
    </row>
    <row r="6091" spans="1:9" hidden="1" x14ac:dyDescent="0.3">
      <c r="A6091" t="s">
        <v>89</v>
      </c>
      <c r="B6091" s="1">
        <v>43831</v>
      </c>
      <c r="C6091" s="2">
        <v>18182</v>
      </c>
      <c r="D6091" s="2" t="s">
        <v>3</v>
      </c>
      <c r="E6091" s="2">
        <v>17322</v>
      </c>
      <c r="F6091" s="2" t="s">
        <v>3</v>
      </c>
      <c r="G6091" s="2" t="s">
        <v>3</v>
      </c>
      <c r="H6091" s="2">
        <v>860</v>
      </c>
      <c r="I6091" s="2">
        <v>42</v>
      </c>
    </row>
    <row r="6092" spans="1:9" x14ac:dyDescent="0.3">
      <c r="A6092" t="s">
        <v>90</v>
      </c>
      <c r="B6092" s="1">
        <v>45931</v>
      </c>
      <c r="C6092" s="2">
        <v>92089</v>
      </c>
      <c r="D6092" s="2">
        <v>-1831</v>
      </c>
      <c r="E6092" s="2">
        <v>67618</v>
      </c>
      <c r="F6092" s="2">
        <v>91</v>
      </c>
      <c r="G6092" s="2">
        <v>-1341</v>
      </c>
      <c r="H6092" s="2">
        <v>24471</v>
      </c>
      <c r="I6092" s="2">
        <v>-1922</v>
      </c>
    </row>
    <row r="6093" spans="1:9" x14ac:dyDescent="0.3">
      <c r="A6093" t="s">
        <v>90</v>
      </c>
      <c r="B6093" s="1">
        <v>45901</v>
      </c>
      <c r="C6093" s="2">
        <v>94514</v>
      </c>
      <c r="D6093" s="2">
        <v>2234</v>
      </c>
      <c r="E6093" s="2">
        <v>68121</v>
      </c>
      <c r="F6093" s="2">
        <v>707</v>
      </c>
      <c r="G6093" s="2">
        <v>1336</v>
      </c>
      <c r="H6093" s="2">
        <v>26393</v>
      </c>
      <c r="I6093" s="2">
        <v>1527</v>
      </c>
    </row>
    <row r="6094" spans="1:9" x14ac:dyDescent="0.3">
      <c r="A6094" t="s">
        <v>90</v>
      </c>
      <c r="B6094" s="1">
        <v>45870</v>
      </c>
      <c r="C6094" s="2">
        <v>89612</v>
      </c>
      <c r="D6094" s="2">
        <v>1889</v>
      </c>
      <c r="E6094" s="2">
        <v>64746</v>
      </c>
      <c r="F6094" s="2">
        <v>1259</v>
      </c>
      <c r="G6094" s="2">
        <v>-2819</v>
      </c>
      <c r="H6094" s="2">
        <v>24866</v>
      </c>
      <c r="I6094" s="2">
        <v>630</v>
      </c>
    </row>
    <row r="6095" spans="1:9" x14ac:dyDescent="0.3">
      <c r="A6095" t="s">
        <v>90</v>
      </c>
      <c r="B6095" s="1">
        <v>45839</v>
      </c>
      <c r="C6095" s="2">
        <v>90154</v>
      </c>
      <c r="D6095" s="2">
        <v>-4509</v>
      </c>
      <c r="E6095" s="2">
        <v>65918</v>
      </c>
      <c r="F6095" s="2">
        <v>416</v>
      </c>
      <c r="G6095" s="2">
        <v>-257</v>
      </c>
      <c r="H6095" s="2">
        <v>24236</v>
      </c>
      <c r="I6095" s="2">
        <v>-4925</v>
      </c>
    </row>
    <row r="6096" spans="1:9" x14ac:dyDescent="0.3">
      <c r="A6096" t="s">
        <v>90</v>
      </c>
      <c r="B6096" s="1">
        <v>45809</v>
      </c>
      <c r="C6096" s="2">
        <v>92312</v>
      </c>
      <c r="D6096" s="2">
        <v>6713</v>
      </c>
      <c r="E6096" s="2">
        <v>63151</v>
      </c>
      <c r="F6096" s="2">
        <v>3088</v>
      </c>
      <c r="G6096" s="2">
        <v>-1655</v>
      </c>
      <c r="H6096" s="2">
        <v>29161</v>
      </c>
      <c r="I6096" s="2">
        <v>3625</v>
      </c>
    </row>
    <row r="6097" spans="1:9" x14ac:dyDescent="0.3">
      <c r="A6097" t="s">
        <v>90</v>
      </c>
      <c r="B6097" s="1">
        <v>45778</v>
      </c>
      <c r="C6097" s="2">
        <v>88063</v>
      </c>
      <c r="D6097" s="2">
        <v>1257</v>
      </c>
      <c r="E6097" s="2">
        <v>62527</v>
      </c>
      <c r="F6097" s="2">
        <v>4643</v>
      </c>
      <c r="G6097" s="2">
        <v>-738</v>
      </c>
      <c r="H6097" s="2">
        <v>25536</v>
      </c>
      <c r="I6097" s="2">
        <v>-3386</v>
      </c>
    </row>
    <row r="6098" spans="1:9" x14ac:dyDescent="0.3">
      <c r="A6098" t="s">
        <v>90</v>
      </c>
      <c r="B6098" s="1">
        <v>45748</v>
      </c>
      <c r="C6098" s="2">
        <v>89509</v>
      </c>
      <c r="D6098" s="2">
        <v>2962</v>
      </c>
      <c r="E6098" s="2">
        <v>60587</v>
      </c>
      <c r="F6098" s="2">
        <v>376</v>
      </c>
      <c r="G6098" s="2">
        <v>482</v>
      </c>
      <c r="H6098" s="2">
        <v>28922</v>
      </c>
      <c r="I6098" s="2">
        <v>2586</v>
      </c>
    </row>
    <row r="6099" spans="1:9" x14ac:dyDescent="0.3">
      <c r="A6099" t="s">
        <v>90</v>
      </c>
      <c r="B6099" s="1">
        <v>45717</v>
      </c>
      <c r="C6099" s="2">
        <v>85668</v>
      </c>
      <c r="D6099" s="2">
        <v>1248</v>
      </c>
      <c r="E6099" s="2">
        <v>59332</v>
      </c>
      <c r="F6099" s="2">
        <v>1950</v>
      </c>
      <c r="G6099" s="2">
        <v>136</v>
      </c>
      <c r="H6099" s="2">
        <v>26336</v>
      </c>
      <c r="I6099" s="2">
        <v>-702</v>
      </c>
    </row>
    <row r="6100" spans="1:9" x14ac:dyDescent="0.3">
      <c r="A6100" t="s">
        <v>90</v>
      </c>
      <c r="B6100" s="1">
        <v>45689</v>
      </c>
      <c r="C6100" s="2">
        <v>84255</v>
      </c>
      <c r="D6100" s="2">
        <v>-3934</v>
      </c>
      <c r="E6100" s="2">
        <v>57217</v>
      </c>
      <c r="F6100" s="2">
        <v>683</v>
      </c>
      <c r="G6100" s="2">
        <v>-1262</v>
      </c>
      <c r="H6100" s="2">
        <v>27038</v>
      </c>
      <c r="I6100" s="2">
        <v>-4617</v>
      </c>
    </row>
    <row r="6101" spans="1:9" x14ac:dyDescent="0.3">
      <c r="A6101" t="s">
        <v>90</v>
      </c>
      <c r="B6101" s="1">
        <v>45658</v>
      </c>
      <c r="C6101" s="2">
        <v>91123</v>
      </c>
      <c r="D6101" s="2">
        <v>-10388</v>
      </c>
      <c r="E6101" s="2">
        <v>59468</v>
      </c>
      <c r="F6101" s="2">
        <v>-914</v>
      </c>
      <c r="G6101" s="2">
        <v>-6876</v>
      </c>
      <c r="H6101" s="2">
        <v>31655</v>
      </c>
      <c r="I6101" s="2">
        <v>-9474</v>
      </c>
    </row>
    <row r="6102" spans="1:9" x14ac:dyDescent="0.3">
      <c r="A6102" t="s">
        <v>90</v>
      </c>
      <c r="B6102" s="1">
        <v>45627</v>
      </c>
      <c r="C6102" s="2">
        <v>112883</v>
      </c>
      <c r="D6102" s="2">
        <v>19944</v>
      </c>
      <c r="E6102" s="2">
        <v>71754</v>
      </c>
      <c r="F6102" s="2">
        <v>5641</v>
      </c>
      <c r="G6102" s="2">
        <v>-3854</v>
      </c>
      <c r="H6102" s="2">
        <v>41129</v>
      </c>
      <c r="I6102" s="2">
        <v>14303</v>
      </c>
    </row>
    <row r="6103" spans="1:9" x14ac:dyDescent="0.3">
      <c r="A6103" t="s">
        <v>90</v>
      </c>
      <c r="B6103" s="1">
        <v>45597</v>
      </c>
      <c r="C6103" s="2">
        <v>107793</v>
      </c>
      <c r="D6103" s="2">
        <v>-1288</v>
      </c>
      <c r="E6103" s="2">
        <v>80967</v>
      </c>
      <c r="F6103" s="2">
        <v>-570</v>
      </c>
      <c r="G6103" s="2">
        <v>-662</v>
      </c>
      <c r="H6103" s="2">
        <v>26826</v>
      </c>
      <c r="I6103" s="2">
        <v>-718</v>
      </c>
    </row>
    <row r="6104" spans="1:9" x14ac:dyDescent="0.3">
      <c r="A6104" t="s">
        <v>90</v>
      </c>
      <c r="B6104" s="1">
        <v>45566</v>
      </c>
      <c r="C6104" s="2">
        <v>110746</v>
      </c>
      <c r="D6104" s="2">
        <v>6571</v>
      </c>
      <c r="E6104" s="2">
        <v>83202</v>
      </c>
      <c r="F6104" s="2">
        <v>4700</v>
      </c>
      <c r="G6104" s="2">
        <v>-888</v>
      </c>
      <c r="H6104" s="2">
        <v>27544</v>
      </c>
      <c r="I6104" s="2">
        <v>1871</v>
      </c>
    </row>
    <row r="6105" spans="1:9" x14ac:dyDescent="0.3">
      <c r="A6105" t="s">
        <v>90</v>
      </c>
      <c r="B6105" s="1">
        <v>45536</v>
      </c>
      <c r="C6105" s="2">
        <v>99810</v>
      </c>
      <c r="D6105" s="2">
        <v>-1442</v>
      </c>
      <c r="E6105" s="2">
        <v>74137</v>
      </c>
      <c r="F6105" s="2">
        <v>-775</v>
      </c>
      <c r="G6105" s="2">
        <v>-147</v>
      </c>
      <c r="H6105" s="2">
        <v>25673</v>
      </c>
      <c r="I6105" s="2">
        <v>-667</v>
      </c>
    </row>
    <row r="6106" spans="1:9" x14ac:dyDescent="0.3">
      <c r="A6106" t="s">
        <v>90</v>
      </c>
      <c r="B6106" s="1">
        <v>45505</v>
      </c>
      <c r="C6106" s="2">
        <v>102385</v>
      </c>
      <c r="D6106" s="2">
        <v>-115</v>
      </c>
      <c r="E6106" s="2">
        <v>76045</v>
      </c>
      <c r="F6106" s="2">
        <v>-3277</v>
      </c>
      <c r="G6106" s="2">
        <v>992</v>
      </c>
      <c r="H6106" s="2">
        <v>26340</v>
      </c>
      <c r="I6106" s="2">
        <v>3162</v>
      </c>
    </row>
    <row r="6107" spans="1:9" x14ac:dyDescent="0.3">
      <c r="A6107" t="s">
        <v>90</v>
      </c>
      <c r="B6107" s="1">
        <v>45474</v>
      </c>
      <c r="C6107" s="2">
        <v>102271</v>
      </c>
      <c r="D6107" s="2">
        <v>6742</v>
      </c>
      <c r="E6107" s="2">
        <v>79093</v>
      </c>
      <c r="F6107" s="2">
        <v>5711</v>
      </c>
      <c r="G6107" s="2">
        <v>837</v>
      </c>
      <c r="H6107" s="2">
        <v>23178</v>
      </c>
      <c r="I6107" s="2">
        <v>1031</v>
      </c>
    </row>
    <row r="6108" spans="1:9" x14ac:dyDescent="0.3">
      <c r="A6108" t="s">
        <v>90</v>
      </c>
      <c r="B6108" s="1">
        <v>45444</v>
      </c>
      <c r="C6108" s="2">
        <v>97230</v>
      </c>
      <c r="D6108" s="2">
        <v>-6482</v>
      </c>
      <c r="E6108" s="2">
        <v>75083</v>
      </c>
      <c r="F6108" s="2">
        <v>-7195</v>
      </c>
      <c r="G6108" s="2">
        <v>-73</v>
      </c>
      <c r="H6108" s="2">
        <v>22147</v>
      </c>
      <c r="I6108" s="2">
        <v>713</v>
      </c>
    </row>
    <row r="6109" spans="1:9" x14ac:dyDescent="0.3">
      <c r="A6109" t="s">
        <v>90</v>
      </c>
      <c r="B6109" s="1">
        <v>45413</v>
      </c>
      <c r="C6109" s="2">
        <v>103648</v>
      </c>
      <c r="D6109" s="2">
        <v>9244</v>
      </c>
      <c r="E6109" s="2">
        <v>82214</v>
      </c>
      <c r="F6109" s="2">
        <v>9078</v>
      </c>
      <c r="G6109" s="2">
        <v>66</v>
      </c>
      <c r="H6109" s="2">
        <v>21434</v>
      </c>
      <c r="I6109" s="2">
        <v>166</v>
      </c>
    </row>
    <row r="6110" spans="1:9" x14ac:dyDescent="0.3">
      <c r="A6110" t="s">
        <v>90</v>
      </c>
      <c r="B6110" s="1">
        <v>45383</v>
      </c>
      <c r="C6110" s="2">
        <v>95534</v>
      </c>
      <c r="D6110" s="2">
        <v>2710</v>
      </c>
      <c r="E6110" s="2">
        <v>74266</v>
      </c>
      <c r="F6110" s="2">
        <v>2957</v>
      </c>
      <c r="G6110" s="2">
        <v>-709</v>
      </c>
      <c r="H6110" s="2">
        <v>21268</v>
      </c>
      <c r="I6110" s="2">
        <v>-247</v>
      </c>
    </row>
    <row r="6111" spans="1:9" x14ac:dyDescent="0.3">
      <c r="A6111" t="s">
        <v>90</v>
      </c>
      <c r="B6111" s="1">
        <v>45352</v>
      </c>
      <c r="C6111" s="2">
        <v>92500</v>
      </c>
      <c r="D6111" s="2">
        <v>2116</v>
      </c>
      <c r="E6111" s="2">
        <v>70985</v>
      </c>
      <c r="F6111" s="2">
        <v>3115</v>
      </c>
      <c r="G6111" s="2">
        <v>369</v>
      </c>
      <c r="H6111" s="2">
        <v>21515</v>
      </c>
      <c r="I6111" s="2">
        <v>-999</v>
      </c>
    </row>
    <row r="6112" spans="1:9" x14ac:dyDescent="0.3">
      <c r="A6112" t="s">
        <v>90</v>
      </c>
      <c r="B6112" s="1">
        <v>45323</v>
      </c>
      <c r="C6112" s="2">
        <v>89983</v>
      </c>
      <c r="D6112" s="2">
        <v>8768</v>
      </c>
      <c r="E6112" s="2">
        <v>67469</v>
      </c>
      <c r="F6112" s="2">
        <v>4858</v>
      </c>
      <c r="G6112" s="2">
        <v>-86</v>
      </c>
      <c r="H6112" s="2">
        <v>22514</v>
      </c>
      <c r="I6112" s="2">
        <v>3910</v>
      </c>
    </row>
    <row r="6113" spans="1:9" x14ac:dyDescent="0.3">
      <c r="A6113" t="s">
        <v>90</v>
      </c>
      <c r="B6113" s="1">
        <v>45292</v>
      </c>
      <c r="C6113" s="2">
        <v>81399</v>
      </c>
      <c r="D6113" s="2">
        <v>-12872</v>
      </c>
      <c r="E6113" s="2">
        <v>62795</v>
      </c>
      <c r="F6113" s="2">
        <v>-14139</v>
      </c>
      <c r="G6113" s="2">
        <v>-212</v>
      </c>
      <c r="H6113" s="2">
        <v>18604</v>
      </c>
      <c r="I6113" s="2">
        <v>1267</v>
      </c>
    </row>
    <row r="6114" spans="1:9" x14ac:dyDescent="0.3">
      <c r="A6114" t="s">
        <v>90</v>
      </c>
      <c r="B6114" s="1">
        <v>45261</v>
      </c>
      <c r="C6114" s="2">
        <v>93525</v>
      </c>
      <c r="D6114" s="2">
        <v>8363</v>
      </c>
      <c r="E6114" s="2">
        <v>76188</v>
      </c>
      <c r="F6114" s="2">
        <v>6411</v>
      </c>
      <c r="G6114" s="2">
        <v>1486</v>
      </c>
      <c r="H6114" s="2">
        <v>17337</v>
      </c>
      <c r="I6114" s="2">
        <v>1952</v>
      </c>
    </row>
    <row r="6115" spans="1:9" x14ac:dyDescent="0.3">
      <c r="A6115" t="s">
        <v>90</v>
      </c>
      <c r="B6115" s="1">
        <v>45231</v>
      </c>
      <c r="C6115" s="2">
        <v>83959</v>
      </c>
      <c r="D6115" s="2">
        <v>263</v>
      </c>
      <c r="E6115" s="2">
        <v>68574</v>
      </c>
      <c r="F6115" s="2">
        <v>887</v>
      </c>
      <c r="G6115" s="2">
        <v>621</v>
      </c>
      <c r="H6115" s="2">
        <v>15385</v>
      </c>
      <c r="I6115" s="2">
        <v>-624</v>
      </c>
    </row>
    <row r="6116" spans="1:9" x14ac:dyDescent="0.3">
      <c r="A6116" t="s">
        <v>90</v>
      </c>
      <c r="B6116" s="1">
        <v>45200</v>
      </c>
      <c r="C6116" s="2">
        <v>84810</v>
      </c>
      <c r="D6116" s="2">
        <v>8648</v>
      </c>
      <c r="E6116" s="2">
        <v>68801</v>
      </c>
      <c r="F6116" s="2">
        <v>7798</v>
      </c>
      <c r="G6116" s="2">
        <v>335</v>
      </c>
      <c r="H6116" s="2">
        <v>16009</v>
      </c>
      <c r="I6116" s="2">
        <v>850</v>
      </c>
    </row>
    <row r="6117" spans="1:9" x14ac:dyDescent="0.3">
      <c r="A6117" t="s">
        <v>90</v>
      </c>
      <c r="B6117" s="1">
        <v>45170</v>
      </c>
      <c r="C6117" s="2">
        <v>77857</v>
      </c>
      <c r="D6117" s="2">
        <v>2019</v>
      </c>
      <c r="E6117" s="2">
        <v>62698</v>
      </c>
      <c r="F6117" s="2">
        <v>1178</v>
      </c>
      <c r="G6117" s="2">
        <v>-1248</v>
      </c>
      <c r="H6117" s="2">
        <v>15159</v>
      </c>
      <c r="I6117" s="2">
        <v>841</v>
      </c>
    </row>
    <row r="6118" spans="1:9" x14ac:dyDescent="0.3">
      <c r="A6118" t="s">
        <v>90</v>
      </c>
      <c r="B6118" s="1">
        <v>45139</v>
      </c>
      <c r="C6118" s="2">
        <v>74782</v>
      </c>
      <c r="D6118" s="2">
        <v>-4899</v>
      </c>
      <c r="E6118" s="2">
        <v>60464</v>
      </c>
      <c r="F6118" s="2">
        <v>-5441</v>
      </c>
      <c r="G6118" s="2">
        <v>-89</v>
      </c>
      <c r="H6118" s="2">
        <v>14318</v>
      </c>
      <c r="I6118" s="2">
        <v>542</v>
      </c>
    </row>
    <row r="6119" spans="1:9" x14ac:dyDescent="0.3">
      <c r="A6119" t="s">
        <v>90</v>
      </c>
      <c r="B6119" s="1">
        <v>45108</v>
      </c>
      <c r="C6119" s="2">
        <v>78233</v>
      </c>
      <c r="D6119" s="2">
        <v>6222</v>
      </c>
      <c r="E6119" s="2">
        <v>64457</v>
      </c>
      <c r="F6119" s="2">
        <v>3989</v>
      </c>
      <c r="G6119" s="2">
        <v>1322</v>
      </c>
      <c r="H6119" s="2">
        <v>13776</v>
      </c>
      <c r="I6119" s="2">
        <v>2233</v>
      </c>
    </row>
    <row r="6120" spans="1:9" x14ac:dyDescent="0.3">
      <c r="A6120" t="s">
        <v>90</v>
      </c>
      <c r="B6120" s="1">
        <v>45078</v>
      </c>
      <c r="C6120" s="2">
        <v>74187</v>
      </c>
      <c r="D6120" s="2">
        <v>13911</v>
      </c>
      <c r="E6120" s="2">
        <v>62644</v>
      </c>
      <c r="F6120" s="2">
        <v>7445</v>
      </c>
      <c r="G6120" s="2">
        <v>-265</v>
      </c>
      <c r="H6120" s="2">
        <v>11543</v>
      </c>
      <c r="I6120" s="2">
        <v>6466</v>
      </c>
    </row>
    <row r="6121" spans="1:9" x14ac:dyDescent="0.3">
      <c r="A6121" t="s">
        <v>90</v>
      </c>
      <c r="B6121" s="1">
        <v>45047</v>
      </c>
      <c r="C6121" s="2">
        <v>60058</v>
      </c>
      <c r="D6121" s="2">
        <v>7652</v>
      </c>
      <c r="E6121" s="2">
        <v>54981</v>
      </c>
      <c r="F6121" s="2">
        <v>6674</v>
      </c>
      <c r="G6121" s="2">
        <v>-696</v>
      </c>
      <c r="H6121" s="2">
        <v>5077</v>
      </c>
      <c r="I6121" s="2">
        <v>978</v>
      </c>
    </row>
    <row r="6122" spans="1:9" x14ac:dyDescent="0.3">
      <c r="A6122" t="s">
        <v>90</v>
      </c>
      <c r="B6122" s="1">
        <v>45017</v>
      </c>
      <c r="C6122" s="2">
        <v>50842</v>
      </c>
      <c r="D6122" s="2">
        <v>-273</v>
      </c>
      <c r="E6122" s="2">
        <v>46743</v>
      </c>
      <c r="F6122" s="2">
        <v>1172</v>
      </c>
      <c r="G6122" s="2">
        <v>-1140</v>
      </c>
      <c r="H6122" s="2">
        <v>4099</v>
      </c>
      <c r="I6122" s="2">
        <v>-1445</v>
      </c>
    </row>
    <row r="6123" spans="1:9" x14ac:dyDescent="0.3">
      <c r="A6123" t="s">
        <v>90</v>
      </c>
      <c r="B6123" s="1">
        <v>44986</v>
      </c>
      <c r="C6123" s="2">
        <v>53699</v>
      </c>
      <c r="D6123" s="2">
        <v>1045</v>
      </c>
      <c r="E6123" s="2">
        <v>48155</v>
      </c>
      <c r="F6123" s="2">
        <v>691</v>
      </c>
      <c r="G6123" s="2">
        <v>939</v>
      </c>
      <c r="H6123" s="2">
        <v>5544</v>
      </c>
      <c r="I6123" s="2">
        <v>354</v>
      </c>
    </row>
    <row r="6124" spans="1:9" x14ac:dyDescent="0.3">
      <c r="A6124" t="s">
        <v>90</v>
      </c>
      <c r="B6124" s="1">
        <v>44958</v>
      </c>
      <c r="C6124" s="2">
        <v>52193</v>
      </c>
      <c r="D6124" s="2">
        <v>-278</v>
      </c>
      <c r="E6124" s="2">
        <v>47003</v>
      </c>
      <c r="F6124" s="2">
        <v>1042</v>
      </c>
      <c r="G6124" s="2">
        <v>-635</v>
      </c>
      <c r="H6124" s="2">
        <v>5190</v>
      </c>
      <c r="I6124" s="2">
        <v>-1320</v>
      </c>
    </row>
    <row r="6125" spans="1:9" hidden="1" x14ac:dyDescent="0.3">
      <c r="A6125" t="s">
        <v>90</v>
      </c>
      <c r="B6125" s="1">
        <v>44927</v>
      </c>
      <c r="C6125" s="2">
        <v>52963</v>
      </c>
      <c r="D6125" s="2" t="s">
        <v>3</v>
      </c>
      <c r="E6125" s="2">
        <v>46453</v>
      </c>
      <c r="F6125" s="2" t="s">
        <v>3</v>
      </c>
      <c r="G6125" s="2" t="s">
        <v>3</v>
      </c>
      <c r="H6125" s="2">
        <v>6510</v>
      </c>
      <c r="I6125" s="2">
        <v>-1945</v>
      </c>
    </row>
    <row r="6126" spans="1:9" hidden="1" x14ac:dyDescent="0.3">
      <c r="A6126" t="s">
        <v>90</v>
      </c>
      <c r="B6126" s="1">
        <v>44896</v>
      </c>
      <c r="C6126" s="2">
        <v>57557</v>
      </c>
      <c r="D6126" s="2" t="s">
        <v>3</v>
      </c>
      <c r="E6126" s="2">
        <v>49102</v>
      </c>
      <c r="F6126" s="2" t="s">
        <v>3</v>
      </c>
      <c r="G6126" s="2" t="s">
        <v>3</v>
      </c>
      <c r="H6126" s="2">
        <v>8455</v>
      </c>
      <c r="I6126" s="2">
        <v>556</v>
      </c>
    </row>
    <row r="6127" spans="1:9" hidden="1" x14ac:dyDescent="0.3">
      <c r="A6127" t="s">
        <v>90</v>
      </c>
      <c r="B6127" s="1">
        <v>44866</v>
      </c>
      <c r="C6127" s="2">
        <v>53354</v>
      </c>
      <c r="D6127" s="2" t="s">
        <v>3</v>
      </c>
      <c r="E6127" s="2">
        <v>45455</v>
      </c>
      <c r="F6127" s="2" t="s">
        <v>3</v>
      </c>
      <c r="G6127" s="2" t="s">
        <v>3</v>
      </c>
      <c r="H6127" s="2">
        <v>7899</v>
      </c>
      <c r="I6127" s="2">
        <v>1617</v>
      </c>
    </row>
    <row r="6128" spans="1:9" hidden="1" x14ac:dyDescent="0.3">
      <c r="A6128" t="s">
        <v>90</v>
      </c>
      <c r="B6128" s="1">
        <v>44835</v>
      </c>
      <c r="C6128" s="2">
        <v>52651</v>
      </c>
      <c r="D6128" s="2" t="s">
        <v>3</v>
      </c>
      <c r="E6128" s="2">
        <v>46369</v>
      </c>
      <c r="F6128" s="2" t="s">
        <v>3</v>
      </c>
      <c r="G6128" s="2" t="s">
        <v>3</v>
      </c>
      <c r="H6128" s="2">
        <v>6282</v>
      </c>
      <c r="I6128" s="2">
        <v>-643</v>
      </c>
    </row>
    <row r="6129" spans="1:9" hidden="1" x14ac:dyDescent="0.3">
      <c r="A6129" t="s">
        <v>90</v>
      </c>
      <c r="B6129" s="1">
        <v>44805</v>
      </c>
      <c r="C6129" s="2">
        <v>53988</v>
      </c>
      <c r="D6129" s="2" t="s">
        <v>3</v>
      </c>
      <c r="E6129" s="2">
        <v>47063</v>
      </c>
      <c r="F6129" s="2" t="s">
        <v>3</v>
      </c>
      <c r="G6129" s="2" t="s">
        <v>3</v>
      </c>
      <c r="H6129" s="2">
        <v>6925</v>
      </c>
      <c r="I6129" s="2">
        <v>-1275</v>
      </c>
    </row>
    <row r="6130" spans="1:9" hidden="1" x14ac:dyDescent="0.3">
      <c r="A6130" t="s">
        <v>90</v>
      </c>
      <c r="B6130" s="1">
        <v>44774</v>
      </c>
      <c r="C6130" s="2">
        <v>54034</v>
      </c>
      <c r="D6130" s="2" t="s">
        <v>3</v>
      </c>
      <c r="E6130" s="2">
        <v>45834</v>
      </c>
      <c r="F6130" s="2" t="s">
        <v>3</v>
      </c>
      <c r="G6130" s="2" t="s">
        <v>3</v>
      </c>
      <c r="H6130" s="2">
        <v>8200</v>
      </c>
      <c r="I6130" s="2">
        <v>-1707</v>
      </c>
    </row>
    <row r="6131" spans="1:9" hidden="1" x14ac:dyDescent="0.3">
      <c r="A6131" t="s">
        <v>90</v>
      </c>
      <c r="B6131" s="1">
        <v>44743</v>
      </c>
      <c r="C6131" s="2">
        <v>57900</v>
      </c>
      <c r="D6131" s="2" t="s">
        <v>3</v>
      </c>
      <c r="E6131" s="2">
        <v>47993</v>
      </c>
      <c r="F6131" s="2" t="s">
        <v>3</v>
      </c>
      <c r="G6131" s="2" t="s">
        <v>3</v>
      </c>
      <c r="H6131" s="2">
        <v>9907</v>
      </c>
      <c r="I6131" s="2">
        <v>-4221</v>
      </c>
    </row>
    <row r="6132" spans="1:9" hidden="1" x14ac:dyDescent="0.3">
      <c r="A6132" t="s">
        <v>90</v>
      </c>
      <c r="B6132" s="1">
        <v>44713</v>
      </c>
      <c r="C6132" s="2">
        <v>64271</v>
      </c>
      <c r="D6132" s="2" t="s">
        <v>3</v>
      </c>
      <c r="E6132" s="2">
        <v>50143</v>
      </c>
      <c r="F6132" s="2" t="s">
        <v>3</v>
      </c>
      <c r="G6132" s="2" t="s">
        <v>3</v>
      </c>
      <c r="H6132" s="2">
        <v>14128</v>
      </c>
      <c r="I6132" s="2">
        <v>83</v>
      </c>
    </row>
    <row r="6133" spans="1:9" hidden="1" x14ac:dyDescent="0.3">
      <c r="A6133" t="s">
        <v>90</v>
      </c>
      <c r="B6133" s="1">
        <v>44682</v>
      </c>
      <c r="C6133" s="2">
        <v>62290</v>
      </c>
      <c r="D6133" s="2" t="s">
        <v>3</v>
      </c>
      <c r="E6133" s="2">
        <v>48245</v>
      </c>
      <c r="F6133" s="2" t="s">
        <v>3</v>
      </c>
      <c r="G6133" s="2" t="s">
        <v>3</v>
      </c>
      <c r="H6133" s="2">
        <v>14045</v>
      </c>
      <c r="I6133" s="2">
        <v>-995</v>
      </c>
    </row>
    <row r="6134" spans="1:9" hidden="1" x14ac:dyDescent="0.3">
      <c r="A6134" t="s">
        <v>90</v>
      </c>
      <c r="B6134" s="1">
        <v>44652</v>
      </c>
      <c r="C6134" s="2">
        <v>64825</v>
      </c>
      <c r="D6134" s="2" t="s">
        <v>3</v>
      </c>
      <c r="E6134" s="2">
        <v>49785</v>
      </c>
      <c r="F6134" s="2" t="s">
        <v>3</v>
      </c>
      <c r="G6134" s="2" t="s">
        <v>3</v>
      </c>
      <c r="H6134" s="2">
        <v>15040</v>
      </c>
      <c r="I6134" s="2">
        <v>-517</v>
      </c>
    </row>
    <row r="6135" spans="1:9" hidden="1" x14ac:dyDescent="0.3">
      <c r="A6135" t="s">
        <v>90</v>
      </c>
      <c r="B6135" s="1">
        <v>44621</v>
      </c>
      <c r="C6135" s="2">
        <v>62832</v>
      </c>
      <c r="D6135" s="2" t="s">
        <v>3</v>
      </c>
      <c r="E6135" s="2">
        <v>47275</v>
      </c>
      <c r="F6135" s="2" t="s">
        <v>3</v>
      </c>
      <c r="G6135" s="2" t="s">
        <v>3</v>
      </c>
      <c r="H6135" s="2">
        <v>15557</v>
      </c>
      <c r="I6135" s="2">
        <v>1728</v>
      </c>
    </row>
    <row r="6136" spans="1:9" hidden="1" x14ac:dyDescent="0.3">
      <c r="A6136" t="s">
        <v>90</v>
      </c>
      <c r="B6136" s="1">
        <v>44593</v>
      </c>
      <c r="C6136" s="2">
        <v>57819</v>
      </c>
      <c r="D6136" s="2" t="s">
        <v>3</v>
      </c>
      <c r="E6136" s="2">
        <v>43990</v>
      </c>
      <c r="F6136" s="2" t="s">
        <v>3</v>
      </c>
      <c r="G6136" s="2" t="s">
        <v>3</v>
      </c>
      <c r="H6136" s="2">
        <v>13829</v>
      </c>
      <c r="I6136" s="2">
        <v>438</v>
      </c>
    </row>
    <row r="6137" spans="1:9" hidden="1" x14ac:dyDescent="0.3">
      <c r="A6137" t="s">
        <v>90</v>
      </c>
      <c r="B6137" s="1">
        <v>44562</v>
      </c>
      <c r="C6137" s="2">
        <v>60962</v>
      </c>
      <c r="D6137" s="2" t="s">
        <v>3</v>
      </c>
      <c r="E6137" s="2">
        <v>47571</v>
      </c>
      <c r="F6137" s="2" t="s">
        <v>3</v>
      </c>
      <c r="G6137" s="2" t="s">
        <v>3</v>
      </c>
      <c r="H6137" s="2">
        <v>13391</v>
      </c>
      <c r="I6137" s="2">
        <v>336</v>
      </c>
    </row>
    <row r="6138" spans="1:9" hidden="1" x14ac:dyDescent="0.3">
      <c r="A6138" t="s">
        <v>90</v>
      </c>
      <c r="B6138" s="1">
        <v>44531</v>
      </c>
      <c r="C6138" s="2">
        <v>61663</v>
      </c>
      <c r="D6138" s="2" t="s">
        <v>3</v>
      </c>
      <c r="E6138" s="2">
        <v>48608</v>
      </c>
      <c r="F6138" s="2" t="s">
        <v>3</v>
      </c>
      <c r="G6138" s="2" t="s">
        <v>3</v>
      </c>
      <c r="H6138" s="2">
        <v>13055</v>
      </c>
      <c r="I6138" s="2">
        <v>-2827</v>
      </c>
    </row>
    <row r="6139" spans="1:9" hidden="1" x14ac:dyDescent="0.3">
      <c r="A6139" t="s">
        <v>90</v>
      </c>
      <c r="B6139" s="1">
        <v>44501</v>
      </c>
      <c r="C6139" s="2">
        <v>62555</v>
      </c>
      <c r="D6139" s="2" t="s">
        <v>3</v>
      </c>
      <c r="E6139" s="2">
        <v>46673</v>
      </c>
      <c r="F6139" s="2" t="s">
        <v>3</v>
      </c>
      <c r="G6139" s="2" t="s">
        <v>3</v>
      </c>
      <c r="H6139" s="2">
        <v>15882</v>
      </c>
      <c r="I6139" s="2">
        <v>1868</v>
      </c>
    </row>
    <row r="6140" spans="1:9" hidden="1" x14ac:dyDescent="0.3">
      <c r="A6140" t="s">
        <v>90</v>
      </c>
      <c r="B6140" s="1">
        <v>44470</v>
      </c>
      <c r="C6140" s="2">
        <v>63985</v>
      </c>
      <c r="D6140" s="2" t="s">
        <v>3</v>
      </c>
      <c r="E6140" s="2">
        <v>49971</v>
      </c>
      <c r="F6140" s="2" t="s">
        <v>3</v>
      </c>
      <c r="G6140" s="2" t="s">
        <v>3</v>
      </c>
      <c r="H6140" s="2">
        <v>14014</v>
      </c>
      <c r="I6140" s="2">
        <v>1764</v>
      </c>
    </row>
    <row r="6141" spans="1:9" hidden="1" x14ac:dyDescent="0.3">
      <c r="A6141" t="s">
        <v>90</v>
      </c>
      <c r="B6141" s="1">
        <v>44440</v>
      </c>
      <c r="C6141" s="2">
        <v>58157</v>
      </c>
      <c r="D6141" s="2" t="s">
        <v>3</v>
      </c>
      <c r="E6141" s="2">
        <v>45907</v>
      </c>
      <c r="F6141" s="2" t="s">
        <v>3</v>
      </c>
      <c r="G6141" s="2" t="s">
        <v>3</v>
      </c>
      <c r="H6141" s="2">
        <v>12250</v>
      </c>
      <c r="I6141" s="2">
        <v>-2190</v>
      </c>
    </row>
    <row r="6142" spans="1:9" hidden="1" x14ac:dyDescent="0.3">
      <c r="A6142" t="s">
        <v>90</v>
      </c>
      <c r="B6142" s="1">
        <v>44409</v>
      </c>
      <c r="C6142" s="2">
        <v>57643</v>
      </c>
      <c r="D6142" s="2" t="s">
        <v>3</v>
      </c>
      <c r="E6142" s="2">
        <v>43203</v>
      </c>
      <c r="F6142" s="2" t="s">
        <v>3</v>
      </c>
      <c r="G6142" s="2" t="s">
        <v>3</v>
      </c>
      <c r="H6142" s="2">
        <v>14440</v>
      </c>
      <c r="I6142" s="2">
        <v>-593</v>
      </c>
    </row>
    <row r="6143" spans="1:9" hidden="1" x14ac:dyDescent="0.3">
      <c r="A6143" t="s">
        <v>90</v>
      </c>
      <c r="B6143" s="1">
        <v>44378</v>
      </c>
      <c r="C6143" s="2">
        <v>57950</v>
      </c>
      <c r="D6143" s="2" t="s">
        <v>3</v>
      </c>
      <c r="E6143" s="2">
        <v>42917</v>
      </c>
      <c r="F6143" s="2" t="s">
        <v>3</v>
      </c>
      <c r="G6143" s="2" t="s">
        <v>3</v>
      </c>
      <c r="H6143" s="2">
        <v>15033</v>
      </c>
      <c r="I6143" s="2">
        <v>-413</v>
      </c>
    </row>
    <row r="6144" spans="1:9" hidden="1" x14ac:dyDescent="0.3">
      <c r="A6144" t="s">
        <v>90</v>
      </c>
      <c r="B6144" s="1">
        <v>44348</v>
      </c>
      <c r="C6144" s="2">
        <v>58091</v>
      </c>
      <c r="D6144" s="2" t="s">
        <v>3</v>
      </c>
      <c r="E6144" s="2">
        <v>42645</v>
      </c>
      <c r="F6144" s="2" t="s">
        <v>3</v>
      </c>
      <c r="G6144" s="2" t="s">
        <v>3</v>
      </c>
      <c r="H6144" s="2">
        <v>15446</v>
      </c>
      <c r="I6144" s="2">
        <v>-257</v>
      </c>
    </row>
    <row r="6145" spans="1:9" hidden="1" x14ac:dyDescent="0.3">
      <c r="A6145" t="s">
        <v>90</v>
      </c>
      <c r="B6145" s="1">
        <v>44317</v>
      </c>
      <c r="C6145" s="2">
        <v>54883</v>
      </c>
      <c r="D6145" s="2" t="s">
        <v>3</v>
      </c>
      <c r="E6145" s="2">
        <v>39180</v>
      </c>
      <c r="F6145" s="2" t="s">
        <v>3</v>
      </c>
      <c r="G6145" s="2" t="s">
        <v>3</v>
      </c>
      <c r="H6145" s="2">
        <v>15703</v>
      </c>
      <c r="I6145" s="2">
        <v>616</v>
      </c>
    </row>
    <row r="6146" spans="1:9" hidden="1" x14ac:dyDescent="0.3">
      <c r="A6146" t="s">
        <v>90</v>
      </c>
      <c r="B6146" s="1">
        <v>44287</v>
      </c>
      <c r="C6146" s="2">
        <v>52521</v>
      </c>
      <c r="D6146" s="2" t="s">
        <v>3</v>
      </c>
      <c r="E6146" s="2">
        <v>37434</v>
      </c>
      <c r="F6146" s="2" t="s">
        <v>3</v>
      </c>
      <c r="G6146" s="2" t="s">
        <v>3</v>
      </c>
      <c r="H6146" s="2">
        <v>15087</v>
      </c>
      <c r="I6146" s="2">
        <v>-912</v>
      </c>
    </row>
    <row r="6147" spans="1:9" hidden="1" x14ac:dyDescent="0.3">
      <c r="A6147" t="s">
        <v>90</v>
      </c>
      <c r="B6147" s="1">
        <v>44256</v>
      </c>
      <c r="C6147" s="2">
        <v>61128</v>
      </c>
      <c r="D6147" s="2" t="s">
        <v>3</v>
      </c>
      <c r="E6147" s="2">
        <v>45129</v>
      </c>
      <c r="F6147" s="2" t="s">
        <v>3</v>
      </c>
      <c r="G6147" s="2" t="s">
        <v>3</v>
      </c>
      <c r="H6147" s="2">
        <v>15999</v>
      </c>
      <c r="I6147" s="2">
        <v>-2973</v>
      </c>
    </row>
    <row r="6148" spans="1:9" hidden="1" x14ac:dyDescent="0.3">
      <c r="A6148" t="s">
        <v>90</v>
      </c>
      <c r="B6148" s="1">
        <v>44228</v>
      </c>
      <c r="C6148" s="2">
        <v>60429</v>
      </c>
      <c r="D6148" s="2" t="s">
        <v>3</v>
      </c>
      <c r="E6148" s="2">
        <v>41457</v>
      </c>
      <c r="F6148" s="2" t="s">
        <v>3</v>
      </c>
      <c r="G6148" s="2" t="s">
        <v>3</v>
      </c>
      <c r="H6148" s="2">
        <v>18972</v>
      </c>
      <c r="I6148" s="2">
        <v>-2121</v>
      </c>
    </row>
    <row r="6149" spans="1:9" hidden="1" x14ac:dyDescent="0.3">
      <c r="A6149" t="s">
        <v>90</v>
      </c>
      <c r="B6149" s="1">
        <v>44197</v>
      </c>
      <c r="C6149" s="2">
        <v>62518</v>
      </c>
      <c r="D6149" s="2" t="s">
        <v>3</v>
      </c>
      <c r="E6149" s="2">
        <v>41425</v>
      </c>
      <c r="F6149" s="2" t="s">
        <v>3</v>
      </c>
      <c r="G6149" s="2" t="s">
        <v>3</v>
      </c>
      <c r="H6149" s="2">
        <v>21093</v>
      </c>
      <c r="I6149" s="2">
        <v>-561</v>
      </c>
    </row>
    <row r="6150" spans="1:9" hidden="1" x14ac:dyDescent="0.3">
      <c r="A6150" t="s">
        <v>90</v>
      </c>
      <c r="B6150" s="1">
        <v>44166</v>
      </c>
      <c r="C6150" s="2">
        <v>52676</v>
      </c>
      <c r="D6150" s="2" t="s">
        <v>3</v>
      </c>
      <c r="E6150" s="2">
        <v>31022</v>
      </c>
      <c r="F6150" s="2" t="s">
        <v>3</v>
      </c>
      <c r="G6150" s="2" t="s">
        <v>3</v>
      </c>
      <c r="H6150" s="2">
        <v>21654</v>
      </c>
      <c r="I6150" s="2">
        <v>-7629</v>
      </c>
    </row>
    <row r="6151" spans="1:9" hidden="1" x14ac:dyDescent="0.3">
      <c r="A6151" t="s">
        <v>90</v>
      </c>
      <c r="B6151" s="1">
        <v>44136</v>
      </c>
      <c r="C6151" s="2">
        <v>63962</v>
      </c>
      <c r="D6151" s="2" t="s">
        <v>3</v>
      </c>
      <c r="E6151" s="2">
        <v>34679</v>
      </c>
      <c r="F6151" s="2" t="s">
        <v>3</v>
      </c>
      <c r="G6151" s="2" t="s">
        <v>3</v>
      </c>
      <c r="H6151" s="2">
        <v>29283</v>
      </c>
      <c r="I6151" s="2">
        <v>346</v>
      </c>
    </row>
    <row r="6152" spans="1:9" hidden="1" x14ac:dyDescent="0.3">
      <c r="A6152" t="s">
        <v>90</v>
      </c>
      <c r="B6152" s="1">
        <v>44105</v>
      </c>
      <c r="C6152" s="2">
        <v>64640</v>
      </c>
      <c r="D6152" s="2" t="s">
        <v>3</v>
      </c>
      <c r="E6152" s="2">
        <v>35703</v>
      </c>
      <c r="F6152" s="2" t="s">
        <v>3</v>
      </c>
      <c r="G6152" s="2" t="s">
        <v>3</v>
      </c>
      <c r="H6152" s="2">
        <v>28937</v>
      </c>
      <c r="I6152" s="2">
        <v>-331</v>
      </c>
    </row>
    <row r="6153" spans="1:9" hidden="1" x14ac:dyDescent="0.3">
      <c r="A6153" t="s">
        <v>90</v>
      </c>
      <c r="B6153" s="1">
        <v>44075</v>
      </c>
      <c r="C6153" s="2">
        <v>70126</v>
      </c>
      <c r="D6153" s="2" t="s">
        <v>3</v>
      </c>
      <c r="E6153" s="2">
        <v>40858</v>
      </c>
      <c r="F6153" s="2" t="s">
        <v>3</v>
      </c>
      <c r="G6153" s="2" t="s">
        <v>3</v>
      </c>
      <c r="H6153" s="2">
        <v>29268</v>
      </c>
      <c r="I6153" s="2">
        <v>1033</v>
      </c>
    </row>
    <row r="6154" spans="1:9" hidden="1" x14ac:dyDescent="0.3">
      <c r="A6154" t="s">
        <v>90</v>
      </c>
      <c r="B6154" s="1">
        <v>44044</v>
      </c>
      <c r="C6154" s="2">
        <v>68446</v>
      </c>
      <c r="D6154" s="2" t="s">
        <v>3</v>
      </c>
      <c r="E6154" s="2">
        <v>40211</v>
      </c>
      <c r="F6154" s="2" t="s">
        <v>3</v>
      </c>
      <c r="G6154" s="2" t="s">
        <v>3</v>
      </c>
      <c r="H6154" s="2">
        <v>28235</v>
      </c>
      <c r="I6154" s="2">
        <v>-2091</v>
      </c>
    </row>
    <row r="6155" spans="1:9" hidden="1" x14ac:dyDescent="0.3">
      <c r="A6155" t="s">
        <v>90</v>
      </c>
      <c r="B6155" s="1">
        <v>44013</v>
      </c>
      <c r="C6155" s="2">
        <v>79355</v>
      </c>
      <c r="D6155" s="2" t="s">
        <v>3</v>
      </c>
      <c r="E6155" s="2">
        <v>49029</v>
      </c>
      <c r="F6155" s="2" t="s">
        <v>3</v>
      </c>
      <c r="G6155" s="2" t="s">
        <v>3</v>
      </c>
      <c r="H6155" s="2">
        <v>30326</v>
      </c>
      <c r="I6155" s="2">
        <v>5907</v>
      </c>
    </row>
    <row r="6156" spans="1:9" hidden="1" x14ac:dyDescent="0.3">
      <c r="A6156" t="s">
        <v>90</v>
      </c>
      <c r="B6156" s="1">
        <v>43983</v>
      </c>
      <c r="C6156" s="2">
        <v>69597</v>
      </c>
      <c r="D6156" s="2" t="s">
        <v>3</v>
      </c>
      <c r="E6156" s="2">
        <v>45178</v>
      </c>
      <c r="F6156" s="2" t="s">
        <v>3</v>
      </c>
      <c r="G6156" s="2" t="s">
        <v>3</v>
      </c>
      <c r="H6156" s="2">
        <v>24419</v>
      </c>
      <c r="I6156" s="2">
        <v>3084</v>
      </c>
    </row>
    <row r="6157" spans="1:9" hidden="1" x14ac:dyDescent="0.3">
      <c r="A6157" t="s">
        <v>90</v>
      </c>
      <c r="B6157" s="1">
        <v>43952</v>
      </c>
      <c r="C6157" s="2">
        <v>72014</v>
      </c>
      <c r="D6157" s="2" t="s">
        <v>3</v>
      </c>
      <c r="E6157" s="2">
        <v>50679</v>
      </c>
      <c r="F6157" s="2" t="s">
        <v>3</v>
      </c>
      <c r="G6157" s="2" t="s">
        <v>3</v>
      </c>
      <c r="H6157" s="2">
        <v>21335</v>
      </c>
      <c r="I6157" s="2">
        <v>3009</v>
      </c>
    </row>
    <row r="6158" spans="1:9" hidden="1" x14ac:dyDescent="0.3">
      <c r="A6158" t="s">
        <v>90</v>
      </c>
      <c r="B6158" s="1">
        <v>43922</v>
      </c>
      <c r="C6158" s="2">
        <v>73227</v>
      </c>
      <c r="D6158" s="2" t="s">
        <v>3</v>
      </c>
      <c r="E6158" s="2">
        <v>54901</v>
      </c>
      <c r="F6158" s="2" t="s">
        <v>3</v>
      </c>
      <c r="G6158" s="2" t="s">
        <v>3</v>
      </c>
      <c r="H6158" s="2">
        <v>18326</v>
      </c>
      <c r="I6158" s="2">
        <v>7481</v>
      </c>
    </row>
    <row r="6159" spans="1:9" hidden="1" x14ac:dyDescent="0.3">
      <c r="A6159" t="s">
        <v>90</v>
      </c>
      <c r="B6159" s="1">
        <v>43891</v>
      </c>
      <c r="C6159" s="2">
        <v>57112</v>
      </c>
      <c r="D6159" s="2" t="s">
        <v>3</v>
      </c>
      <c r="E6159" s="2">
        <v>46267</v>
      </c>
      <c r="F6159" s="2" t="s">
        <v>3</v>
      </c>
      <c r="G6159" s="2" t="s">
        <v>3</v>
      </c>
      <c r="H6159" s="2">
        <v>10845</v>
      </c>
      <c r="I6159" s="2">
        <v>994</v>
      </c>
    </row>
    <row r="6160" spans="1:9" hidden="1" x14ac:dyDescent="0.3">
      <c r="A6160" t="s">
        <v>90</v>
      </c>
      <c r="B6160" s="1">
        <v>43862</v>
      </c>
      <c r="C6160" s="2">
        <v>72956</v>
      </c>
      <c r="D6160" s="2" t="s">
        <v>3</v>
      </c>
      <c r="E6160" s="2">
        <v>63105</v>
      </c>
      <c r="F6160" s="2" t="s">
        <v>3</v>
      </c>
      <c r="G6160" s="2" t="s">
        <v>3</v>
      </c>
      <c r="H6160" s="2">
        <v>9851</v>
      </c>
      <c r="I6160" s="2">
        <v>1325</v>
      </c>
    </row>
    <row r="6161" spans="1:9" hidden="1" x14ac:dyDescent="0.3">
      <c r="A6161" t="s">
        <v>90</v>
      </c>
      <c r="B6161" s="1">
        <v>43831</v>
      </c>
      <c r="C6161" s="2">
        <v>68888</v>
      </c>
      <c r="D6161" s="2" t="s">
        <v>3</v>
      </c>
      <c r="E6161" s="2">
        <v>60362</v>
      </c>
      <c r="F6161" s="2" t="s">
        <v>3</v>
      </c>
      <c r="G6161" s="2" t="s">
        <v>3</v>
      </c>
      <c r="H6161" s="2">
        <v>8526</v>
      </c>
      <c r="I6161" s="2">
        <v>186</v>
      </c>
    </row>
    <row r="6162" spans="1:9" hidden="1" x14ac:dyDescent="0.3">
      <c r="A6162" t="s">
        <v>91</v>
      </c>
      <c r="B6162" s="1">
        <v>44927</v>
      </c>
      <c r="C6162" s="2">
        <v>7305083</v>
      </c>
      <c r="D6162" s="2" t="s">
        <v>3</v>
      </c>
      <c r="E6162" s="2">
        <v>6364842</v>
      </c>
      <c r="F6162" s="2" t="s">
        <v>3</v>
      </c>
      <c r="G6162" s="2" t="s">
        <v>3</v>
      </c>
      <c r="H6162" s="2">
        <v>940241</v>
      </c>
      <c r="I6162" s="2">
        <v>-9747</v>
      </c>
    </row>
    <row r="6163" spans="1:9" x14ac:dyDescent="0.3">
      <c r="A6163" t="s">
        <v>91</v>
      </c>
      <c r="B6163" s="1">
        <v>44958</v>
      </c>
      <c r="C6163" s="2">
        <v>7254900</v>
      </c>
      <c r="D6163" s="2">
        <v>76633</v>
      </c>
      <c r="E6163" s="2">
        <v>6289115</v>
      </c>
      <c r="F6163" s="2">
        <v>51089</v>
      </c>
      <c r="G6163" s="2">
        <v>-108122</v>
      </c>
      <c r="H6163" s="2">
        <v>965785</v>
      </c>
      <c r="I6163" s="2">
        <v>25544</v>
      </c>
    </row>
    <row r="6164" spans="1:9" x14ac:dyDescent="0.3">
      <c r="A6164" t="s">
        <v>91</v>
      </c>
      <c r="B6164" s="1">
        <v>44986</v>
      </c>
      <c r="C6164" s="2">
        <v>7468642</v>
      </c>
      <c r="D6164" s="2">
        <v>91709</v>
      </c>
      <c r="E6164" s="2">
        <v>6506021</v>
      </c>
      <c r="F6164" s="2">
        <v>94873</v>
      </c>
      <c r="G6164" s="2">
        <v>123457</v>
      </c>
      <c r="H6164" s="2">
        <v>962621</v>
      </c>
      <c r="I6164" s="2">
        <v>-3164</v>
      </c>
    </row>
    <row r="6165" spans="1:9" x14ac:dyDescent="0.3">
      <c r="A6165" t="s">
        <v>91</v>
      </c>
      <c r="B6165" s="1">
        <v>45017</v>
      </c>
      <c r="C6165" s="2">
        <v>7505983</v>
      </c>
      <c r="D6165" s="2">
        <v>71023</v>
      </c>
      <c r="E6165" s="2">
        <v>6588242</v>
      </c>
      <c r="F6165" s="2">
        <v>115903</v>
      </c>
      <c r="G6165" s="2">
        <v>19324</v>
      </c>
      <c r="H6165" s="2">
        <v>917741</v>
      </c>
      <c r="I6165" s="2">
        <v>-44880</v>
      </c>
    </row>
    <row r="6166" spans="1:9" x14ac:dyDescent="0.3">
      <c r="A6166" t="s">
        <v>91</v>
      </c>
      <c r="B6166" s="1">
        <v>45047</v>
      </c>
      <c r="C6166" s="2">
        <v>7458553</v>
      </c>
      <c r="D6166" s="2">
        <v>44537</v>
      </c>
      <c r="E6166" s="2">
        <v>6558524</v>
      </c>
      <c r="F6166" s="2">
        <v>62249</v>
      </c>
      <c r="G6166" s="2">
        <v>-68066</v>
      </c>
      <c r="H6166" s="2">
        <v>900029</v>
      </c>
      <c r="I6166" s="2">
        <v>-17712</v>
      </c>
    </row>
    <row r="6167" spans="1:9" x14ac:dyDescent="0.3">
      <c r="A6167" t="s">
        <v>91</v>
      </c>
      <c r="B6167" s="1">
        <v>45078</v>
      </c>
      <c r="C6167" s="2">
        <v>7563215</v>
      </c>
      <c r="D6167" s="2">
        <v>140437</v>
      </c>
      <c r="E6167" s="2">
        <v>6600967</v>
      </c>
      <c r="F6167" s="2">
        <v>78218</v>
      </c>
      <c r="G6167" s="2">
        <v>-46032</v>
      </c>
      <c r="H6167" s="2">
        <v>962248</v>
      </c>
      <c r="I6167" s="2">
        <v>62219</v>
      </c>
    </row>
    <row r="6168" spans="1:9" x14ac:dyDescent="0.3">
      <c r="A6168" t="s">
        <v>91</v>
      </c>
      <c r="B6168" s="1">
        <v>45108</v>
      </c>
      <c r="C6168" s="2">
        <v>7595100</v>
      </c>
      <c r="D6168" s="2">
        <v>29721</v>
      </c>
      <c r="E6168" s="2">
        <v>6597898</v>
      </c>
      <c r="F6168" s="2">
        <v>-5233</v>
      </c>
      <c r="G6168" s="2">
        <v>-17937</v>
      </c>
      <c r="H6168" s="2">
        <v>997202</v>
      </c>
      <c r="I6168" s="2">
        <v>34954</v>
      </c>
    </row>
    <row r="6169" spans="1:9" x14ac:dyDescent="0.3">
      <c r="A6169" t="s">
        <v>91</v>
      </c>
      <c r="B6169" s="1">
        <v>45139</v>
      </c>
      <c r="C6169" s="2">
        <v>7620532</v>
      </c>
      <c r="D6169" s="2">
        <v>42232</v>
      </c>
      <c r="E6169" s="2">
        <v>6584294</v>
      </c>
      <c r="F6169" s="2">
        <v>3196</v>
      </c>
      <c r="G6169" s="2">
        <v>-27756</v>
      </c>
      <c r="H6169" s="2">
        <v>1036238</v>
      </c>
      <c r="I6169" s="2">
        <v>39036</v>
      </c>
    </row>
    <row r="6170" spans="1:9" x14ac:dyDescent="0.3">
      <c r="A6170" t="s">
        <v>91</v>
      </c>
      <c r="B6170" s="1">
        <v>45170</v>
      </c>
      <c r="C6170" s="2">
        <v>7509115</v>
      </c>
      <c r="D6170" s="2">
        <v>33059</v>
      </c>
      <c r="E6170" s="2">
        <v>6448221</v>
      </c>
      <c r="F6170" s="2">
        <v>8403</v>
      </c>
      <c r="G6170" s="2">
        <v>-143020</v>
      </c>
      <c r="H6170" s="2">
        <v>1060894</v>
      </c>
      <c r="I6170" s="2">
        <v>24656</v>
      </c>
    </row>
    <row r="6171" spans="1:9" x14ac:dyDescent="0.3">
      <c r="A6171" t="s">
        <v>91</v>
      </c>
      <c r="B6171" s="1">
        <v>45200</v>
      </c>
      <c r="C6171" s="2">
        <v>7476742</v>
      </c>
      <c r="D6171" s="2">
        <v>-5824</v>
      </c>
      <c r="E6171" s="2">
        <v>6441348</v>
      </c>
      <c r="F6171" s="2">
        <v>19676</v>
      </c>
      <c r="G6171" s="2">
        <v>-51273</v>
      </c>
      <c r="H6171" s="2">
        <v>1035394</v>
      </c>
      <c r="I6171" s="2">
        <v>-25500</v>
      </c>
    </row>
    <row r="6172" spans="1:9" x14ac:dyDescent="0.3">
      <c r="A6172" t="s">
        <v>91</v>
      </c>
      <c r="B6172" s="1">
        <v>45231</v>
      </c>
      <c r="C6172" s="2">
        <v>7716320</v>
      </c>
      <c r="D6172" s="2">
        <v>134604</v>
      </c>
      <c r="E6172" s="2">
        <v>6651332</v>
      </c>
      <c r="F6172" s="2">
        <v>105010</v>
      </c>
      <c r="G6172" s="2">
        <v>160892</v>
      </c>
      <c r="H6172" s="2">
        <v>1064988</v>
      </c>
      <c r="I6172" s="2">
        <v>29594</v>
      </c>
    </row>
    <row r="6173" spans="1:9" x14ac:dyDescent="0.3">
      <c r="A6173" t="s">
        <v>91</v>
      </c>
      <c r="B6173" s="1">
        <v>45261</v>
      </c>
      <c r="C6173" s="2">
        <v>7940008</v>
      </c>
      <c r="D6173" s="2">
        <v>32362</v>
      </c>
      <c r="E6173" s="2">
        <v>6856948</v>
      </c>
      <c r="F6173" s="2">
        <v>14290</v>
      </c>
      <c r="G6173" s="2">
        <v>139450</v>
      </c>
      <c r="H6173" s="2">
        <v>1083060</v>
      </c>
      <c r="I6173" s="2">
        <v>18072</v>
      </c>
    </row>
    <row r="6174" spans="1:9" x14ac:dyDescent="0.3">
      <c r="A6174" t="s">
        <v>91</v>
      </c>
      <c r="B6174" s="1">
        <v>45292</v>
      </c>
      <c r="C6174" s="2">
        <v>7953787</v>
      </c>
      <c r="D6174" s="2">
        <v>24952</v>
      </c>
      <c r="E6174" s="2">
        <v>6898526</v>
      </c>
      <c r="F6174" s="2">
        <v>52751</v>
      </c>
      <c r="G6174" s="2">
        <v>4974</v>
      </c>
      <c r="H6174" s="2">
        <v>1055261</v>
      </c>
      <c r="I6174" s="2">
        <v>-27799</v>
      </c>
    </row>
    <row r="6175" spans="1:9" x14ac:dyDescent="0.3">
      <c r="A6175" t="s">
        <v>91</v>
      </c>
      <c r="B6175" s="1">
        <v>45323</v>
      </c>
      <c r="C6175" s="2">
        <v>7999272</v>
      </c>
      <c r="D6175" s="2">
        <v>126331</v>
      </c>
      <c r="E6175" s="2">
        <v>6909717</v>
      </c>
      <c r="F6175" s="2">
        <v>92037</v>
      </c>
      <c r="G6175" s="2">
        <v>-61990</v>
      </c>
      <c r="H6175" s="2">
        <v>1089555</v>
      </c>
      <c r="I6175" s="2">
        <v>34294</v>
      </c>
    </row>
    <row r="6176" spans="1:9" x14ac:dyDescent="0.3">
      <c r="A6176" t="s">
        <v>91</v>
      </c>
      <c r="B6176" s="1">
        <v>45352</v>
      </c>
      <c r="C6176" s="2">
        <v>8107871</v>
      </c>
      <c r="D6176" s="2">
        <v>50033</v>
      </c>
      <c r="E6176" s="2">
        <v>7016696</v>
      </c>
      <c r="F6176" s="2">
        <v>48413</v>
      </c>
      <c r="G6176" s="2">
        <v>39736</v>
      </c>
      <c r="H6176" s="2">
        <v>1091175</v>
      </c>
      <c r="I6176" s="2">
        <v>1620</v>
      </c>
    </row>
    <row r="6177" spans="1:9" x14ac:dyDescent="0.3">
      <c r="A6177" t="s">
        <v>91</v>
      </c>
      <c r="B6177" s="1">
        <v>45383</v>
      </c>
      <c r="C6177" s="2">
        <v>8036194</v>
      </c>
      <c r="D6177" s="2">
        <v>72934</v>
      </c>
      <c r="E6177" s="2">
        <v>6957434</v>
      </c>
      <c r="F6177" s="2">
        <v>85349</v>
      </c>
      <c r="G6177" s="2">
        <v>-112207</v>
      </c>
      <c r="H6177" s="2">
        <v>1078760</v>
      </c>
      <c r="I6177" s="2">
        <v>-12415</v>
      </c>
    </row>
    <row r="6178" spans="1:9" x14ac:dyDescent="0.3">
      <c r="A6178" t="s">
        <v>91</v>
      </c>
      <c r="B6178" s="1">
        <v>45413</v>
      </c>
      <c r="C6178" s="2">
        <v>8130734</v>
      </c>
      <c r="D6178" s="2">
        <v>43464</v>
      </c>
      <c r="E6178" s="2">
        <v>7061423</v>
      </c>
      <c r="F6178" s="2">
        <v>52913</v>
      </c>
      <c r="G6178" s="2">
        <v>51399</v>
      </c>
      <c r="H6178" s="2">
        <v>1069311</v>
      </c>
      <c r="I6178" s="2">
        <v>-9449</v>
      </c>
    </row>
    <row r="6179" spans="1:9" x14ac:dyDescent="0.3">
      <c r="A6179" t="s">
        <v>91</v>
      </c>
      <c r="B6179" s="1">
        <v>45444</v>
      </c>
      <c r="C6179" s="2">
        <v>8299265</v>
      </c>
      <c r="D6179" s="2">
        <v>84831</v>
      </c>
      <c r="E6179" s="2">
        <v>7145705</v>
      </c>
      <c r="F6179" s="2">
        <v>582</v>
      </c>
      <c r="G6179" s="2">
        <v>80760</v>
      </c>
      <c r="H6179" s="2">
        <v>1153560</v>
      </c>
      <c r="I6179" s="2">
        <v>84249</v>
      </c>
    </row>
    <row r="6180" spans="1:9" x14ac:dyDescent="0.3">
      <c r="A6180" t="s">
        <v>91</v>
      </c>
      <c r="B6180" s="1">
        <v>45474</v>
      </c>
      <c r="C6180" s="2">
        <v>8428222</v>
      </c>
      <c r="D6180" s="2">
        <v>69728</v>
      </c>
      <c r="E6180" s="2">
        <v>7263226</v>
      </c>
      <c r="F6180" s="2">
        <v>58292</v>
      </c>
      <c r="G6180" s="2">
        <v>92543</v>
      </c>
      <c r="H6180" s="2">
        <v>1164996</v>
      </c>
      <c r="I6180" s="2">
        <v>11436</v>
      </c>
    </row>
    <row r="6181" spans="1:9" x14ac:dyDescent="0.3">
      <c r="A6181" t="s">
        <v>91</v>
      </c>
      <c r="B6181" s="1">
        <v>45505</v>
      </c>
      <c r="C6181" s="2">
        <v>8611360</v>
      </c>
      <c r="D6181" s="2">
        <v>92238</v>
      </c>
      <c r="E6181" s="2">
        <v>7373844</v>
      </c>
      <c r="F6181" s="2">
        <v>19718</v>
      </c>
      <c r="G6181" s="2">
        <v>74810</v>
      </c>
      <c r="H6181" s="2">
        <v>1237516</v>
      </c>
      <c r="I6181" s="2">
        <v>72520</v>
      </c>
    </row>
    <row r="6182" spans="1:9" x14ac:dyDescent="0.3">
      <c r="A6182" t="s">
        <v>91</v>
      </c>
      <c r="B6182" s="1">
        <v>45536</v>
      </c>
      <c r="C6182" s="2">
        <v>8766252</v>
      </c>
      <c r="D6182" s="2">
        <v>74624</v>
      </c>
      <c r="E6182" s="2">
        <v>7515903</v>
      </c>
      <c r="F6182" s="2">
        <v>61791</v>
      </c>
      <c r="G6182" s="2">
        <v>53859</v>
      </c>
      <c r="H6182" s="2">
        <v>1250349</v>
      </c>
      <c r="I6182" s="2">
        <v>12833</v>
      </c>
    </row>
    <row r="6183" spans="1:9" x14ac:dyDescent="0.3">
      <c r="A6183" t="s">
        <v>91</v>
      </c>
      <c r="B6183" s="1">
        <v>45566</v>
      </c>
      <c r="C6183" s="2">
        <v>8693543</v>
      </c>
      <c r="D6183" s="2">
        <v>96102</v>
      </c>
      <c r="E6183" s="2">
        <v>7436107</v>
      </c>
      <c r="F6183" s="2">
        <v>89015</v>
      </c>
      <c r="G6183" s="2">
        <v>-113718</v>
      </c>
      <c r="H6183" s="2">
        <v>1257436</v>
      </c>
      <c r="I6183" s="2">
        <v>7087</v>
      </c>
    </row>
    <row r="6184" spans="1:9" x14ac:dyDescent="0.3">
      <c r="A6184" t="s">
        <v>91</v>
      </c>
      <c r="B6184" s="1">
        <v>45597</v>
      </c>
      <c r="C6184" s="2">
        <v>8723263</v>
      </c>
      <c r="D6184" s="2">
        <v>-26409</v>
      </c>
      <c r="E6184" s="2">
        <v>7457101</v>
      </c>
      <c r="F6184" s="2">
        <v>-35135</v>
      </c>
      <c r="G6184" s="2">
        <v>43994</v>
      </c>
      <c r="H6184" s="2">
        <v>1266162</v>
      </c>
      <c r="I6184" s="2">
        <v>8726</v>
      </c>
    </row>
    <row r="6185" spans="1:9" x14ac:dyDescent="0.3">
      <c r="A6185" t="s">
        <v>91</v>
      </c>
      <c r="B6185" s="1">
        <v>45627</v>
      </c>
      <c r="C6185" s="2">
        <v>8619302</v>
      </c>
      <c r="D6185" s="2">
        <v>3335</v>
      </c>
      <c r="E6185" s="2">
        <v>7313969</v>
      </c>
      <c r="F6185" s="2">
        <v>-35836</v>
      </c>
      <c r="G6185" s="2">
        <v>-100142</v>
      </c>
      <c r="H6185" s="2">
        <v>1305333</v>
      </c>
      <c r="I6185" s="2">
        <v>39171</v>
      </c>
    </row>
    <row r="6186" spans="1:9" x14ac:dyDescent="0.3">
      <c r="A6186" t="s">
        <v>91</v>
      </c>
      <c r="B6186" s="1">
        <v>45658</v>
      </c>
      <c r="C6186" s="2">
        <v>8619423</v>
      </c>
      <c r="D6186" s="2">
        <v>28530</v>
      </c>
      <c r="E6186" s="2">
        <v>7281006</v>
      </c>
      <c r="F6186" s="2">
        <v>-4554</v>
      </c>
      <c r="G6186" s="2">
        <v>-950</v>
      </c>
      <c r="H6186" s="2">
        <v>1338417</v>
      </c>
      <c r="I6186" s="2">
        <v>33084</v>
      </c>
    </row>
    <row r="6187" spans="1:9" x14ac:dyDescent="0.3">
      <c r="A6187" t="s">
        <v>91</v>
      </c>
      <c r="B6187" s="1">
        <v>45689</v>
      </c>
      <c r="C6187" s="2">
        <v>8901681</v>
      </c>
      <c r="D6187" s="2">
        <v>167509</v>
      </c>
      <c r="E6187" s="2">
        <v>7501487</v>
      </c>
      <c r="F6187" s="2">
        <v>105732</v>
      </c>
      <c r="G6187" s="2">
        <v>115087</v>
      </c>
      <c r="H6187" s="2">
        <v>1400194</v>
      </c>
      <c r="I6187" s="2">
        <v>61777</v>
      </c>
    </row>
    <row r="6188" spans="1:9" x14ac:dyDescent="0.3">
      <c r="A6188" t="s">
        <v>91</v>
      </c>
      <c r="B6188" s="1">
        <v>45717</v>
      </c>
      <c r="C6188" s="2">
        <v>9055878</v>
      </c>
      <c r="D6188" s="2">
        <v>144606</v>
      </c>
      <c r="E6188" s="2">
        <v>7639051</v>
      </c>
      <c r="F6188" s="2">
        <v>127973</v>
      </c>
      <c r="G6188" s="2">
        <v>-2434</v>
      </c>
      <c r="H6188" s="2">
        <v>1416827</v>
      </c>
      <c r="I6188" s="2">
        <v>16633</v>
      </c>
    </row>
    <row r="6189" spans="1:9" x14ac:dyDescent="0.3">
      <c r="A6189" t="s">
        <v>91</v>
      </c>
      <c r="B6189" s="1">
        <v>45748</v>
      </c>
      <c r="C6189" s="2">
        <v>9002770</v>
      </c>
      <c r="D6189" s="2">
        <v>-70295</v>
      </c>
      <c r="E6189" s="2">
        <v>7597924</v>
      </c>
      <c r="F6189" s="2">
        <v>-58314</v>
      </c>
      <c r="G6189" s="2">
        <v>23333</v>
      </c>
      <c r="H6189" s="2">
        <v>1404846</v>
      </c>
      <c r="I6189" s="2">
        <v>-11981</v>
      </c>
    </row>
    <row r="6190" spans="1:9" x14ac:dyDescent="0.3">
      <c r="A6190" t="s">
        <v>91</v>
      </c>
      <c r="B6190" s="1">
        <v>45778</v>
      </c>
      <c r="C6190" s="2">
        <v>9025232</v>
      </c>
      <c r="D6190" s="2">
        <v>138287</v>
      </c>
      <c r="E6190" s="2">
        <v>7620845</v>
      </c>
      <c r="F6190" s="2">
        <v>138746</v>
      </c>
      <c r="G6190" s="2">
        <v>-80822</v>
      </c>
      <c r="H6190" s="2">
        <v>1404387</v>
      </c>
      <c r="I6190" s="2">
        <v>-459</v>
      </c>
    </row>
    <row r="6191" spans="1:9" x14ac:dyDescent="0.3">
      <c r="A6191" t="s">
        <v>91</v>
      </c>
      <c r="B6191" s="1">
        <v>45809</v>
      </c>
      <c r="C6191" s="2">
        <v>9104553</v>
      </c>
      <c r="D6191" s="2">
        <v>10077</v>
      </c>
      <c r="E6191" s="2">
        <v>7689237</v>
      </c>
      <c r="F6191" s="2">
        <v>-852</v>
      </c>
      <c r="G6191" s="2">
        <v>49173</v>
      </c>
      <c r="H6191" s="2">
        <v>1415316</v>
      </c>
      <c r="I6191" s="2">
        <v>10929</v>
      </c>
    </row>
    <row r="6192" spans="1:9" x14ac:dyDescent="0.3">
      <c r="A6192" t="s">
        <v>91</v>
      </c>
      <c r="B6192" s="1">
        <v>45839</v>
      </c>
      <c r="C6192" s="2">
        <v>9122502</v>
      </c>
      <c r="D6192" s="2">
        <v>41517</v>
      </c>
      <c r="E6192" s="2">
        <v>7710250</v>
      </c>
      <c r="F6192" s="2">
        <v>44581</v>
      </c>
      <c r="G6192" s="2">
        <v>-49175</v>
      </c>
      <c r="H6192" s="2">
        <v>1412252</v>
      </c>
      <c r="I6192" s="2">
        <v>-3064</v>
      </c>
    </row>
    <row r="6193" spans="1:9" x14ac:dyDescent="0.3">
      <c r="A6193" t="s">
        <v>91</v>
      </c>
      <c r="B6193" s="1">
        <v>45870</v>
      </c>
      <c r="C6193" s="2">
        <v>9261833</v>
      </c>
      <c r="D6193" s="2">
        <v>73346</v>
      </c>
      <c r="E6193" s="2">
        <v>7824759</v>
      </c>
      <c r="F6193" s="2">
        <v>48524</v>
      </c>
      <c r="G6193" s="2">
        <v>38036</v>
      </c>
      <c r="H6193" s="2">
        <v>1437074</v>
      </c>
      <c r="I6193" s="2">
        <v>24822</v>
      </c>
    </row>
    <row r="6194" spans="1:9" x14ac:dyDescent="0.3">
      <c r="A6194" t="s">
        <v>91</v>
      </c>
      <c r="B6194" s="1">
        <v>45901</v>
      </c>
      <c r="C6194" s="2">
        <v>9248442</v>
      </c>
      <c r="D6194" s="2">
        <v>3815</v>
      </c>
      <c r="E6194" s="2">
        <v>7832692</v>
      </c>
      <c r="F6194" s="2">
        <v>25139</v>
      </c>
      <c r="G6194" s="2">
        <v>33972</v>
      </c>
      <c r="H6194" s="2">
        <v>1415750</v>
      </c>
      <c r="I6194" s="2">
        <v>-21324</v>
      </c>
    </row>
    <row r="6195" spans="1:9" x14ac:dyDescent="0.3">
      <c r="A6195" t="s">
        <v>91</v>
      </c>
      <c r="B6195" s="1">
        <v>45931</v>
      </c>
      <c r="C6195" s="2">
        <v>9242626</v>
      </c>
      <c r="D6195" s="2">
        <v>-39379</v>
      </c>
      <c r="E6195" s="2">
        <v>7805071</v>
      </c>
      <c r="F6195" s="2">
        <v>-61184</v>
      </c>
      <c r="G6195" s="2">
        <v>10093</v>
      </c>
      <c r="H6195" s="2">
        <v>1437555</v>
      </c>
      <c r="I6195" s="2">
        <v>21805</v>
      </c>
    </row>
    <row r="6196" spans="1:9" hidden="1" x14ac:dyDescent="0.3">
      <c r="A6196" t="s">
        <v>91</v>
      </c>
      <c r="B6196" s="1">
        <v>44896</v>
      </c>
      <c r="C6196" s="2">
        <v>7194684</v>
      </c>
      <c r="D6196" s="2" t="s">
        <v>3</v>
      </c>
      <c r="E6196" s="2">
        <v>6244696</v>
      </c>
      <c r="F6196" s="2" t="s">
        <v>3</v>
      </c>
      <c r="G6196" s="2" t="s">
        <v>3</v>
      </c>
      <c r="H6196" s="2">
        <v>949988</v>
      </c>
      <c r="I6196" s="2">
        <v>44064</v>
      </c>
    </row>
    <row r="6197" spans="1:9" hidden="1" x14ac:dyDescent="0.3">
      <c r="A6197" t="s">
        <v>91</v>
      </c>
      <c r="B6197" s="1">
        <v>44866</v>
      </c>
      <c r="C6197" s="2">
        <v>7184662</v>
      </c>
      <c r="D6197" s="2" t="s">
        <v>3</v>
      </c>
      <c r="E6197" s="2">
        <v>6278738</v>
      </c>
      <c r="F6197" s="2" t="s">
        <v>3</v>
      </c>
      <c r="G6197" s="2" t="s">
        <v>3</v>
      </c>
      <c r="H6197" s="2">
        <v>905924</v>
      </c>
      <c r="I6197" s="2">
        <v>4688</v>
      </c>
    </row>
    <row r="6198" spans="1:9" hidden="1" x14ac:dyDescent="0.3">
      <c r="A6198" t="s">
        <v>91</v>
      </c>
      <c r="B6198" s="1">
        <v>44835</v>
      </c>
      <c r="C6198" s="2">
        <v>7133151</v>
      </c>
      <c r="D6198" s="2" t="s">
        <v>3</v>
      </c>
      <c r="E6198" s="2">
        <v>6231915</v>
      </c>
      <c r="F6198" s="2" t="s">
        <v>3</v>
      </c>
      <c r="G6198" s="2" t="s">
        <v>3</v>
      </c>
      <c r="H6198" s="2">
        <v>901236</v>
      </c>
      <c r="I6198" s="2">
        <v>-18374</v>
      </c>
    </row>
    <row r="6199" spans="1:9" hidden="1" x14ac:dyDescent="0.3">
      <c r="A6199" t="s">
        <v>91</v>
      </c>
      <c r="B6199" s="1">
        <v>44805</v>
      </c>
      <c r="C6199" s="2">
        <v>7251508</v>
      </c>
      <c r="D6199" s="2" t="s">
        <v>3</v>
      </c>
      <c r="E6199" s="2">
        <v>6331898</v>
      </c>
      <c r="F6199" s="2" t="s">
        <v>3</v>
      </c>
      <c r="G6199" s="2" t="s">
        <v>3</v>
      </c>
      <c r="H6199" s="2">
        <v>919610</v>
      </c>
      <c r="I6199" s="2">
        <v>-9463</v>
      </c>
    </row>
    <row r="6200" spans="1:9" hidden="1" x14ac:dyDescent="0.3">
      <c r="A6200" t="s">
        <v>91</v>
      </c>
      <c r="B6200" s="1">
        <v>44774</v>
      </c>
      <c r="C6200" s="2">
        <v>7492694</v>
      </c>
      <c r="D6200" s="2" t="s">
        <v>3</v>
      </c>
      <c r="E6200" s="2">
        <v>6563621</v>
      </c>
      <c r="F6200" s="2" t="s">
        <v>3</v>
      </c>
      <c r="G6200" s="2" t="s">
        <v>3</v>
      </c>
      <c r="H6200" s="2">
        <v>929073</v>
      </c>
      <c r="I6200" s="2">
        <v>45023</v>
      </c>
    </row>
    <row r="6201" spans="1:9" hidden="1" x14ac:dyDescent="0.3">
      <c r="A6201" t="s">
        <v>91</v>
      </c>
      <c r="B6201" s="1">
        <v>44743</v>
      </c>
      <c r="C6201" s="2">
        <v>7485522</v>
      </c>
      <c r="D6201" s="2" t="s">
        <v>3</v>
      </c>
      <c r="E6201" s="2">
        <v>6601472</v>
      </c>
      <c r="F6201" s="2" t="s">
        <v>3</v>
      </c>
      <c r="G6201" s="2" t="s">
        <v>3</v>
      </c>
      <c r="H6201" s="2">
        <v>884050</v>
      </c>
      <c r="I6201" s="2">
        <v>-11387</v>
      </c>
    </row>
    <row r="6202" spans="1:9" hidden="1" x14ac:dyDescent="0.3">
      <c r="A6202" t="s">
        <v>91</v>
      </c>
      <c r="B6202" s="1">
        <v>44713</v>
      </c>
      <c r="C6202" s="2">
        <v>7416943</v>
      </c>
      <c r="D6202" s="2" t="s">
        <v>3</v>
      </c>
      <c r="E6202" s="2">
        <v>6521506</v>
      </c>
      <c r="F6202" s="2" t="s">
        <v>3</v>
      </c>
      <c r="G6202" s="2" t="s">
        <v>3</v>
      </c>
      <c r="H6202" s="2">
        <v>895437</v>
      </c>
      <c r="I6202" s="2">
        <v>-17405</v>
      </c>
    </row>
    <row r="6203" spans="1:9" hidden="1" x14ac:dyDescent="0.3">
      <c r="A6203" t="s">
        <v>91</v>
      </c>
      <c r="B6203" s="1">
        <v>44682</v>
      </c>
      <c r="C6203" s="2">
        <v>7410761</v>
      </c>
      <c r="D6203" s="2" t="s">
        <v>3</v>
      </c>
      <c r="E6203" s="2">
        <v>6497919</v>
      </c>
      <c r="F6203" s="2" t="s">
        <v>3</v>
      </c>
      <c r="G6203" s="2" t="s">
        <v>3</v>
      </c>
      <c r="H6203" s="2">
        <v>912842</v>
      </c>
      <c r="I6203" s="2">
        <v>-74720</v>
      </c>
    </row>
    <row r="6204" spans="1:9" hidden="1" x14ac:dyDescent="0.3">
      <c r="A6204" t="s">
        <v>91</v>
      </c>
      <c r="B6204" s="1">
        <v>44652</v>
      </c>
      <c r="C6204" s="2">
        <v>7443120</v>
      </c>
      <c r="D6204" s="2" t="s">
        <v>3</v>
      </c>
      <c r="E6204" s="2">
        <v>6455558</v>
      </c>
      <c r="F6204" s="2" t="s">
        <v>3</v>
      </c>
      <c r="G6204" s="2" t="s">
        <v>3</v>
      </c>
      <c r="H6204" s="2">
        <v>987562</v>
      </c>
      <c r="I6204" s="2">
        <v>-20836</v>
      </c>
    </row>
    <row r="6205" spans="1:9" hidden="1" x14ac:dyDescent="0.3">
      <c r="A6205" t="s">
        <v>91</v>
      </c>
      <c r="B6205" s="1">
        <v>44621</v>
      </c>
      <c r="C6205" s="2">
        <v>7604215</v>
      </c>
      <c r="D6205" s="2" t="s">
        <v>3</v>
      </c>
      <c r="E6205" s="2">
        <v>6595817</v>
      </c>
      <c r="F6205" s="2" t="s">
        <v>3</v>
      </c>
      <c r="G6205" s="2" t="s">
        <v>3</v>
      </c>
      <c r="H6205" s="2">
        <v>1008398</v>
      </c>
      <c r="I6205" s="2">
        <v>-16426</v>
      </c>
    </row>
    <row r="6206" spans="1:9" hidden="1" x14ac:dyDescent="0.3">
      <c r="A6206" t="s">
        <v>91</v>
      </c>
      <c r="B6206" s="1">
        <v>44593</v>
      </c>
      <c r="C6206" s="2">
        <v>7703454</v>
      </c>
      <c r="D6206" s="2" t="s">
        <v>3</v>
      </c>
      <c r="E6206" s="2">
        <v>6678630</v>
      </c>
      <c r="F6206" s="2" t="s">
        <v>3</v>
      </c>
      <c r="G6206" s="2" t="s">
        <v>3</v>
      </c>
      <c r="H6206" s="2">
        <v>1024824</v>
      </c>
      <c r="I6206" s="2">
        <v>27964</v>
      </c>
    </row>
    <row r="6207" spans="1:9" hidden="1" x14ac:dyDescent="0.3">
      <c r="A6207" t="s">
        <v>91</v>
      </c>
      <c r="B6207" s="1">
        <v>44562</v>
      </c>
      <c r="C6207" s="2">
        <v>7655666</v>
      </c>
      <c r="D6207" s="2" t="s">
        <v>3</v>
      </c>
      <c r="E6207" s="2">
        <v>6658806</v>
      </c>
      <c r="F6207" s="2" t="s">
        <v>3</v>
      </c>
      <c r="G6207" s="2" t="s">
        <v>3</v>
      </c>
      <c r="H6207" s="2">
        <v>996860</v>
      </c>
      <c r="I6207" s="2">
        <v>9450</v>
      </c>
    </row>
    <row r="6208" spans="1:9" hidden="1" x14ac:dyDescent="0.3">
      <c r="A6208" t="s">
        <v>91</v>
      </c>
      <c r="B6208" s="1">
        <v>44531</v>
      </c>
      <c r="C6208" s="2">
        <v>7740370</v>
      </c>
      <c r="D6208" s="2" t="s">
        <v>3</v>
      </c>
      <c r="E6208" s="2">
        <v>6752960</v>
      </c>
      <c r="F6208" s="2" t="s">
        <v>3</v>
      </c>
      <c r="G6208" s="2" t="s">
        <v>3</v>
      </c>
      <c r="H6208" s="2">
        <v>987410</v>
      </c>
      <c r="I6208" s="2">
        <v>11988</v>
      </c>
    </row>
    <row r="6209" spans="1:9" hidden="1" x14ac:dyDescent="0.3">
      <c r="A6209" t="s">
        <v>91</v>
      </c>
      <c r="B6209" s="1">
        <v>44501</v>
      </c>
      <c r="C6209" s="2">
        <v>7687861</v>
      </c>
      <c r="D6209" s="2" t="s">
        <v>3</v>
      </c>
      <c r="E6209" s="2">
        <v>6712439</v>
      </c>
      <c r="F6209" s="2" t="s">
        <v>3</v>
      </c>
      <c r="G6209" s="2" t="s">
        <v>3</v>
      </c>
      <c r="H6209" s="2">
        <v>975422</v>
      </c>
      <c r="I6209" s="2">
        <v>12806</v>
      </c>
    </row>
    <row r="6210" spans="1:9" hidden="1" x14ac:dyDescent="0.3">
      <c r="A6210" t="s">
        <v>91</v>
      </c>
      <c r="B6210" s="1">
        <v>44470</v>
      </c>
      <c r="C6210" s="2">
        <v>7660672</v>
      </c>
      <c r="D6210" s="2" t="s">
        <v>3</v>
      </c>
      <c r="E6210" s="2">
        <v>6698056</v>
      </c>
      <c r="F6210" s="2" t="s">
        <v>3</v>
      </c>
      <c r="G6210" s="2" t="s">
        <v>3</v>
      </c>
      <c r="H6210" s="2">
        <v>962616</v>
      </c>
      <c r="I6210" s="2">
        <v>34234</v>
      </c>
    </row>
    <row r="6211" spans="1:9" hidden="1" x14ac:dyDescent="0.3">
      <c r="A6211" t="s">
        <v>91</v>
      </c>
      <c r="B6211" s="1">
        <v>44440</v>
      </c>
      <c r="C6211" s="2">
        <v>7570896</v>
      </c>
      <c r="D6211" s="2" t="s">
        <v>3</v>
      </c>
      <c r="E6211" s="2">
        <v>6642514</v>
      </c>
      <c r="F6211" s="2" t="s">
        <v>3</v>
      </c>
      <c r="G6211" s="2" t="s">
        <v>3</v>
      </c>
      <c r="H6211" s="2">
        <v>928382</v>
      </c>
      <c r="I6211" s="2">
        <v>3929</v>
      </c>
    </row>
    <row r="6212" spans="1:9" hidden="1" x14ac:dyDescent="0.3">
      <c r="A6212" t="s">
        <v>91</v>
      </c>
      <c r="B6212" s="1">
        <v>44409</v>
      </c>
      <c r="C6212" s="2">
        <v>7578812</v>
      </c>
      <c r="D6212" s="2" t="s">
        <v>3</v>
      </c>
      <c r="E6212" s="2">
        <v>6654359</v>
      </c>
      <c r="F6212" s="2" t="s">
        <v>3</v>
      </c>
      <c r="G6212" s="2" t="s">
        <v>3</v>
      </c>
      <c r="H6212" s="2">
        <v>924453</v>
      </c>
      <c r="I6212" s="2">
        <v>-465</v>
      </c>
    </row>
    <row r="6213" spans="1:9" hidden="1" x14ac:dyDescent="0.3">
      <c r="A6213" t="s">
        <v>91</v>
      </c>
      <c r="B6213" s="1">
        <v>44378</v>
      </c>
      <c r="C6213" s="2">
        <v>7567320</v>
      </c>
      <c r="D6213" s="2" t="s">
        <v>3</v>
      </c>
      <c r="E6213" s="2">
        <v>6642402</v>
      </c>
      <c r="F6213" s="2" t="s">
        <v>3</v>
      </c>
      <c r="G6213" s="2" t="s">
        <v>3</v>
      </c>
      <c r="H6213" s="2">
        <v>924918</v>
      </c>
      <c r="I6213" s="2">
        <v>-1829</v>
      </c>
    </row>
    <row r="6214" spans="1:9" hidden="1" x14ac:dyDescent="0.3">
      <c r="A6214" t="s">
        <v>91</v>
      </c>
      <c r="B6214" s="1">
        <v>44348</v>
      </c>
      <c r="C6214" s="2">
        <v>7518880</v>
      </c>
      <c r="D6214" s="2" t="s">
        <v>3</v>
      </c>
      <c r="E6214" s="2">
        <v>6592133</v>
      </c>
      <c r="F6214" s="2" t="s">
        <v>3</v>
      </c>
      <c r="G6214" s="2" t="s">
        <v>3</v>
      </c>
      <c r="H6214" s="2">
        <v>926747</v>
      </c>
      <c r="I6214" s="2">
        <v>38901</v>
      </c>
    </row>
    <row r="6215" spans="1:9" hidden="1" x14ac:dyDescent="0.3">
      <c r="A6215" t="s">
        <v>91</v>
      </c>
      <c r="B6215" s="1">
        <v>44317</v>
      </c>
      <c r="C6215" s="2">
        <v>7144656</v>
      </c>
      <c r="D6215" s="2" t="s">
        <v>3</v>
      </c>
      <c r="E6215" s="2">
        <v>6256810</v>
      </c>
      <c r="F6215" s="2" t="s">
        <v>3</v>
      </c>
      <c r="G6215" s="2" t="s">
        <v>3</v>
      </c>
      <c r="H6215" s="2">
        <v>887846</v>
      </c>
      <c r="I6215" s="2">
        <v>-17925</v>
      </c>
    </row>
    <row r="6216" spans="1:9" hidden="1" x14ac:dyDescent="0.3">
      <c r="A6216" t="s">
        <v>91</v>
      </c>
      <c r="B6216" s="1">
        <v>44287</v>
      </c>
      <c r="C6216" s="2">
        <v>7078612</v>
      </c>
      <c r="D6216" s="2" t="s">
        <v>3</v>
      </c>
      <c r="E6216" s="2">
        <v>6172841</v>
      </c>
      <c r="F6216" s="2" t="s">
        <v>3</v>
      </c>
      <c r="G6216" s="2" t="s">
        <v>3</v>
      </c>
      <c r="H6216" s="2">
        <v>905771</v>
      </c>
      <c r="I6216" s="2">
        <v>-60728</v>
      </c>
    </row>
    <row r="6217" spans="1:9" hidden="1" x14ac:dyDescent="0.3">
      <c r="A6217" t="s">
        <v>91</v>
      </c>
      <c r="B6217" s="1">
        <v>44256</v>
      </c>
      <c r="C6217" s="2">
        <v>7038287</v>
      </c>
      <c r="D6217" s="2" t="s">
        <v>3</v>
      </c>
      <c r="E6217" s="2">
        <v>6071788</v>
      </c>
      <c r="F6217" s="2" t="s">
        <v>3</v>
      </c>
      <c r="G6217" s="2" t="s">
        <v>3</v>
      </c>
      <c r="H6217" s="2">
        <v>966499</v>
      </c>
      <c r="I6217" s="2">
        <v>-69073</v>
      </c>
    </row>
    <row r="6218" spans="1:9" hidden="1" x14ac:dyDescent="0.3">
      <c r="A6218" t="s">
        <v>91</v>
      </c>
      <c r="B6218" s="1">
        <v>44228</v>
      </c>
      <c r="C6218" s="2">
        <v>7108788</v>
      </c>
      <c r="D6218" s="2" t="s">
        <v>3</v>
      </c>
      <c r="E6218" s="2">
        <v>6073216</v>
      </c>
      <c r="F6218" s="2" t="s">
        <v>3</v>
      </c>
      <c r="G6218" s="2" t="s">
        <v>3</v>
      </c>
      <c r="H6218" s="2">
        <v>1035572</v>
      </c>
      <c r="I6218" s="2">
        <v>20495</v>
      </c>
    </row>
    <row r="6219" spans="1:9" hidden="1" x14ac:dyDescent="0.3">
      <c r="A6219" t="s">
        <v>91</v>
      </c>
      <c r="B6219" s="1">
        <v>44197</v>
      </c>
      <c r="C6219" s="2">
        <v>7128022</v>
      </c>
      <c r="D6219" s="2" t="s">
        <v>3</v>
      </c>
      <c r="E6219" s="2">
        <v>6112945</v>
      </c>
      <c r="F6219" s="2" t="s">
        <v>3</v>
      </c>
      <c r="G6219" s="2" t="s">
        <v>3</v>
      </c>
      <c r="H6219" s="2">
        <v>1015077</v>
      </c>
      <c r="I6219" s="2">
        <v>-12237</v>
      </c>
    </row>
    <row r="6220" spans="1:9" hidden="1" x14ac:dyDescent="0.3">
      <c r="A6220" t="s">
        <v>91</v>
      </c>
      <c r="B6220" s="1">
        <v>44166</v>
      </c>
      <c r="C6220" s="2">
        <v>7070737</v>
      </c>
      <c r="D6220" s="2" t="s">
        <v>3</v>
      </c>
      <c r="E6220" s="2">
        <v>6043423</v>
      </c>
      <c r="F6220" s="2" t="s">
        <v>3</v>
      </c>
      <c r="G6220" s="2" t="s">
        <v>3</v>
      </c>
      <c r="H6220" s="2">
        <v>1027314</v>
      </c>
      <c r="I6220" s="2">
        <v>3225</v>
      </c>
    </row>
    <row r="6221" spans="1:9" hidden="1" x14ac:dyDescent="0.3">
      <c r="A6221" t="s">
        <v>91</v>
      </c>
      <c r="B6221" s="1">
        <v>44136</v>
      </c>
      <c r="C6221" s="2">
        <v>7051183</v>
      </c>
      <c r="D6221" s="2" t="s">
        <v>3</v>
      </c>
      <c r="E6221" s="2">
        <v>6027094</v>
      </c>
      <c r="F6221" s="2" t="s">
        <v>3</v>
      </c>
      <c r="G6221" s="2" t="s">
        <v>3</v>
      </c>
      <c r="H6221" s="2">
        <v>1024089</v>
      </c>
      <c r="I6221" s="2">
        <v>12956</v>
      </c>
    </row>
    <row r="6222" spans="1:9" hidden="1" x14ac:dyDescent="0.3">
      <c r="A6222" t="s">
        <v>91</v>
      </c>
      <c r="B6222" s="1">
        <v>44105</v>
      </c>
      <c r="C6222" s="2">
        <v>7070427</v>
      </c>
      <c r="D6222" s="2" t="s">
        <v>3</v>
      </c>
      <c r="E6222" s="2">
        <v>6059294</v>
      </c>
      <c r="F6222" s="2" t="s">
        <v>3</v>
      </c>
      <c r="G6222" s="2" t="s">
        <v>3</v>
      </c>
      <c r="H6222" s="2">
        <v>1011133</v>
      </c>
      <c r="I6222" s="2">
        <v>-6164</v>
      </c>
    </row>
    <row r="6223" spans="1:9" hidden="1" x14ac:dyDescent="0.3">
      <c r="A6223" t="s">
        <v>91</v>
      </c>
      <c r="B6223" s="1">
        <v>44075</v>
      </c>
      <c r="C6223" s="2">
        <v>7069204</v>
      </c>
      <c r="D6223" s="2" t="s">
        <v>3</v>
      </c>
      <c r="E6223" s="2">
        <v>6051907</v>
      </c>
      <c r="F6223" s="2" t="s">
        <v>3</v>
      </c>
      <c r="G6223" s="2" t="s">
        <v>3</v>
      </c>
      <c r="H6223" s="2">
        <v>1017297</v>
      </c>
      <c r="I6223" s="2">
        <v>-30333</v>
      </c>
    </row>
    <row r="6224" spans="1:9" hidden="1" x14ac:dyDescent="0.3">
      <c r="A6224" t="s">
        <v>91</v>
      </c>
      <c r="B6224" s="1">
        <v>44044</v>
      </c>
      <c r="C6224" s="2">
        <v>7082017</v>
      </c>
      <c r="D6224" s="2" t="s">
        <v>3</v>
      </c>
      <c r="E6224" s="2">
        <v>6034387</v>
      </c>
      <c r="F6224" s="2" t="s">
        <v>3</v>
      </c>
      <c r="G6224" s="2" t="s">
        <v>3</v>
      </c>
      <c r="H6224" s="2">
        <v>1047630</v>
      </c>
      <c r="I6224" s="2">
        <v>8079</v>
      </c>
    </row>
    <row r="6225" spans="1:9" hidden="1" x14ac:dyDescent="0.3">
      <c r="A6225" t="s">
        <v>91</v>
      </c>
      <c r="B6225" s="1">
        <v>44013</v>
      </c>
      <c r="C6225" s="2">
        <v>7096220</v>
      </c>
      <c r="D6225" s="2" t="s">
        <v>3</v>
      </c>
      <c r="E6225" s="2">
        <v>6056669</v>
      </c>
      <c r="F6225" s="2" t="s">
        <v>3</v>
      </c>
      <c r="G6225" s="2" t="s">
        <v>3</v>
      </c>
      <c r="H6225" s="2">
        <v>1039551</v>
      </c>
      <c r="I6225" s="2">
        <v>-1098</v>
      </c>
    </row>
    <row r="6226" spans="1:9" hidden="1" x14ac:dyDescent="0.3">
      <c r="A6226" t="s">
        <v>91</v>
      </c>
      <c r="B6226" s="1">
        <v>43983</v>
      </c>
      <c r="C6226" s="2">
        <v>7052125</v>
      </c>
      <c r="D6226" s="2" t="s">
        <v>3</v>
      </c>
      <c r="E6226" s="2">
        <v>6011476</v>
      </c>
      <c r="F6226" s="2" t="s">
        <v>3</v>
      </c>
      <c r="G6226" s="2" t="s">
        <v>3</v>
      </c>
      <c r="H6226" s="2">
        <v>1040649</v>
      </c>
      <c r="I6226" s="2">
        <v>78722</v>
      </c>
    </row>
    <row r="6227" spans="1:9" hidden="1" x14ac:dyDescent="0.3">
      <c r="A6227" t="s">
        <v>91</v>
      </c>
      <c r="B6227" s="1">
        <v>43952</v>
      </c>
      <c r="C6227" s="2">
        <v>6978051</v>
      </c>
      <c r="D6227" s="2" t="s">
        <v>3</v>
      </c>
      <c r="E6227" s="2">
        <v>6016124</v>
      </c>
      <c r="F6227" s="2" t="s">
        <v>3</v>
      </c>
      <c r="G6227" s="2" t="s">
        <v>3</v>
      </c>
      <c r="H6227" s="2">
        <v>961927</v>
      </c>
      <c r="I6227" s="2">
        <v>80726</v>
      </c>
    </row>
    <row r="6228" spans="1:9" hidden="1" x14ac:dyDescent="0.3">
      <c r="A6228" t="s">
        <v>91</v>
      </c>
      <c r="B6228" s="1">
        <v>43922</v>
      </c>
      <c r="C6228" s="2">
        <v>6903087</v>
      </c>
      <c r="D6228" s="2" t="s">
        <v>3</v>
      </c>
      <c r="E6228" s="2">
        <v>6021886</v>
      </c>
      <c r="F6228" s="2" t="s">
        <v>3</v>
      </c>
      <c r="G6228" s="2" t="s">
        <v>3</v>
      </c>
      <c r="H6228" s="2">
        <v>881201</v>
      </c>
      <c r="I6228" s="2">
        <v>151692</v>
      </c>
    </row>
    <row r="6229" spans="1:9" hidden="1" x14ac:dyDescent="0.3">
      <c r="A6229" t="s">
        <v>91</v>
      </c>
      <c r="B6229" s="1">
        <v>43891</v>
      </c>
      <c r="C6229" s="2">
        <v>6949484</v>
      </c>
      <c r="D6229" s="2" t="s">
        <v>3</v>
      </c>
      <c r="E6229" s="2">
        <v>6219975</v>
      </c>
      <c r="F6229" s="2" t="s">
        <v>3</v>
      </c>
      <c r="G6229" s="2" t="s">
        <v>3</v>
      </c>
      <c r="H6229" s="2">
        <v>729509</v>
      </c>
      <c r="I6229" s="2">
        <v>-7945</v>
      </c>
    </row>
    <row r="6230" spans="1:9" hidden="1" x14ac:dyDescent="0.3">
      <c r="A6230" t="s">
        <v>91</v>
      </c>
      <c r="B6230" s="1">
        <v>43862</v>
      </c>
      <c r="C6230" s="2">
        <v>7226047</v>
      </c>
      <c r="D6230" s="2" t="s">
        <v>3</v>
      </c>
      <c r="E6230" s="2">
        <v>6488593</v>
      </c>
      <c r="F6230" s="2" t="s">
        <v>3</v>
      </c>
      <c r="G6230" s="2" t="s">
        <v>3</v>
      </c>
      <c r="H6230" s="2">
        <v>737454</v>
      </c>
      <c r="I6230" s="2">
        <v>31705</v>
      </c>
    </row>
    <row r="6231" spans="1:9" hidden="1" x14ac:dyDescent="0.3">
      <c r="A6231" t="s">
        <v>91</v>
      </c>
      <c r="B6231" s="1">
        <v>43831</v>
      </c>
      <c r="C6231" s="2">
        <v>7027316</v>
      </c>
      <c r="D6231" s="2" t="s">
        <v>3</v>
      </c>
      <c r="E6231" s="2">
        <v>6321567</v>
      </c>
      <c r="F6231" s="2" t="s">
        <v>3</v>
      </c>
      <c r="G6231" s="2" t="s">
        <v>3</v>
      </c>
      <c r="H6231" s="2">
        <v>705749</v>
      </c>
      <c r="I6231" s="2">
        <v>-10308</v>
      </c>
    </row>
    <row r="6232" spans="1:9" x14ac:dyDescent="0.3">
      <c r="A6232" t="s">
        <v>92</v>
      </c>
      <c r="B6232" s="1">
        <v>45931</v>
      </c>
      <c r="C6232" s="2">
        <v>3879890</v>
      </c>
      <c r="D6232" s="2">
        <v>-9921</v>
      </c>
      <c r="E6232" s="2">
        <v>3493699</v>
      </c>
      <c r="F6232" s="2">
        <v>-24768</v>
      </c>
      <c r="G6232" s="2">
        <v>12653</v>
      </c>
      <c r="H6232" s="2">
        <v>386191</v>
      </c>
      <c r="I6232" s="2">
        <v>14847</v>
      </c>
    </row>
    <row r="6233" spans="1:9" x14ac:dyDescent="0.3">
      <c r="A6233" t="s">
        <v>92</v>
      </c>
      <c r="B6233" s="1">
        <v>45901</v>
      </c>
      <c r="C6233" s="2">
        <v>3886776</v>
      </c>
      <c r="D6233" s="2">
        <v>-56298</v>
      </c>
      <c r="E6233" s="2">
        <v>3515432</v>
      </c>
      <c r="F6233" s="2">
        <v>-16336</v>
      </c>
      <c r="G6233" s="2">
        <v>15953</v>
      </c>
      <c r="H6233" s="2">
        <v>371344</v>
      </c>
      <c r="I6233" s="2">
        <v>-39962</v>
      </c>
    </row>
    <row r="6234" spans="1:9" x14ac:dyDescent="0.3">
      <c r="A6234" t="s">
        <v>92</v>
      </c>
      <c r="B6234" s="1">
        <v>45870</v>
      </c>
      <c r="C6234" s="2">
        <v>3933109</v>
      </c>
      <c r="D6234" s="2">
        <v>-6957</v>
      </c>
      <c r="E6234" s="2">
        <v>3521803</v>
      </c>
      <c r="F6234" s="2">
        <v>-8699</v>
      </c>
      <c r="G6234" s="2">
        <v>30610</v>
      </c>
      <c r="H6234" s="2">
        <v>411306</v>
      </c>
      <c r="I6234" s="2">
        <v>1742</v>
      </c>
    </row>
    <row r="6235" spans="1:9" x14ac:dyDescent="0.3">
      <c r="A6235" t="s">
        <v>92</v>
      </c>
      <c r="B6235" s="1">
        <v>45839</v>
      </c>
      <c r="C6235" s="2">
        <v>3898931</v>
      </c>
      <c r="D6235" s="2">
        <v>14025</v>
      </c>
      <c r="E6235" s="2">
        <v>3489367</v>
      </c>
      <c r="F6235" s="2">
        <v>7024</v>
      </c>
      <c r="G6235" s="2">
        <v>-9174</v>
      </c>
      <c r="H6235" s="2">
        <v>409564</v>
      </c>
      <c r="I6235" s="2">
        <v>7001</v>
      </c>
    </row>
    <row r="6236" spans="1:9" x14ac:dyDescent="0.3">
      <c r="A6236" t="s">
        <v>92</v>
      </c>
      <c r="B6236" s="1">
        <v>45809</v>
      </c>
      <c r="C6236" s="2">
        <v>3905936</v>
      </c>
      <c r="D6236" s="2">
        <v>-3794</v>
      </c>
      <c r="E6236" s="2">
        <v>3503373</v>
      </c>
      <c r="F6236" s="2">
        <v>-8784</v>
      </c>
      <c r="G6236" s="2">
        <v>31043</v>
      </c>
      <c r="H6236" s="2">
        <v>402563</v>
      </c>
      <c r="I6236" s="2">
        <v>4990</v>
      </c>
    </row>
    <row r="6237" spans="1:9" x14ac:dyDescent="0.3">
      <c r="A6237" t="s">
        <v>92</v>
      </c>
      <c r="B6237" s="1">
        <v>45778</v>
      </c>
      <c r="C6237" s="2">
        <v>3886080</v>
      </c>
      <c r="D6237" s="2">
        <v>-358</v>
      </c>
      <c r="E6237" s="2">
        <v>3488507</v>
      </c>
      <c r="F6237" s="2">
        <v>15942</v>
      </c>
      <c r="G6237" s="2">
        <v>-23028</v>
      </c>
      <c r="H6237" s="2">
        <v>397573</v>
      </c>
      <c r="I6237" s="2">
        <v>-16300</v>
      </c>
    </row>
    <row r="6238" spans="1:9" x14ac:dyDescent="0.3">
      <c r="A6238" t="s">
        <v>92</v>
      </c>
      <c r="B6238" s="1">
        <v>45748</v>
      </c>
      <c r="C6238" s="2">
        <v>3919891</v>
      </c>
      <c r="D6238" s="2">
        <v>-11347</v>
      </c>
      <c r="E6238" s="2">
        <v>3506018</v>
      </c>
      <c r="F6238" s="2">
        <v>-5443</v>
      </c>
      <c r="G6238" s="2">
        <v>19809</v>
      </c>
      <c r="H6238" s="2">
        <v>413873</v>
      </c>
      <c r="I6238" s="2">
        <v>-5904</v>
      </c>
    </row>
    <row r="6239" spans="1:9" x14ac:dyDescent="0.3">
      <c r="A6239" t="s">
        <v>92</v>
      </c>
      <c r="B6239" s="1">
        <v>45717</v>
      </c>
      <c r="C6239" s="2">
        <v>3935576</v>
      </c>
      <c r="D6239" s="2">
        <v>25691</v>
      </c>
      <c r="E6239" s="2">
        <v>3515799</v>
      </c>
      <c r="F6239" s="2">
        <v>40904</v>
      </c>
      <c r="G6239" s="2">
        <v>9699</v>
      </c>
      <c r="H6239" s="2">
        <v>419777</v>
      </c>
      <c r="I6239" s="2">
        <v>-15213</v>
      </c>
    </row>
    <row r="6240" spans="1:9" x14ac:dyDescent="0.3">
      <c r="A6240" t="s">
        <v>92</v>
      </c>
      <c r="B6240" s="1">
        <v>45689</v>
      </c>
      <c r="C6240" s="2">
        <v>3910097</v>
      </c>
      <c r="D6240" s="2">
        <v>39886</v>
      </c>
      <c r="E6240" s="2">
        <v>3475107</v>
      </c>
      <c r="F6240" s="2">
        <v>-21669</v>
      </c>
      <c r="G6240" s="2">
        <v>60864</v>
      </c>
      <c r="H6240" s="2">
        <v>434990</v>
      </c>
      <c r="I6240" s="2">
        <v>61555</v>
      </c>
    </row>
    <row r="6241" spans="1:9" x14ac:dyDescent="0.3">
      <c r="A6241" t="s">
        <v>92</v>
      </c>
      <c r="B6241" s="1">
        <v>45658</v>
      </c>
      <c r="C6241" s="2">
        <v>3818745</v>
      </c>
      <c r="D6241" s="2">
        <v>42311</v>
      </c>
      <c r="E6241" s="2">
        <v>3445310</v>
      </c>
      <c r="F6241" s="2">
        <v>-24198</v>
      </c>
      <c r="G6241" s="2">
        <v>-1869</v>
      </c>
      <c r="H6241" s="2">
        <v>373435</v>
      </c>
      <c r="I6241" s="2">
        <v>66509</v>
      </c>
    </row>
    <row r="6242" spans="1:9" x14ac:dyDescent="0.3">
      <c r="A6242" t="s">
        <v>92</v>
      </c>
      <c r="B6242" s="1">
        <v>45627</v>
      </c>
      <c r="C6242" s="2">
        <v>3792493</v>
      </c>
      <c r="D6242" s="2">
        <v>-37799</v>
      </c>
      <c r="E6242" s="2">
        <v>3485567</v>
      </c>
      <c r="F6242" s="2">
        <v>-40087</v>
      </c>
      <c r="G6242" s="2">
        <v>-36234</v>
      </c>
      <c r="H6242" s="2">
        <v>306926</v>
      </c>
      <c r="I6242" s="2">
        <v>2288</v>
      </c>
    </row>
    <row r="6243" spans="1:9" x14ac:dyDescent="0.3">
      <c r="A6243" t="s">
        <v>92</v>
      </c>
      <c r="B6243" s="1">
        <v>45597</v>
      </c>
      <c r="C6243" s="2">
        <v>3861856</v>
      </c>
      <c r="D6243" s="2">
        <v>-8469</v>
      </c>
      <c r="E6243" s="2">
        <v>3557218</v>
      </c>
      <c r="F6243" s="2">
        <v>-1064</v>
      </c>
      <c r="G6243" s="2">
        <v>27781</v>
      </c>
      <c r="H6243" s="2">
        <v>304638</v>
      </c>
      <c r="I6243" s="2">
        <v>-7405</v>
      </c>
    </row>
    <row r="6244" spans="1:9" x14ac:dyDescent="0.3">
      <c r="A6244" t="s">
        <v>92</v>
      </c>
      <c r="B6244" s="1">
        <v>45566</v>
      </c>
      <c r="C6244" s="2">
        <v>3856251</v>
      </c>
      <c r="D6244" s="2">
        <v>8810</v>
      </c>
      <c r="E6244" s="2">
        <v>3544208</v>
      </c>
      <c r="F6244" s="2">
        <v>15093</v>
      </c>
      <c r="G6244" s="2">
        <v>-56526</v>
      </c>
      <c r="H6244" s="2">
        <v>312043</v>
      </c>
      <c r="I6244" s="2">
        <v>-6283</v>
      </c>
    </row>
    <row r="6245" spans="1:9" x14ac:dyDescent="0.3">
      <c r="A6245" t="s">
        <v>92</v>
      </c>
      <c r="B6245" s="1">
        <v>45536</v>
      </c>
      <c r="C6245" s="2">
        <v>3914130</v>
      </c>
      <c r="D6245" s="2">
        <v>6373</v>
      </c>
      <c r="E6245" s="2">
        <v>3595804</v>
      </c>
      <c r="F6245" s="2">
        <v>-4762</v>
      </c>
      <c r="G6245" s="2">
        <v>29905</v>
      </c>
      <c r="H6245" s="2">
        <v>318326</v>
      </c>
      <c r="I6245" s="2">
        <v>11135</v>
      </c>
    </row>
    <row r="6246" spans="1:9" x14ac:dyDescent="0.3">
      <c r="A6246" t="s">
        <v>92</v>
      </c>
      <c r="B6246" s="1">
        <v>45505</v>
      </c>
      <c r="C6246" s="2">
        <v>3876375</v>
      </c>
      <c r="D6246" s="2">
        <v>5507</v>
      </c>
      <c r="E6246" s="2">
        <v>3569184</v>
      </c>
      <c r="F6246" s="2">
        <v>-29832</v>
      </c>
      <c r="G6246" s="2">
        <v>34379</v>
      </c>
      <c r="H6246" s="2">
        <v>307191</v>
      </c>
      <c r="I6246" s="2">
        <v>35339</v>
      </c>
    </row>
    <row r="6247" spans="1:9" x14ac:dyDescent="0.3">
      <c r="A6247" t="s">
        <v>92</v>
      </c>
      <c r="B6247" s="1">
        <v>45474</v>
      </c>
      <c r="C6247" s="2">
        <v>3846436</v>
      </c>
      <c r="D6247" s="2">
        <v>-30014</v>
      </c>
      <c r="E6247" s="2">
        <v>3574584</v>
      </c>
      <c r="F6247" s="2">
        <v>-33346</v>
      </c>
      <c r="G6247" s="2">
        <v>49482</v>
      </c>
      <c r="H6247" s="2">
        <v>271852</v>
      </c>
      <c r="I6247" s="2">
        <v>3332</v>
      </c>
    </row>
    <row r="6248" spans="1:9" x14ac:dyDescent="0.3">
      <c r="A6248" t="s">
        <v>92</v>
      </c>
      <c r="B6248" s="1">
        <v>45444</v>
      </c>
      <c r="C6248" s="2">
        <v>3831011</v>
      </c>
      <c r="D6248" s="2">
        <v>7026</v>
      </c>
      <c r="E6248" s="2">
        <v>3562491</v>
      </c>
      <c r="F6248" s="2">
        <v>-6652</v>
      </c>
      <c r="G6248" s="2">
        <v>34458</v>
      </c>
      <c r="H6248" s="2">
        <v>268520</v>
      </c>
      <c r="I6248" s="2">
        <v>13678</v>
      </c>
    </row>
    <row r="6249" spans="1:9" x14ac:dyDescent="0.3">
      <c r="A6249" t="s">
        <v>92</v>
      </c>
      <c r="B6249" s="1">
        <v>45413</v>
      </c>
      <c r="C6249" s="2">
        <v>3797680</v>
      </c>
      <c r="D6249" s="2">
        <v>-19157</v>
      </c>
      <c r="E6249" s="2">
        <v>3542838</v>
      </c>
      <c r="F6249" s="2">
        <v>-11284</v>
      </c>
      <c r="G6249" s="2">
        <v>31622</v>
      </c>
      <c r="H6249" s="2">
        <v>254842</v>
      </c>
      <c r="I6249" s="2">
        <v>-7873</v>
      </c>
    </row>
    <row r="6250" spans="1:9" x14ac:dyDescent="0.3">
      <c r="A6250" t="s">
        <v>92</v>
      </c>
      <c r="B6250" s="1">
        <v>45383</v>
      </c>
      <c r="C6250" s="2">
        <v>3787246</v>
      </c>
      <c r="D6250" s="2">
        <v>35302</v>
      </c>
      <c r="E6250" s="2">
        <v>3524531</v>
      </c>
      <c r="F6250" s="2">
        <v>39544</v>
      </c>
      <c r="G6250" s="2">
        <v>-54758</v>
      </c>
      <c r="H6250" s="2">
        <v>262715</v>
      </c>
      <c r="I6250" s="2">
        <v>-4242</v>
      </c>
    </row>
    <row r="6251" spans="1:9" x14ac:dyDescent="0.3">
      <c r="A6251" t="s">
        <v>92</v>
      </c>
      <c r="B6251" s="1">
        <v>45352</v>
      </c>
      <c r="C6251" s="2">
        <v>3816873</v>
      </c>
      <c r="D6251" s="2">
        <v>32386</v>
      </c>
      <c r="E6251" s="2">
        <v>3549916</v>
      </c>
      <c r="F6251" s="2">
        <v>31718</v>
      </c>
      <c r="G6251" s="2">
        <v>21739</v>
      </c>
      <c r="H6251" s="2">
        <v>266957</v>
      </c>
      <c r="I6251" s="2">
        <v>668</v>
      </c>
    </row>
    <row r="6252" spans="1:9" x14ac:dyDescent="0.3">
      <c r="A6252" t="s">
        <v>92</v>
      </c>
      <c r="B6252" s="1">
        <v>45323</v>
      </c>
      <c r="C6252" s="2">
        <v>3767587</v>
      </c>
      <c r="D6252" s="2">
        <v>32676</v>
      </c>
      <c r="E6252" s="2">
        <v>3501298</v>
      </c>
      <c r="F6252" s="2">
        <v>16701</v>
      </c>
      <c r="G6252" s="2">
        <v>-36606</v>
      </c>
      <c r="H6252" s="2">
        <v>266289</v>
      </c>
      <c r="I6252" s="2">
        <v>15975</v>
      </c>
    </row>
    <row r="6253" spans="1:9" x14ac:dyDescent="0.3">
      <c r="A6253" t="s">
        <v>92</v>
      </c>
      <c r="B6253" s="1">
        <v>45292</v>
      </c>
      <c r="C6253" s="2">
        <v>3799148</v>
      </c>
      <c r="D6253" s="2">
        <v>-2440</v>
      </c>
      <c r="E6253" s="2">
        <v>3548834</v>
      </c>
      <c r="F6253" s="2">
        <v>-2785</v>
      </c>
      <c r="G6253" s="2">
        <v>9554</v>
      </c>
      <c r="H6253" s="2">
        <v>250314</v>
      </c>
      <c r="I6253" s="2">
        <v>345</v>
      </c>
    </row>
    <row r="6254" spans="1:9" x14ac:dyDescent="0.3">
      <c r="A6254" t="s">
        <v>92</v>
      </c>
      <c r="B6254" s="1">
        <v>45261</v>
      </c>
      <c r="C6254" s="2">
        <v>3796439</v>
      </c>
      <c r="D6254" s="2">
        <v>27700</v>
      </c>
      <c r="E6254" s="2">
        <v>3546470</v>
      </c>
      <c r="F6254" s="2">
        <v>23708</v>
      </c>
      <c r="G6254" s="2">
        <v>82706</v>
      </c>
      <c r="H6254" s="2">
        <v>249969</v>
      </c>
      <c r="I6254" s="2">
        <v>3992</v>
      </c>
    </row>
    <row r="6255" spans="1:9" x14ac:dyDescent="0.3">
      <c r="A6255" t="s">
        <v>92</v>
      </c>
      <c r="B6255" s="1">
        <v>45231</v>
      </c>
      <c r="C6255" s="2">
        <v>3684071</v>
      </c>
      <c r="D6255" s="2">
        <v>-21137</v>
      </c>
      <c r="E6255" s="2">
        <v>3438094</v>
      </c>
      <c r="F6255" s="2">
        <v>-32327</v>
      </c>
      <c r="G6255" s="2">
        <v>84776</v>
      </c>
      <c r="H6255" s="2">
        <v>245977</v>
      </c>
      <c r="I6255" s="2">
        <v>11190</v>
      </c>
    </row>
    <row r="6256" spans="1:9" x14ac:dyDescent="0.3">
      <c r="A6256" t="s">
        <v>92</v>
      </c>
      <c r="B6256" s="1">
        <v>45200</v>
      </c>
      <c r="C6256" s="2">
        <v>3640409</v>
      </c>
      <c r="D6256" s="2">
        <v>-19778</v>
      </c>
      <c r="E6256" s="2">
        <v>3405622</v>
      </c>
      <c r="F6256" s="2">
        <v>-20092</v>
      </c>
      <c r="G6256" s="2">
        <v>-21765</v>
      </c>
      <c r="H6256" s="2">
        <v>234787</v>
      </c>
      <c r="I6256" s="2">
        <v>314</v>
      </c>
    </row>
    <row r="6257" spans="1:9" x14ac:dyDescent="0.3">
      <c r="A6257" t="s">
        <v>92</v>
      </c>
      <c r="B6257" s="1">
        <v>45170</v>
      </c>
      <c r="C6257" s="2">
        <v>3690999</v>
      </c>
      <c r="D6257" s="2">
        <v>12429</v>
      </c>
      <c r="E6257" s="2">
        <v>3456526</v>
      </c>
      <c r="F6257" s="2">
        <v>15722</v>
      </c>
      <c r="G6257" s="2">
        <v>-55922</v>
      </c>
      <c r="H6257" s="2">
        <v>234473</v>
      </c>
      <c r="I6257" s="2">
        <v>-3293</v>
      </c>
    </row>
    <row r="6258" spans="1:9" x14ac:dyDescent="0.3">
      <c r="A6258" t="s">
        <v>92</v>
      </c>
      <c r="B6258" s="1">
        <v>45139</v>
      </c>
      <c r="C6258" s="2">
        <v>3738159</v>
      </c>
      <c r="D6258" s="2">
        <v>-4155</v>
      </c>
      <c r="E6258" s="2">
        <v>3500393</v>
      </c>
      <c r="F6258" s="2">
        <v>-5348</v>
      </c>
      <c r="G6258" s="2">
        <v>-10919</v>
      </c>
      <c r="H6258" s="2">
        <v>237766</v>
      </c>
      <c r="I6258" s="2">
        <v>1193</v>
      </c>
    </row>
    <row r="6259" spans="1:9" x14ac:dyDescent="0.3">
      <c r="A6259" t="s">
        <v>92</v>
      </c>
      <c r="B6259" s="1">
        <v>45108</v>
      </c>
      <c r="C6259" s="2">
        <v>3758780</v>
      </c>
      <c r="D6259" s="2">
        <v>-7251</v>
      </c>
      <c r="E6259" s="2">
        <v>3522207</v>
      </c>
      <c r="F6259" s="2">
        <v>-23470</v>
      </c>
      <c r="G6259" s="2">
        <v>-7015</v>
      </c>
      <c r="H6259" s="2">
        <v>236573</v>
      </c>
      <c r="I6259" s="2">
        <v>16219</v>
      </c>
    </row>
    <row r="6260" spans="1:9" x14ac:dyDescent="0.3">
      <c r="A6260" t="s">
        <v>92</v>
      </c>
      <c r="B6260" s="1">
        <v>45078</v>
      </c>
      <c r="C6260" s="2">
        <v>3769207</v>
      </c>
      <c r="D6260" s="2">
        <v>11987</v>
      </c>
      <c r="E6260" s="2">
        <v>3548853</v>
      </c>
      <c r="F6260" s="2">
        <v>26054</v>
      </c>
      <c r="G6260" s="2">
        <v>-26749</v>
      </c>
      <c r="H6260" s="2">
        <v>220354</v>
      </c>
      <c r="I6260" s="2">
        <v>-14067</v>
      </c>
    </row>
    <row r="6261" spans="1:9" x14ac:dyDescent="0.3">
      <c r="A6261" t="s">
        <v>92</v>
      </c>
      <c r="B6261" s="1">
        <v>45047</v>
      </c>
      <c r="C6261" s="2">
        <v>3782698</v>
      </c>
      <c r="D6261" s="2">
        <v>29906</v>
      </c>
      <c r="E6261" s="2">
        <v>3548277</v>
      </c>
      <c r="F6261" s="2">
        <v>26831</v>
      </c>
      <c r="G6261" s="2">
        <v>-33497</v>
      </c>
      <c r="H6261" s="2">
        <v>234421</v>
      </c>
      <c r="I6261" s="2">
        <v>3075</v>
      </c>
    </row>
    <row r="6262" spans="1:9" x14ac:dyDescent="0.3">
      <c r="A6262" t="s">
        <v>92</v>
      </c>
      <c r="B6262" s="1">
        <v>45017</v>
      </c>
      <c r="C6262" s="2">
        <v>3789724</v>
      </c>
      <c r="D6262" s="2">
        <v>14536</v>
      </c>
      <c r="E6262" s="2">
        <v>3558378</v>
      </c>
      <c r="F6262" s="2">
        <v>35461</v>
      </c>
      <c r="G6262" s="2">
        <v>13980</v>
      </c>
      <c r="H6262" s="2">
        <v>231346</v>
      </c>
      <c r="I6262" s="2">
        <v>-20925</v>
      </c>
    </row>
    <row r="6263" spans="1:9" x14ac:dyDescent="0.3">
      <c r="A6263" t="s">
        <v>92</v>
      </c>
      <c r="B6263" s="1">
        <v>44986</v>
      </c>
      <c r="C6263" s="2">
        <v>3769907</v>
      </c>
      <c r="D6263" s="2">
        <v>549</v>
      </c>
      <c r="E6263" s="2">
        <v>3517636</v>
      </c>
      <c r="F6263" s="2">
        <v>5217</v>
      </c>
      <c r="G6263" s="2">
        <v>71382</v>
      </c>
      <c r="H6263" s="2">
        <v>252271</v>
      </c>
      <c r="I6263" s="2">
        <v>-4668</v>
      </c>
    </row>
    <row r="6264" spans="1:9" x14ac:dyDescent="0.3">
      <c r="A6264" t="s">
        <v>92</v>
      </c>
      <c r="B6264" s="1">
        <v>44958</v>
      </c>
      <c r="C6264" s="2">
        <v>3692667</v>
      </c>
      <c r="D6264" s="2">
        <v>54751</v>
      </c>
      <c r="E6264" s="2">
        <v>3435728</v>
      </c>
      <c r="F6264" s="2">
        <v>47409</v>
      </c>
      <c r="G6264" s="2">
        <v>-54607</v>
      </c>
      <c r="H6264" s="2">
        <v>256939</v>
      </c>
      <c r="I6264" s="2">
        <v>7342</v>
      </c>
    </row>
    <row r="6265" spans="1:9" hidden="1" x14ac:dyDescent="0.3">
      <c r="A6265" t="s">
        <v>92</v>
      </c>
      <c r="B6265" s="1">
        <v>44927</v>
      </c>
      <c r="C6265" s="2">
        <v>3703848</v>
      </c>
      <c r="D6265" s="2" t="s">
        <v>3</v>
      </c>
      <c r="E6265" s="2">
        <v>3454251</v>
      </c>
      <c r="F6265" s="2" t="s">
        <v>3</v>
      </c>
      <c r="G6265" s="2" t="s">
        <v>3</v>
      </c>
      <c r="H6265" s="2">
        <v>249597</v>
      </c>
      <c r="I6265" s="2" t="s">
        <v>3</v>
      </c>
    </row>
    <row r="6266" spans="1:9" hidden="1" x14ac:dyDescent="0.3">
      <c r="A6266" t="s">
        <v>92</v>
      </c>
      <c r="B6266" s="1">
        <v>44896</v>
      </c>
      <c r="C6266" s="2">
        <v>3667449</v>
      </c>
      <c r="D6266" s="2" t="s">
        <v>3</v>
      </c>
      <c r="E6266" s="2">
        <v>3428735</v>
      </c>
      <c r="F6266" s="2" t="s">
        <v>3</v>
      </c>
      <c r="G6266" s="2" t="s">
        <v>3</v>
      </c>
      <c r="H6266" s="2">
        <v>238714</v>
      </c>
      <c r="I6266" s="2" t="s">
        <v>3</v>
      </c>
    </row>
    <row r="6267" spans="1:9" hidden="1" x14ac:dyDescent="0.3">
      <c r="A6267" t="s">
        <v>92</v>
      </c>
      <c r="B6267" s="1">
        <v>44866</v>
      </c>
      <c r="C6267" s="2">
        <v>3661970</v>
      </c>
      <c r="D6267" s="2" t="s">
        <v>3</v>
      </c>
      <c r="E6267" s="2">
        <v>3444806</v>
      </c>
      <c r="F6267" s="2" t="s">
        <v>3</v>
      </c>
      <c r="G6267" s="2" t="s">
        <v>3</v>
      </c>
      <c r="H6267" s="2">
        <v>217164</v>
      </c>
      <c r="I6267" s="2" t="s">
        <v>3</v>
      </c>
    </row>
    <row r="6268" spans="1:9" hidden="1" x14ac:dyDescent="0.3">
      <c r="A6268" t="s">
        <v>92</v>
      </c>
      <c r="B6268" s="1">
        <v>44835</v>
      </c>
      <c r="C6268" s="2">
        <v>3614042</v>
      </c>
      <c r="D6268" s="2" t="s">
        <v>3</v>
      </c>
      <c r="E6268" s="2">
        <v>3410226</v>
      </c>
      <c r="F6268" s="2" t="s">
        <v>3</v>
      </c>
      <c r="G6268" s="2" t="s">
        <v>3</v>
      </c>
      <c r="H6268" s="2">
        <v>203816</v>
      </c>
      <c r="I6268" s="2" t="s">
        <v>3</v>
      </c>
    </row>
    <row r="6269" spans="1:9" hidden="1" x14ac:dyDescent="0.3">
      <c r="A6269" t="s">
        <v>92</v>
      </c>
      <c r="B6269" s="1">
        <v>44805</v>
      </c>
      <c r="C6269" s="2">
        <v>3713699</v>
      </c>
      <c r="D6269" s="2" t="s">
        <v>3</v>
      </c>
      <c r="E6269" s="2">
        <v>3493691</v>
      </c>
      <c r="F6269" s="2" t="s">
        <v>3</v>
      </c>
      <c r="G6269" s="2" t="s">
        <v>3</v>
      </c>
      <c r="H6269" s="2">
        <v>220008</v>
      </c>
      <c r="I6269" s="2" t="s">
        <v>3</v>
      </c>
    </row>
    <row r="6270" spans="1:9" hidden="1" x14ac:dyDescent="0.3">
      <c r="A6270" t="s">
        <v>92</v>
      </c>
      <c r="B6270" s="1">
        <v>44774</v>
      </c>
      <c r="C6270" s="2">
        <v>3876879</v>
      </c>
      <c r="D6270" s="2" t="s">
        <v>3</v>
      </c>
      <c r="E6270" s="2">
        <v>3646416</v>
      </c>
      <c r="F6270" s="2" t="s">
        <v>3</v>
      </c>
      <c r="G6270" s="2" t="s">
        <v>3</v>
      </c>
      <c r="H6270" s="2">
        <v>230463</v>
      </c>
      <c r="I6270" s="2" t="s">
        <v>3</v>
      </c>
    </row>
    <row r="6271" spans="1:9" hidden="1" x14ac:dyDescent="0.3">
      <c r="A6271" t="s">
        <v>92</v>
      </c>
      <c r="B6271" s="1">
        <v>44743</v>
      </c>
      <c r="C6271" s="2">
        <v>3894989</v>
      </c>
      <c r="D6271" s="2" t="s">
        <v>3</v>
      </c>
      <c r="E6271" s="2">
        <v>3660973</v>
      </c>
      <c r="F6271" s="2" t="s">
        <v>3</v>
      </c>
      <c r="G6271" s="2" t="s">
        <v>3</v>
      </c>
      <c r="H6271" s="2">
        <v>234016</v>
      </c>
      <c r="I6271" s="2" t="s">
        <v>3</v>
      </c>
    </row>
    <row r="6272" spans="1:9" hidden="1" x14ac:dyDescent="0.3">
      <c r="A6272" t="s">
        <v>92</v>
      </c>
      <c r="B6272" s="1">
        <v>44713</v>
      </c>
      <c r="C6272" s="2">
        <v>3855274</v>
      </c>
      <c r="D6272" s="2" t="s">
        <v>3</v>
      </c>
      <c r="E6272" s="2">
        <v>3616938</v>
      </c>
      <c r="F6272" s="2" t="s">
        <v>3</v>
      </c>
      <c r="G6272" s="2" t="s">
        <v>3</v>
      </c>
      <c r="H6272" s="2">
        <v>238336</v>
      </c>
      <c r="I6272" s="2" t="s">
        <v>3</v>
      </c>
    </row>
    <row r="6273" spans="1:9" hidden="1" x14ac:dyDescent="0.3">
      <c r="A6273" t="s">
        <v>92</v>
      </c>
      <c r="B6273" s="1">
        <v>44682</v>
      </c>
      <c r="C6273" s="2">
        <v>3866292</v>
      </c>
      <c r="D6273" s="2" t="s">
        <v>3</v>
      </c>
      <c r="E6273" s="2">
        <v>3617693</v>
      </c>
      <c r="F6273" s="2" t="s">
        <v>3</v>
      </c>
      <c r="G6273" s="2" t="s">
        <v>3</v>
      </c>
      <c r="H6273" s="2">
        <v>248599</v>
      </c>
      <c r="I6273" s="2" t="s">
        <v>3</v>
      </c>
    </row>
    <row r="6274" spans="1:9" hidden="1" x14ac:dyDescent="0.3">
      <c r="A6274" t="s">
        <v>92</v>
      </c>
      <c r="B6274" s="1">
        <v>44652</v>
      </c>
      <c r="C6274" s="2">
        <v>3907479</v>
      </c>
      <c r="D6274" s="2" t="s">
        <v>3</v>
      </c>
      <c r="E6274" s="2">
        <v>3650869</v>
      </c>
      <c r="F6274" s="2" t="s">
        <v>3</v>
      </c>
      <c r="G6274" s="2" t="s">
        <v>3</v>
      </c>
      <c r="H6274" s="2">
        <v>256610</v>
      </c>
      <c r="I6274" s="2" t="s">
        <v>3</v>
      </c>
    </row>
    <row r="6275" spans="1:9" hidden="1" x14ac:dyDescent="0.3">
      <c r="A6275" t="s">
        <v>92</v>
      </c>
      <c r="B6275" s="1">
        <v>44621</v>
      </c>
      <c r="C6275" s="2">
        <v>4025302</v>
      </c>
      <c r="D6275" s="2" t="s">
        <v>3</v>
      </c>
      <c r="E6275" s="2">
        <v>3765617</v>
      </c>
      <c r="F6275" s="2" t="s">
        <v>3</v>
      </c>
      <c r="G6275" s="2" t="s">
        <v>3</v>
      </c>
      <c r="H6275" s="2">
        <v>259685</v>
      </c>
      <c r="I6275" s="2" t="s">
        <v>3</v>
      </c>
    </row>
    <row r="6276" spans="1:9" hidden="1" x14ac:dyDescent="0.3">
      <c r="A6276" t="s">
        <v>92</v>
      </c>
      <c r="B6276" s="1">
        <v>44593</v>
      </c>
      <c r="C6276" s="2">
        <v>4124382</v>
      </c>
      <c r="D6276" s="2" t="s">
        <v>3</v>
      </c>
      <c r="E6276" s="2">
        <v>3846041</v>
      </c>
      <c r="F6276" s="2" t="s">
        <v>3</v>
      </c>
      <c r="G6276" s="2" t="s">
        <v>3</v>
      </c>
      <c r="H6276" s="2">
        <v>278341</v>
      </c>
      <c r="I6276" s="2" t="s">
        <v>3</v>
      </c>
    </row>
    <row r="6277" spans="1:9" hidden="1" x14ac:dyDescent="0.3">
      <c r="A6277" t="s">
        <v>92</v>
      </c>
      <c r="B6277" s="1">
        <v>44562</v>
      </c>
      <c r="C6277" s="2">
        <v>4129999</v>
      </c>
      <c r="D6277" s="2" t="s">
        <v>3</v>
      </c>
      <c r="E6277" s="2">
        <v>3863278</v>
      </c>
      <c r="F6277" s="2" t="s">
        <v>3</v>
      </c>
      <c r="G6277" s="2" t="s">
        <v>3</v>
      </c>
      <c r="H6277" s="2">
        <v>266721</v>
      </c>
      <c r="I6277" s="2" t="s">
        <v>3</v>
      </c>
    </row>
    <row r="6278" spans="1:9" hidden="1" x14ac:dyDescent="0.3">
      <c r="A6278" t="s">
        <v>92</v>
      </c>
      <c r="B6278" s="1">
        <v>44531</v>
      </c>
      <c r="C6278" s="2">
        <v>4117652</v>
      </c>
      <c r="D6278" s="2" t="s">
        <v>3</v>
      </c>
      <c r="E6278" s="2">
        <v>3870012</v>
      </c>
      <c r="F6278" s="2" t="s">
        <v>3</v>
      </c>
      <c r="G6278" s="2" t="s">
        <v>3</v>
      </c>
      <c r="H6278" s="2">
        <v>247640</v>
      </c>
      <c r="I6278" s="2" t="s">
        <v>3</v>
      </c>
    </row>
    <row r="6279" spans="1:9" hidden="1" x14ac:dyDescent="0.3">
      <c r="A6279" t="s">
        <v>92</v>
      </c>
      <c r="B6279" s="1">
        <v>44501</v>
      </c>
      <c r="C6279" s="2">
        <v>4161033</v>
      </c>
      <c r="D6279" s="2" t="s">
        <v>3</v>
      </c>
      <c r="E6279" s="2">
        <v>3921510</v>
      </c>
      <c r="F6279" s="2" t="s">
        <v>3</v>
      </c>
      <c r="G6279" s="2" t="s">
        <v>3</v>
      </c>
      <c r="H6279" s="2">
        <v>239523</v>
      </c>
      <c r="I6279" s="2" t="s">
        <v>3</v>
      </c>
    </row>
    <row r="6280" spans="1:9" hidden="1" x14ac:dyDescent="0.3">
      <c r="A6280" t="s">
        <v>92</v>
      </c>
      <c r="B6280" s="1">
        <v>44470</v>
      </c>
      <c r="C6280" s="2">
        <v>4179437</v>
      </c>
      <c r="D6280" s="2" t="s">
        <v>3</v>
      </c>
      <c r="E6280" s="2">
        <v>3931721</v>
      </c>
      <c r="F6280" s="2" t="s">
        <v>3</v>
      </c>
      <c r="G6280" s="2" t="s">
        <v>3</v>
      </c>
      <c r="H6280" s="2">
        <v>247716</v>
      </c>
      <c r="I6280" s="2" t="s">
        <v>3</v>
      </c>
    </row>
    <row r="6281" spans="1:9" hidden="1" x14ac:dyDescent="0.3">
      <c r="A6281" t="s">
        <v>92</v>
      </c>
      <c r="B6281" s="1">
        <v>44440</v>
      </c>
      <c r="C6281" s="2">
        <v>4207931</v>
      </c>
      <c r="D6281" s="2" t="s">
        <v>3</v>
      </c>
      <c r="E6281" s="2">
        <v>3952518</v>
      </c>
      <c r="F6281" s="2" t="s">
        <v>3</v>
      </c>
      <c r="G6281" s="2" t="s">
        <v>3</v>
      </c>
      <c r="H6281" s="2">
        <v>255413</v>
      </c>
      <c r="I6281" s="2" t="s">
        <v>3</v>
      </c>
    </row>
    <row r="6282" spans="1:9" hidden="1" x14ac:dyDescent="0.3">
      <c r="A6282" t="s">
        <v>92</v>
      </c>
      <c r="B6282" s="1">
        <v>44409</v>
      </c>
      <c r="C6282" s="2">
        <v>4216265</v>
      </c>
      <c r="D6282" s="2" t="s">
        <v>3</v>
      </c>
      <c r="E6282" s="2">
        <v>3958275</v>
      </c>
      <c r="F6282" s="2" t="s">
        <v>3</v>
      </c>
      <c r="G6282" s="2" t="s">
        <v>3</v>
      </c>
      <c r="H6282" s="2">
        <v>257990</v>
      </c>
      <c r="I6282" s="2" t="s">
        <v>3</v>
      </c>
    </row>
    <row r="6283" spans="1:9" hidden="1" x14ac:dyDescent="0.3">
      <c r="A6283" t="s">
        <v>92</v>
      </c>
      <c r="B6283" s="1">
        <v>44378</v>
      </c>
      <c r="C6283" s="2">
        <v>4254057</v>
      </c>
      <c r="D6283" s="2" t="s">
        <v>3</v>
      </c>
      <c r="E6283" s="2">
        <v>3977691</v>
      </c>
      <c r="F6283" s="2" t="s">
        <v>3</v>
      </c>
      <c r="G6283" s="2" t="s">
        <v>3</v>
      </c>
      <c r="H6283" s="2">
        <v>276366</v>
      </c>
      <c r="I6283" s="2" t="s">
        <v>3</v>
      </c>
    </row>
    <row r="6284" spans="1:9" hidden="1" x14ac:dyDescent="0.3">
      <c r="A6284" t="s">
        <v>92</v>
      </c>
      <c r="B6284" s="1">
        <v>44348</v>
      </c>
      <c r="C6284" s="2">
        <v>4215874</v>
      </c>
      <c r="D6284" s="2" t="s">
        <v>3</v>
      </c>
      <c r="E6284" s="2">
        <v>3946410</v>
      </c>
      <c r="F6284" s="2" t="s">
        <v>3</v>
      </c>
      <c r="G6284" s="2" t="s">
        <v>3</v>
      </c>
      <c r="H6284" s="2">
        <v>269464</v>
      </c>
      <c r="I6284" s="2" t="s">
        <v>3</v>
      </c>
    </row>
    <row r="6285" spans="1:9" hidden="1" x14ac:dyDescent="0.3">
      <c r="A6285" t="s">
        <v>92</v>
      </c>
      <c r="B6285" s="1">
        <v>44317</v>
      </c>
      <c r="C6285" s="2">
        <v>4225981</v>
      </c>
      <c r="D6285" s="2" t="s">
        <v>3</v>
      </c>
      <c r="E6285" s="2">
        <v>3929864</v>
      </c>
      <c r="F6285" s="2" t="s">
        <v>3</v>
      </c>
      <c r="G6285" s="2" t="s">
        <v>3</v>
      </c>
      <c r="H6285" s="2">
        <v>296117</v>
      </c>
      <c r="I6285" s="2" t="s">
        <v>3</v>
      </c>
    </row>
    <row r="6286" spans="1:9" hidden="1" x14ac:dyDescent="0.3">
      <c r="A6286" t="s">
        <v>92</v>
      </c>
      <c r="B6286" s="1">
        <v>44287</v>
      </c>
      <c r="C6286" s="2">
        <v>4201533</v>
      </c>
      <c r="D6286" s="2" t="s">
        <v>3</v>
      </c>
      <c r="E6286" s="2">
        <v>3881321</v>
      </c>
      <c r="F6286" s="2" t="s">
        <v>3</v>
      </c>
      <c r="G6286" s="2" t="s">
        <v>3</v>
      </c>
      <c r="H6286" s="2">
        <v>320212</v>
      </c>
      <c r="I6286" s="2" t="s">
        <v>3</v>
      </c>
    </row>
    <row r="6287" spans="1:9" hidden="1" x14ac:dyDescent="0.3">
      <c r="A6287" t="s">
        <v>92</v>
      </c>
      <c r="B6287" s="1">
        <v>44256</v>
      </c>
      <c r="C6287" s="2">
        <v>4202077</v>
      </c>
      <c r="D6287" s="2" t="s">
        <v>3</v>
      </c>
      <c r="E6287" s="2">
        <v>3841479</v>
      </c>
      <c r="F6287" s="2" t="s">
        <v>3</v>
      </c>
      <c r="G6287" s="2" t="s">
        <v>3</v>
      </c>
      <c r="H6287" s="2">
        <v>360598</v>
      </c>
      <c r="I6287" s="2" t="s">
        <v>3</v>
      </c>
    </row>
    <row r="6288" spans="1:9" hidden="1" x14ac:dyDescent="0.3">
      <c r="A6288" t="s">
        <v>92</v>
      </c>
      <c r="B6288" s="1">
        <v>44228</v>
      </c>
      <c r="C6288" s="2">
        <v>4235327</v>
      </c>
      <c r="D6288" s="2" t="s">
        <v>3</v>
      </c>
      <c r="E6288" s="2">
        <v>3829093</v>
      </c>
      <c r="F6288" s="2" t="s">
        <v>3</v>
      </c>
      <c r="G6288" s="2" t="s">
        <v>3</v>
      </c>
      <c r="H6288" s="2">
        <v>406234</v>
      </c>
      <c r="I6288" s="2" t="s">
        <v>3</v>
      </c>
    </row>
    <row r="6289" spans="1:9" hidden="1" x14ac:dyDescent="0.3">
      <c r="A6289" t="s">
        <v>92</v>
      </c>
      <c r="B6289" s="1">
        <v>44197</v>
      </c>
      <c r="C6289" s="2">
        <v>4224513</v>
      </c>
      <c r="D6289" s="2" t="s">
        <v>3</v>
      </c>
      <c r="E6289" s="2">
        <v>3846444</v>
      </c>
      <c r="F6289" s="2" t="s">
        <v>3</v>
      </c>
      <c r="G6289" s="2" t="s">
        <v>3</v>
      </c>
      <c r="H6289" s="2">
        <v>378069</v>
      </c>
      <c r="I6289" s="2" t="s">
        <v>3</v>
      </c>
    </row>
    <row r="6290" spans="1:9" hidden="1" x14ac:dyDescent="0.3">
      <c r="A6290" t="s">
        <v>92</v>
      </c>
      <c r="B6290" s="1">
        <v>44166</v>
      </c>
      <c r="C6290" s="2">
        <v>4186538</v>
      </c>
      <c r="D6290" s="2" t="s">
        <v>3</v>
      </c>
      <c r="E6290" s="2">
        <v>3825569</v>
      </c>
      <c r="F6290" s="2" t="s">
        <v>3</v>
      </c>
      <c r="G6290" s="2" t="s">
        <v>3</v>
      </c>
      <c r="H6290" s="2">
        <v>360969</v>
      </c>
      <c r="I6290" s="2" t="s">
        <v>3</v>
      </c>
    </row>
    <row r="6291" spans="1:9" hidden="1" x14ac:dyDescent="0.3">
      <c r="A6291" t="s">
        <v>92</v>
      </c>
      <c r="B6291" s="1">
        <v>44136</v>
      </c>
      <c r="C6291" s="2">
        <v>4176189</v>
      </c>
      <c r="D6291" s="2" t="s">
        <v>3</v>
      </c>
      <c r="E6291" s="2">
        <v>3805373</v>
      </c>
      <c r="F6291" s="2" t="s">
        <v>3</v>
      </c>
      <c r="G6291" s="2" t="s">
        <v>3</v>
      </c>
      <c r="H6291" s="2">
        <v>370816</v>
      </c>
      <c r="I6291" s="2" t="s">
        <v>3</v>
      </c>
    </row>
    <row r="6292" spans="1:9" hidden="1" x14ac:dyDescent="0.3">
      <c r="A6292" t="s">
        <v>92</v>
      </c>
      <c r="B6292" s="1">
        <v>44105</v>
      </c>
      <c r="C6292" s="2">
        <v>4166760</v>
      </c>
      <c r="D6292" s="2" t="s">
        <v>3</v>
      </c>
      <c r="E6292" s="2">
        <v>3791349</v>
      </c>
      <c r="F6292" s="2" t="s">
        <v>3</v>
      </c>
      <c r="G6292" s="2" t="s">
        <v>3</v>
      </c>
      <c r="H6292" s="2">
        <v>375411</v>
      </c>
      <c r="I6292" s="2" t="s">
        <v>3</v>
      </c>
    </row>
    <row r="6293" spans="1:9" hidden="1" x14ac:dyDescent="0.3">
      <c r="A6293" t="s">
        <v>92</v>
      </c>
      <c r="B6293" s="1">
        <v>44075</v>
      </c>
      <c r="C6293" s="2">
        <v>4198868</v>
      </c>
      <c r="D6293" s="2" t="s">
        <v>3</v>
      </c>
      <c r="E6293" s="2">
        <v>3827385</v>
      </c>
      <c r="F6293" s="2" t="s">
        <v>3</v>
      </c>
      <c r="G6293" s="2" t="s">
        <v>3</v>
      </c>
      <c r="H6293" s="2">
        <v>371483</v>
      </c>
      <c r="I6293" s="2" t="s">
        <v>3</v>
      </c>
    </row>
    <row r="6294" spans="1:9" hidden="1" x14ac:dyDescent="0.3">
      <c r="A6294" t="s">
        <v>92</v>
      </c>
      <c r="B6294" s="1">
        <v>44044</v>
      </c>
      <c r="C6294" s="2">
        <v>4199285</v>
      </c>
      <c r="D6294" s="2" t="s">
        <v>3</v>
      </c>
      <c r="E6294" s="2">
        <v>3814269</v>
      </c>
      <c r="F6294" s="2" t="s">
        <v>3</v>
      </c>
      <c r="G6294" s="2" t="s">
        <v>3</v>
      </c>
      <c r="H6294" s="2">
        <v>385016</v>
      </c>
      <c r="I6294" s="2" t="s">
        <v>3</v>
      </c>
    </row>
    <row r="6295" spans="1:9" hidden="1" x14ac:dyDescent="0.3">
      <c r="A6295" t="s">
        <v>92</v>
      </c>
      <c r="B6295" s="1">
        <v>44013</v>
      </c>
      <c r="C6295" s="2">
        <v>4191213</v>
      </c>
      <c r="D6295" s="2" t="s">
        <v>3</v>
      </c>
      <c r="E6295" s="2">
        <v>3797649</v>
      </c>
      <c r="F6295" s="2" t="s">
        <v>3</v>
      </c>
      <c r="G6295" s="2" t="s">
        <v>3</v>
      </c>
      <c r="H6295" s="2">
        <v>393564</v>
      </c>
      <c r="I6295" s="2" t="s">
        <v>3</v>
      </c>
    </row>
    <row r="6296" spans="1:9" hidden="1" x14ac:dyDescent="0.3">
      <c r="A6296" t="s">
        <v>92</v>
      </c>
      <c r="B6296" s="1">
        <v>43983</v>
      </c>
      <c r="C6296" s="2">
        <v>4147116</v>
      </c>
      <c r="D6296" s="2" t="s">
        <v>3</v>
      </c>
      <c r="E6296" s="2">
        <v>3764847</v>
      </c>
      <c r="F6296" s="2" t="s">
        <v>3</v>
      </c>
      <c r="G6296" s="2" t="s">
        <v>3</v>
      </c>
      <c r="H6296" s="2">
        <v>382269</v>
      </c>
      <c r="I6296" s="2" t="s">
        <v>3</v>
      </c>
    </row>
    <row r="6297" spans="1:9" hidden="1" x14ac:dyDescent="0.3">
      <c r="A6297" t="s">
        <v>92</v>
      </c>
      <c r="B6297" s="1">
        <v>43952</v>
      </c>
      <c r="C6297" s="2">
        <v>4105945</v>
      </c>
      <c r="D6297" s="2" t="s">
        <v>3</v>
      </c>
      <c r="E6297" s="2">
        <v>3750224</v>
      </c>
      <c r="F6297" s="2" t="s">
        <v>3</v>
      </c>
      <c r="G6297" s="2" t="s">
        <v>3</v>
      </c>
      <c r="H6297" s="2">
        <v>355721</v>
      </c>
      <c r="I6297" s="2" t="s">
        <v>3</v>
      </c>
    </row>
    <row r="6298" spans="1:9" hidden="1" x14ac:dyDescent="0.3">
      <c r="A6298" t="s">
        <v>92</v>
      </c>
      <c r="B6298" s="1">
        <v>43922</v>
      </c>
      <c r="C6298" s="2">
        <v>4047365</v>
      </c>
      <c r="D6298" s="2" t="s">
        <v>3</v>
      </c>
      <c r="E6298" s="2">
        <v>3716351</v>
      </c>
      <c r="F6298" s="2" t="s">
        <v>3</v>
      </c>
      <c r="G6298" s="2" t="s">
        <v>3</v>
      </c>
      <c r="H6298" s="2">
        <v>331014</v>
      </c>
      <c r="I6298" s="2" t="s">
        <v>3</v>
      </c>
    </row>
    <row r="6299" spans="1:9" hidden="1" x14ac:dyDescent="0.3">
      <c r="A6299" t="s">
        <v>92</v>
      </c>
      <c r="B6299" s="1">
        <v>43891</v>
      </c>
      <c r="C6299" s="2">
        <v>4117857</v>
      </c>
      <c r="D6299" s="2" t="s">
        <v>3</v>
      </c>
      <c r="E6299" s="2">
        <v>3834635</v>
      </c>
      <c r="F6299" s="2" t="s">
        <v>3</v>
      </c>
      <c r="G6299" s="2" t="s">
        <v>3</v>
      </c>
      <c r="H6299" s="2">
        <v>283222</v>
      </c>
      <c r="I6299" s="2" t="s">
        <v>3</v>
      </c>
    </row>
    <row r="6300" spans="1:9" hidden="1" x14ac:dyDescent="0.3">
      <c r="A6300" t="s">
        <v>92</v>
      </c>
      <c r="B6300" s="1">
        <v>43862</v>
      </c>
      <c r="C6300" s="2">
        <v>4264909</v>
      </c>
      <c r="D6300" s="2" t="s">
        <v>3</v>
      </c>
      <c r="E6300" s="2">
        <v>3958829</v>
      </c>
      <c r="F6300" s="2" t="s">
        <v>3</v>
      </c>
      <c r="G6300" s="2" t="s">
        <v>3</v>
      </c>
      <c r="H6300" s="2">
        <v>306080</v>
      </c>
      <c r="I6300" s="2" t="s">
        <v>3</v>
      </c>
    </row>
    <row r="6301" spans="1:9" hidden="1" x14ac:dyDescent="0.3">
      <c r="A6301" t="s">
        <v>92</v>
      </c>
      <c r="B6301" s="1">
        <v>43831</v>
      </c>
      <c r="C6301" s="2">
        <v>4169878</v>
      </c>
      <c r="D6301" s="2" t="s">
        <v>3</v>
      </c>
      <c r="E6301" s="2">
        <v>3875058</v>
      </c>
      <c r="F6301" s="2" t="s">
        <v>3</v>
      </c>
      <c r="G6301" s="2" t="s">
        <v>3</v>
      </c>
      <c r="H6301" s="2">
        <v>294820</v>
      </c>
      <c r="I6301" s="2" t="s">
        <v>3</v>
      </c>
    </row>
    <row r="6302" spans="1:9" x14ac:dyDescent="0.3">
      <c r="A6302" t="s">
        <v>93</v>
      </c>
      <c r="B6302" s="1">
        <v>45931</v>
      </c>
      <c r="C6302" s="2">
        <v>5362736</v>
      </c>
      <c r="D6302" s="2">
        <v>-29458</v>
      </c>
      <c r="E6302" s="2">
        <v>4311372</v>
      </c>
      <c r="F6302" s="2">
        <v>-36416</v>
      </c>
      <c r="G6302" s="2">
        <v>-2560</v>
      </c>
      <c r="H6302" s="2">
        <v>1051364</v>
      </c>
      <c r="I6302" s="2">
        <v>6958</v>
      </c>
    </row>
    <row r="6303" spans="1:9" x14ac:dyDescent="0.3">
      <c r="A6303" t="s">
        <v>93</v>
      </c>
      <c r="B6303" s="1">
        <v>45901</v>
      </c>
      <c r="C6303" s="2">
        <v>5361666</v>
      </c>
      <c r="D6303" s="2">
        <v>60113</v>
      </c>
      <c r="E6303" s="2">
        <v>4317260</v>
      </c>
      <c r="F6303" s="2">
        <v>41475</v>
      </c>
      <c r="G6303" s="2">
        <v>18019</v>
      </c>
      <c r="H6303" s="2">
        <v>1044406</v>
      </c>
      <c r="I6303" s="2">
        <v>18638</v>
      </c>
    </row>
    <row r="6304" spans="1:9" x14ac:dyDescent="0.3">
      <c r="A6304" t="s">
        <v>93</v>
      </c>
      <c r="B6304" s="1">
        <v>45870</v>
      </c>
      <c r="C6304" s="2">
        <v>5328724</v>
      </c>
      <c r="D6304" s="2">
        <v>80303</v>
      </c>
      <c r="E6304" s="2">
        <v>4302956</v>
      </c>
      <c r="F6304" s="2">
        <v>57223</v>
      </c>
      <c r="G6304" s="2">
        <v>7426</v>
      </c>
      <c r="H6304" s="2">
        <v>1025768</v>
      </c>
      <c r="I6304" s="2">
        <v>23080</v>
      </c>
    </row>
    <row r="6305" spans="1:9" x14ac:dyDescent="0.3">
      <c r="A6305" t="s">
        <v>93</v>
      </c>
      <c r="B6305" s="1">
        <v>45839</v>
      </c>
      <c r="C6305" s="2">
        <v>5223571</v>
      </c>
      <c r="D6305" s="2">
        <v>27492</v>
      </c>
      <c r="E6305" s="2">
        <v>4220883</v>
      </c>
      <c r="F6305" s="2">
        <v>37557</v>
      </c>
      <c r="G6305" s="2">
        <v>-40001</v>
      </c>
      <c r="H6305" s="2">
        <v>1002688</v>
      </c>
      <c r="I6305" s="2">
        <v>-10065</v>
      </c>
    </row>
    <row r="6306" spans="1:9" x14ac:dyDescent="0.3">
      <c r="A6306" t="s">
        <v>93</v>
      </c>
      <c r="B6306" s="1">
        <v>45809</v>
      </c>
      <c r="C6306" s="2">
        <v>5198617</v>
      </c>
      <c r="D6306" s="2">
        <v>13871</v>
      </c>
      <c r="E6306" s="2">
        <v>4185864</v>
      </c>
      <c r="F6306" s="2">
        <v>7932</v>
      </c>
      <c r="G6306" s="2">
        <v>18130</v>
      </c>
      <c r="H6306" s="2">
        <v>1012753</v>
      </c>
      <c r="I6306" s="2">
        <v>5939</v>
      </c>
    </row>
    <row r="6307" spans="1:9" x14ac:dyDescent="0.3">
      <c r="A6307" t="s">
        <v>93</v>
      </c>
      <c r="B6307" s="1">
        <v>45778</v>
      </c>
      <c r="C6307" s="2">
        <v>5139152</v>
      </c>
      <c r="D6307" s="2">
        <v>138645</v>
      </c>
      <c r="E6307" s="2">
        <v>4132338</v>
      </c>
      <c r="F6307" s="2">
        <v>122804</v>
      </c>
      <c r="G6307" s="2">
        <v>-57794</v>
      </c>
      <c r="H6307" s="2">
        <v>1006814</v>
      </c>
      <c r="I6307" s="2">
        <v>15841</v>
      </c>
    </row>
    <row r="6308" spans="1:9" x14ac:dyDescent="0.3">
      <c r="A6308" t="s">
        <v>93</v>
      </c>
      <c r="B6308" s="1">
        <v>45748</v>
      </c>
      <c r="C6308" s="2">
        <v>5082879</v>
      </c>
      <c r="D6308" s="2">
        <v>-58948</v>
      </c>
      <c r="E6308" s="2">
        <v>4091906</v>
      </c>
      <c r="F6308" s="2">
        <v>-52871</v>
      </c>
      <c r="G6308" s="2">
        <v>3524</v>
      </c>
      <c r="H6308" s="2">
        <v>990973</v>
      </c>
      <c r="I6308" s="2">
        <v>-6077</v>
      </c>
    </row>
    <row r="6309" spans="1:9" x14ac:dyDescent="0.3">
      <c r="A6309" t="s">
        <v>93</v>
      </c>
      <c r="B6309" s="1">
        <v>45717</v>
      </c>
      <c r="C6309" s="2">
        <v>5120302</v>
      </c>
      <c r="D6309" s="2">
        <v>118915</v>
      </c>
      <c r="E6309" s="2">
        <v>4123252</v>
      </c>
      <c r="F6309" s="2">
        <v>87069</v>
      </c>
      <c r="G6309" s="2">
        <v>-12133</v>
      </c>
      <c r="H6309" s="2">
        <v>997050</v>
      </c>
      <c r="I6309" s="2">
        <v>31846</v>
      </c>
    </row>
    <row r="6310" spans="1:9" x14ac:dyDescent="0.3">
      <c r="A6310" t="s">
        <v>93</v>
      </c>
      <c r="B6310" s="1">
        <v>45689</v>
      </c>
      <c r="C6310" s="2">
        <v>4991584</v>
      </c>
      <c r="D6310" s="2">
        <v>127623</v>
      </c>
      <c r="E6310" s="2">
        <v>4026380</v>
      </c>
      <c r="F6310" s="2">
        <v>127401</v>
      </c>
      <c r="G6310" s="2">
        <v>54223</v>
      </c>
      <c r="H6310" s="2">
        <v>965204</v>
      </c>
      <c r="I6310" s="2">
        <v>222</v>
      </c>
    </row>
    <row r="6311" spans="1:9" x14ac:dyDescent="0.3">
      <c r="A6311" t="s">
        <v>93</v>
      </c>
      <c r="B6311" s="1">
        <v>45658</v>
      </c>
      <c r="C6311" s="2">
        <v>4800678</v>
      </c>
      <c r="D6311" s="2">
        <v>-13781</v>
      </c>
      <c r="E6311" s="2">
        <v>3835696</v>
      </c>
      <c r="F6311" s="2">
        <v>19644</v>
      </c>
      <c r="G6311" s="2">
        <v>919</v>
      </c>
      <c r="H6311" s="2">
        <v>964982</v>
      </c>
      <c r="I6311" s="2">
        <v>-33425</v>
      </c>
    </row>
    <row r="6312" spans="1:9" x14ac:dyDescent="0.3">
      <c r="A6312" t="s">
        <v>93</v>
      </c>
      <c r="B6312" s="1">
        <v>45627</v>
      </c>
      <c r="C6312" s="2">
        <v>4826809</v>
      </c>
      <c r="D6312" s="2">
        <v>41134</v>
      </c>
      <c r="E6312" s="2">
        <v>3828402</v>
      </c>
      <c r="F6312" s="2">
        <v>4251</v>
      </c>
      <c r="G6312" s="2">
        <v>-63908</v>
      </c>
      <c r="H6312" s="2">
        <v>998407</v>
      </c>
      <c r="I6312" s="2">
        <v>36883</v>
      </c>
    </row>
    <row r="6313" spans="1:9" x14ac:dyDescent="0.3">
      <c r="A6313" t="s">
        <v>93</v>
      </c>
      <c r="B6313" s="1">
        <v>45597</v>
      </c>
      <c r="C6313" s="2">
        <v>4861407</v>
      </c>
      <c r="D6313" s="2">
        <v>-17940</v>
      </c>
      <c r="E6313" s="2">
        <v>3899883</v>
      </c>
      <c r="F6313" s="2">
        <v>-34071</v>
      </c>
      <c r="G6313" s="2">
        <v>16213</v>
      </c>
      <c r="H6313" s="2">
        <v>961524</v>
      </c>
      <c r="I6313" s="2">
        <v>16131</v>
      </c>
    </row>
    <row r="6314" spans="1:9" x14ac:dyDescent="0.3">
      <c r="A6314" t="s">
        <v>93</v>
      </c>
      <c r="B6314" s="1">
        <v>45566</v>
      </c>
      <c r="C6314" s="2">
        <v>4837292</v>
      </c>
      <c r="D6314" s="2">
        <v>87292</v>
      </c>
      <c r="E6314" s="2">
        <v>3891899</v>
      </c>
      <c r="F6314" s="2">
        <v>73922</v>
      </c>
      <c r="G6314" s="2">
        <v>-57192</v>
      </c>
      <c r="H6314" s="2">
        <v>945393</v>
      </c>
      <c r="I6314" s="2">
        <v>13370</v>
      </c>
    </row>
    <row r="6315" spans="1:9" x14ac:dyDescent="0.3">
      <c r="A6315" t="s">
        <v>93</v>
      </c>
      <c r="B6315" s="1">
        <v>45536</v>
      </c>
      <c r="C6315" s="2">
        <v>4852122</v>
      </c>
      <c r="D6315" s="2">
        <v>68251</v>
      </c>
      <c r="E6315" s="2">
        <v>3920099</v>
      </c>
      <c r="F6315" s="2">
        <v>66553</v>
      </c>
      <c r="G6315" s="2">
        <v>23954</v>
      </c>
      <c r="H6315" s="2">
        <v>932023</v>
      </c>
      <c r="I6315" s="2">
        <v>1698</v>
      </c>
    </row>
    <row r="6316" spans="1:9" x14ac:dyDescent="0.3">
      <c r="A6316" t="s">
        <v>93</v>
      </c>
      <c r="B6316" s="1">
        <v>45505</v>
      </c>
      <c r="C6316" s="2">
        <v>4734985</v>
      </c>
      <c r="D6316" s="2">
        <v>86731</v>
      </c>
      <c r="E6316" s="2">
        <v>3804660</v>
      </c>
      <c r="F6316" s="2">
        <v>49550</v>
      </c>
      <c r="G6316" s="2">
        <v>40431</v>
      </c>
      <c r="H6316" s="2">
        <v>930325</v>
      </c>
      <c r="I6316" s="2">
        <v>37181</v>
      </c>
    </row>
    <row r="6317" spans="1:9" x14ac:dyDescent="0.3">
      <c r="A6317" t="s">
        <v>93</v>
      </c>
      <c r="B6317" s="1">
        <v>45474</v>
      </c>
      <c r="C6317" s="2">
        <v>4581786</v>
      </c>
      <c r="D6317" s="2">
        <v>99742</v>
      </c>
      <c r="E6317" s="2">
        <v>3688642</v>
      </c>
      <c r="F6317" s="2">
        <v>91638</v>
      </c>
      <c r="G6317" s="2">
        <v>43061</v>
      </c>
      <c r="H6317" s="2">
        <v>893144</v>
      </c>
      <c r="I6317" s="2">
        <v>8104</v>
      </c>
    </row>
    <row r="6318" spans="1:9" x14ac:dyDescent="0.3">
      <c r="A6318" t="s">
        <v>93</v>
      </c>
      <c r="B6318" s="1">
        <v>45444</v>
      </c>
      <c r="C6318" s="2">
        <v>4468254</v>
      </c>
      <c r="D6318" s="2">
        <v>77805</v>
      </c>
      <c r="E6318" s="2">
        <v>3583214</v>
      </c>
      <c r="F6318" s="2">
        <v>7234</v>
      </c>
      <c r="G6318" s="2">
        <v>46302</v>
      </c>
      <c r="H6318" s="2">
        <v>885040</v>
      </c>
      <c r="I6318" s="2">
        <v>70571</v>
      </c>
    </row>
    <row r="6319" spans="1:9" x14ac:dyDescent="0.3">
      <c r="A6319" t="s">
        <v>93</v>
      </c>
      <c r="B6319" s="1">
        <v>45413</v>
      </c>
      <c r="C6319" s="2">
        <v>4333054</v>
      </c>
      <c r="D6319" s="2">
        <v>62621</v>
      </c>
      <c r="E6319" s="2">
        <v>3518585</v>
      </c>
      <c r="F6319" s="2">
        <v>64197</v>
      </c>
      <c r="G6319" s="2">
        <v>19777</v>
      </c>
      <c r="H6319" s="2">
        <v>814469</v>
      </c>
      <c r="I6319" s="2">
        <v>-1576</v>
      </c>
    </row>
    <row r="6320" spans="1:9" x14ac:dyDescent="0.3">
      <c r="A6320" t="s">
        <v>93</v>
      </c>
      <c r="B6320" s="1">
        <v>45383</v>
      </c>
      <c r="C6320" s="2">
        <v>4248948</v>
      </c>
      <c r="D6320" s="2">
        <v>37632</v>
      </c>
      <c r="E6320" s="2">
        <v>3432903</v>
      </c>
      <c r="F6320" s="2">
        <v>45805</v>
      </c>
      <c r="G6320" s="2">
        <v>-57449</v>
      </c>
      <c r="H6320" s="2">
        <v>816045</v>
      </c>
      <c r="I6320" s="2">
        <v>-8173</v>
      </c>
    </row>
    <row r="6321" spans="1:9" x14ac:dyDescent="0.3">
      <c r="A6321" t="s">
        <v>93</v>
      </c>
      <c r="B6321" s="1">
        <v>45352</v>
      </c>
      <c r="C6321" s="2">
        <v>4290998</v>
      </c>
      <c r="D6321" s="2">
        <v>17647</v>
      </c>
      <c r="E6321" s="2">
        <v>3466780</v>
      </c>
      <c r="F6321" s="2">
        <v>16695</v>
      </c>
      <c r="G6321" s="2">
        <v>17997</v>
      </c>
      <c r="H6321" s="2">
        <v>824218</v>
      </c>
      <c r="I6321" s="2">
        <v>952</v>
      </c>
    </row>
    <row r="6322" spans="1:9" x14ac:dyDescent="0.3">
      <c r="A6322" t="s">
        <v>93</v>
      </c>
      <c r="B6322" s="1">
        <v>45323</v>
      </c>
      <c r="C6322" s="2">
        <v>4231685</v>
      </c>
      <c r="D6322" s="2">
        <v>93655</v>
      </c>
      <c r="E6322" s="2">
        <v>3408419</v>
      </c>
      <c r="F6322" s="2">
        <v>75336</v>
      </c>
      <c r="G6322" s="2">
        <v>-25384</v>
      </c>
      <c r="H6322" s="2">
        <v>823266</v>
      </c>
      <c r="I6322" s="2">
        <v>18319</v>
      </c>
    </row>
    <row r="6323" spans="1:9" x14ac:dyDescent="0.3">
      <c r="A6323" t="s">
        <v>93</v>
      </c>
      <c r="B6323" s="1">
        <v>45292</v>
      </c>
      <c r="C6323" s="2">
        <v>4154639</v>
      </c>
      <c r="D6323" s="2">
        <v>27392</v>
      </c>
      <c r="E6323" s="2">
        <v>3349692</v>
      </c>
      <c r="F6323" s="2">
        <v>55536</v>
      </c>
      <c r="G6323" s="2">
        <v>-4580</v>
      </c>
      <c r="H6323" s="2">
        <v>804947</v>
      </c>
      <c r="I6323" s="2">
        <v>-28144</v>
      </c>
    </row>
    <row r="6324" spans="1:9" x14ac:dyDescent="0.3">
      <c r="A6324" t="s">
        <v>93</v>
      </c>
      <c r="B6324" s="1">
        <v>45261</v>
      </c>
      <c r="C6324" s="2">
        <v>4143569</v>
      </c>
      <c r="D6324" s="2">
        <v>4662</v>
      </c>
      <c r="E6324" s="2">
        <v>3310478</v>
      </c>
      <c r="F6324" s="2">
        <v>-9418</v>
      </c>
      <c r="G6324" s="2">
        <v>56744</v>
      </c>
      <c r="H6324" s="2">
        <v>833091</v>
      </c>
      <c r="I6324" s="2">
        <v>14080</v>
      </c>
    </row>
    <row r="6325" spans="1:9" x14ac:dyDescent="0.3">
      <c r="A6325" t="s">
        <v>93</v>
      </c>
      <c r="B6325" s="1">
        <v>45231</v>
      </c>
      <c r="C6325" s="2">
        <v>4032249</v>
      </c>
      <c r="D6325" s="2">
        <v>155741</v>
      </c>
      <c r="E6325" s="2">
        <v>3213238</v>
      </c>
      <c r="F6325" s="2">
        <v>137337</v>
      </c>
      <c r="G6325" s="2">
        <v>76116</v>
      </c>
      <c r="H6325" s="2">
        <v>819011</v>
      </c>
      <c r="I6325" s="2">
        <v>18404</v>
      </c>
    </row>
    <row r="6326" spans="1:9" x14ac:dyDescent="0.3">
      <c r="A6326" t="s">
        <v>93</v>
      </c>
      <c r="B6326" s="1">
        <v>45200</v>
      </c>
      <c r="C6326" s="2">
        <v>3836333</v>
      </c>
      <c r="D6326" s="2">
        <v>13954</v>
      </c>
      <c r="E6326" s="2">
        <v>3035726</v>
      </c>
      <c r="F6326" s="2">
        <v>39768</v>
      </c>
      <c r="G6326" s="2">
        <v>-29508</v>
      </c>
      <c r="H6326" s="2">
        <v>800607</v>
      </c>
      <c r="I6326" s="2">
        <v>-25814</v>
      </c>
    </row>
    <row r="6327" spans="1:9" x14ac:dyDescent="0.3">
      <c r="A6327" t="s">
        <v>93</v>
      </c>
      <c r="B6327" s="1">
        <v>45170</v>
      </c>
      <c r="C6327" s="2">
        <v>3818116</v>
      </c>
      <c r="D6327" s="2">
        <v>20630</v>
      </c>
      <c r="E6327" s="2">
        <v>2991695</v>
      </c>
      <c r="F6327" s="2">
        <v>-7319</v>
      </c>
      <c r="G6327" s="2">
        <v>-87098</v>
      </c>
      <c r="H6327" s="2">
        <v>826421</v>
      </c>
      <c r="I6327" s="2">
        <v>27949</v>
      </c>
    </row>
    <row r="6328" spans="1:9" x14ac:dyDescent="0.3">
      <c r="A6328" t="s">
        <v>93</v>
      </c>
      <c r="B6328" s="1">
        <v>45139</v>
      </c>
      <c r="C6328" s="2">
        <v>3882373</v>
      </c>
      <c r="D6328" s="2">
        <v>46387</v>
      </c>
      <c r="E6328" s="2">
        <v>3083901</v>
      </c>
      <c r="F6328" s="2">
        <v>8544</v>
      </c>
      <c r="G6328" s="2">
        <v>-16837</v>
      </c>
      <c r="H6328" s="2">
        <v>798472</v>
      </c>
      <c r="I6328" s="2">
        <v>37843</v>
      </c>
    </row>
    <row r="6329" spans="1:9" x14ac:dyDescent="0.3">
      <c r="A6329" t="s">
        <v>93</v>
      </c>
      <c r="B6329" s="1">
        <v>45108</v>
      </c>
      <c r="C6329" s="2">
        <v>3836320</v>
      </c>
      <c r="D6329" s="2">
        <v>36972</v>
      </c>
      <c r="E6329" s="2">
        <v>3075691</v>
      </c>
      <c r="F6329" s="2">
        <v>18237</v>
      </c>
      <c r="G6329" s="2">
        <v>-10922</v>
      </c>
      <c r="H6329" s="2">
        <v>760629</v>
      </c>
      <c r="I6329" s="2">
        <v>18735</v>
      </c>
    </row>
    <row r="6330" spans="1:9" x14ac:dyDescent="0.3">
      <c r="A6330" t="s">
        <v>93</v>
      </c>
      <c r="B6330" s="1">
        <v>45078</v>
      </c>
      <c r="C6330" s="2">
        <v>3794008</v>
      </c>
      <c r="D6330" s="2">
        <v>128450</v>
      </c>
      <c r="E6330" s="2">
        <v>3052114</v>
      </c>
      <c r="F6330" s="2">
        <v>52164</v>
      </c>
      <c r="G6330" s="2">
        <v>-19283</v>
      </c>
      <c r="H6330" s="2">
        <v>741894</v>
      </c>
      <c r="I6330" s="2">
        <v>76286</v>
      </c>
    </row>
    <row r="6331" spans="1:9" x14ac:dyDescent="0.3">
      <c r="A6331" t="s">
        <v>93</v>
      </c>
      <c r="B6331" s="1">
        <v>45047</v>
      </c>
      <c r="C6331" s="2">
        <v>3675855</v>
      </c>
      <c r="D6331" s="2">
        <v>14631</v>
      </c>
      <c r="E6331" s="2">
        <v>3010247</v>
      </c>
      <c r="F6331" s="2">
        <v>35418</v>
      </c>
      <c r="G6331" s="2">
        <v>-34569</v>
      </c>
      <c r="H6331" s="2">
        <v>665608</v>
      </c>
      <c r="I6331" s="2">
        <v>-20787</v>
      </c>
    </row>
    <row r="6332" spans="1:9" x14ac:dyDescent="0.3">
      <c r="A6332" t="s">
        <v>93</v>
      </c>
      <c r="B6332" s="1">
        <v>45017</v>
      </c>
      <c r="C6332" s="2">
        <v>3716259</v>
      </c>
      <c r="D6332" s="2">
        <v>56487</v>
      </c>
      <c r="E6332" s="2">
        <v>3029864</v>
      </c>
      <c r="F6332" s="2">
        <v>80442</v>
      </c>
      <c r="G6332" s="2">
        <v>5344</v>
      </c>
      <c r="H6332" s="2">
        <v>686395</v>
      </c>
      <c r="I6332" s="2">
        <v>-23955</v>
      </c>
    </row>
    <row r="6333" spans="1:9" x14ac:dyDescent="0.3">
      <c r="A6333" t="s">
        <v>93</v>
      </c>
      <c r="B6333" s="1">
        <v>44986</v>
      </c>
      <c r="C6333" s="2">
        <v>3698735</v>
      </c>
      <c r="D6333" s="2">
        <v>91160</v>
      </c>
      <c r="E6333" s="2">
        <v>2988385</v>
      </c>
      <c r="F6333" s="2">
        <v>89656</v>
      </c>
      <c r="G6333" s="2">
        <v>52075</v>
      </c>
      <c r="H6333" s="2">
        <v>710350</v>
      </c>
      <c r="I6333" s="2">
        <v>1504</v>
      </c>
    </row>
    <row r="6334" spans="1:9" x14ac:dyDescent="0.3">
      <c r="A6334" t="s">
        <v>93</v>
      </c>
      <c r="B6334" s="1">
        <v>44958</v>
      </c>
      <c r="C6334" s="2">
        <v>3562233</v>
      </c>
      <c r="D6334" s="2">
        <v>21882</v>
      </c>
      <c r="E6334" s="2">
        <v>2853387</v>
      </c>
      <c r="F6334" s="2">
        <v>3680</v>
      </c>
      <c r="G6334" s="2">
        <v>-53515</v>
      </c>
      <c r="H6334" s="2">
        <v>708846</v>
      </c>
      <c r="I6334" s="2">
        <v>18202</v>
      </c>
    </row>
    <row r="6335" spans="1:9" hidden="1" x14ac:dyDescent="0.3">
      <c r="A6335" t="s">
        <v>93</v>
      </c>
      <c r="B6335" s="1">
        <v>44927</v>
      </c>
      <c r="C6335" s="2">
        <v>3601235</v>
      </c>
      <c r="D6335" s="2" t="s">
        <v>3</v>
      </c>
      <c r="E6335" s="2">
        <v>2910591</v>
      </c>
      <c r="F6335" s="2" t="s">
        <v>3</v>
      </c>
      <c r="G6335" s="2" t="s">
        <v>3</v>
      </c>
      <c r="H6335" s="2">
        <v>690644</v>
      </c>
      <c r="I6335" s="2" t="s">
        <v>3</v>
      </c>
    </row>
    <row r="6336" spans="1:9" hidden="1" x14ac:dyDescent="0.3">
      <c r="A6336" t="s">
        <v>93</v>
      </c>
      <c r="B6336" s="1">
        <v>44896</v>
      </c>
      <c r="C6336" s="2">
        <v>3527235</v>
      </c>
      <c r="D6336" s="2" t="s">
        <v>3</v>
      </c>
      <c r="E6336" s="2">
        <v>2815961</v>
      </c>
      <c r="F6336" s="2" t="s">
        <v>3</v>
      </c>
      <c r="G6336" s="2" t="s">
        <v>3</v>
      </c>
      <c r="H6336" s="2">
        <v>711274</v>
      </c>
      <c r="I6336" s="2" t="s">
        <v>3</v>
      </c>
    </row>
    <row r="6337" spans="1:9" hidden="1" x14ac:dyDescent="0.3">
      <c r="A6337" t="s">
        <v>93</v>
      </c>
      <c r="B6337" s="1">
        <v>44866</v>
      </c>
      <c r="C6337" s="2">
        <v>3522692</v>
      </c>
      <c r="D6337" s="2" t="s">
        <v>3</v>
      </c>
      <c r="E6337" s="2">
        <v>2833932</v>
      </c>
      <c r="F6337" s="2" t="s">
        <v>3</v>
      </c>
      <c r="G6337" s="2" t="s">
        <v>3</v>
      </c>
      <c r="H6337" s="2">
        <v>688760</v>
      </c>
      <c r="I6337" s="2" t="s">
        <v>3</v>
      </c>
    </row>
    <row r="6338" spans="1:9" hidden="1" x14ac:dyDescent="0.3">
      <c r="A6338" t="s">
        <v>93</v>
      </c>
      <c r="B6338" s="1">
        <v>44835</v>
      </c>
      <c r="C6338" s="2">
        <v>3519109</v>
      </c>
      <c r="D6338" s="2" t="s">
        <v>3</v>
      </c>
      <c r="E6338" s="2">
        <v>2821689</v>
      </c>
      <c r="F6338" s="2" t="s">
        <v>3</v>
      </c>
      <c r="G6338" s="2" t="s">
        <v>3</v>
      </c>
      <c r="H6338" s="2">
        <v>697420</v>
      </c>
      <c r="I6338" s="2" t="s">
        <v>3</v>
      </c>
    </row>
    <row r="6339" spans="1:9" hidden="1" x14ac:dyDescent="0.3">
      <c r="A6339" t="s">
        <v>93</v>
      </c>
      <c r="B6339" s="1">
        <v>44805</v>
      </c>
      <c r="C6339" s="2">
        <v>3537809</v>
      </c>
      <c r="D6339" s="2" t="s">
        <v>3</v>
      </c>
      <c r="E6339" s="2">
        <v>2838207</v>
      </c>
      <c r="F6339" s="2" t="s">
        <v>3</v>
      </c>
      <c r="G6339" s="2" t="s">
        <v>3</v>
      </c>
      <c r="H6339" s="2">
        <v>699602</v>
      </c>
      <c r="I6339" s="2" t="s">
        <v>3</v>
      </c>
    </row>
    <row r="6340" spans="1:9" hidden="1" x14ac:dyDescent="0.3">
      <c r="A6340" t="s">
        <v>93</v>
      </c>
      <c r="B6340" s="1">
        <v>44774</v>
      </c>
      <c r="C6340" s="2">
        <v>3615815</v>
      </c>
      <c r="D6340" s="2" t="s">
        <v>3</v>
      </c>
      <c r="E6340" s="2">
        <v>2917205</v>
      </c>
      <c r="F6340" s="2" t="s">
        <v>3</v>
      </c>
      <c r="G6340" s="2" t="s">
        <v>3</v>
      </c>
      <c r="H6340" s="2">
        <v>698610</v>
      </c>
      <c r="I6340" s="2" t="s">
        <v>3</v>
      </c>
    </row>
    <row r="6341" spans="1:9" hidden="1" x14ac:dyDescent="0.3">
      <c r="A6341" t="s">
        <v>93</v>
      </c>
      <c r="B6341" s="1">
        <v>44743</v>
      </c>
      <c r="C6341" s="2">
        <v>3590533</v>
      </c>
      <c r="D6341" s="2" t="s">
        <v>3</v>
      </c>
      <c r="E6341" s="2">
        <v>2940499</v>
      </c>
      <c r="F6341" s="2" t="s">
        <v>3</v>
      </c>
      <c r="G6341" s="2" t="s">
        <v>3</v>
      </c>
      <c r="H6341" s="2">
        <v>650034</v>
      </c>
      <c r="I6341" s="2" t="s">
        <v>3</v>
      </c>
    </row>
    <row r="6342" spans="1:9" hidden="1" x14ac:dyDescent="0.3">
      <c r="A6342" t="s">
        <v>93</v>
      </c>
      <c r="B6342" s="1">
        <v>44713</v>
      </c>
      <c r="C6342" s="2">
        <v>3561669</v>
      </c>
      <c r="D6342" s="2" t="s">
        <v>3</v>
      </c>
      <c r="E6342" s="2">
        <v>2904568</v>
      </c>
      <c r="F6342" s="2" t="s">
        <v>3</v>
      </c>
      <c r="G6342" s="2" t="s">
        <v>3</v>
      </c>
      <c r="H6342" s="2">
        <v>657101</v>
      </c>
      <c r="I6342" s="2" t="s">
        <v>3</v>
      </c>
    </row>
    <row r="6343" spans="1:9" hidden="1" x14ac:dyDescent="0.3">
      <c r="A6343" t="s">
        <v>93</v>
      </c>
      <c r="B6343" s="1">
        <v>44682</v>
      </c>
      <c r="C6343" s="2">
        <v>3544469</v>
      </c>
      <c r="D6343" s="2" t="s">
        <v>3</v>
      </c>
      <c r="E6343" s="2">
        <v>2880226</v>
      </c>
      <c r="F6343" s="2" t="s">
        <v>3</v>
      </c>
      <c r="G6343" s="2" t="s">
        <v>3</v>
      </c>
      <c r="H6343" s="2">
        <v>664243</v>
      </c>
      <c r="I6343" s="2" t="s">
        <v>3</v>
      </c>
    </row>
    <row r="6344" spans="1:9" hidden="1" x14ac:dyDescent="0.3">
      <c r="A6344" t="s">
        <v>93</v>
      </c>
      <c r="B6344" s="1">
        <v>44652</v>
      </c>
      <c r="C6344" s="2">
        <v>3535641</v>
      </c>
      <c r="D6344" s="2" t="s">
        <v>3</v>
      </c>
      <c r="E6344" s="2">
        <v>2804689</v>
      </c>
      <c r="F6344" s="2" t="s">
        <v>3</v>
      </c>
      <c r="G6344" s="2" t="s">
        <v>3</v>
      </c>
      <c r="H6344" s="2">
        <v>730952</v>
      </c>
      <c r="I6344" s="2" t="s">
        <v>3</v>
      </c>
    </row>
    <row r="6345" spans="1:9" hidden="1" x14ac:dyDescent="0.3">
      <c r="A6345" t="s">
        <v>93</v>
      </c>
      <c r="B6345" s="1">
        <v>44621</v>
      </c>
      <c r="C6345" s="2">
        <v>3578913</v>
      </c>
      <c r="D6345" s="2" t="s">
        <v>3</v>
      </c>
      <c r="E6345" s="2">
        <v>2830200</v>
      </c>
      <c r="F6345" s="2" t="s">
        <v>3</v>
      </c>
      <c r="G6345" s="2" t="s">
        <v>3</v>
      </c>
      <c r="H6345" s="2">
        <v>748713</v>
      </c>
      <c r="I6345" s="2" t="s">
        <v>3</v>
      </c>
    </row>
    <row r="6346" spans="1:9" hidden="1" x14ac:dyDescent="0.3">
      <c r="A6346" t="s">
        <v>93</v>
      </c>
      <c r="B6346" s="1">
        <v>44593</v>
      </c>
      <c r="C6346" s="2">
        <v>3579072</v>
      </c>
      <c r="D6346" s="2" t="s">
        <v>3</v>
      </c>
      <c r="E6346" s="2">
        <v>2832589</v>
      </c>
      <c r="F6346" s="2" t="s">
        <v>3</v>
      </c>
      <c r="G6346" s="2" t="s">
        <v>3</v>
      </c>
      <c r="H6346" s="2">
        <v>746483</v>
      </c>
      <c r="I6346" s="2" t="s">
        <v>3</v>
      </c>
    </row>
    <row r="6347" spans="1:9" hidden="1" x14ac:dyDescent="0.3">
      <c r="A6347" t="s">
        <v>93</v>
      </c>
      <c r="B6347" s="1">
        <v>44562</v>
      </c>
      <c r="C6347" s="2">
        <v>3525667</v>
      </c>
      <c r="D6347" s="2" t="s">
        <v>3</v>
      </c>
      <c r="E6347" s="2">
        <v>2795528</v>
      </c>
      <c r="F6347" s="2" t="s">
        <v>3</v>
      </c>
      <c r="G6347" s="2" t="s">
        <v>3</v>
      </c>
      <c r="H6347" s="2">
        <v>730139</v>
      </c>
      <c r="I6347" s="2" t="s">
        <v>3</v>
      </c>
    </row>
    <row r="6348" spans="1:9" hidden="1" x14ac:dyDescent="0.3">
      <c r="A6348" t="s">
        <v>93</v>
      </c>
      <c r="B6348" s="1">
        <v>44531</v>
      </c>
      <c r="C6348" s="2">
        <v>3622718</v>
      </c>
      <c r="D6348" s="2" t="s">
        <v>3</v>
      </c>
      <c r="E6348" s="2">
        <v>2882948</v>
      </c>
      <c r="F6348" s="2" t="s">
        <v>3</v>
      </c>
      <c r="G6348" s="2" t="s">
        <v>3</v>
      </c>
      <c r="H6348" s="2">
        <v>739770</v>
      </c>
      <c r="I6348" s="2" t="s">
        <v>3</v>
      </c>
    </row>
    <row r="6349" spans="1:9" hidden="1" x14ac:dyDescent="0.3">
      <c r="A6349" t="s">
        <v>93</v>
      </c>
      <c r="B6349" s="1">
        <v>44501</v>
      </c>
      <c r="C6349" s="2">
        <v>3526828</v>
      </c>
      <c r="D6349" s="2" t="s">
        <v>3</v>
      </c>
      <c r="E6349" s="2">
        <v>2790929</v>
      </c>
      <c r="F6349" s="2" t="s">
        <v>3</v>
      </c>
      <c r="G6349" s="2" t="s">
        <v>3</v>
      </c>
      <c r="H6349" s="2">
        <v>735899</v>
      </c>
      <c r="I6349" s="2" t="s">
        <v>3</v>
      </c>
    </row>
    <row r="6350" spans="1:9" hidden="1" x14ac:dyDescent="0.3">
      <c r="A6350" t="s">
        <v>93</v>
      </c>
      <c r="B6350" s="1">
        <v>44470</v>
      </c>
      <c r="C6350" s="2">
        <v>3481235</v>
      </c>
      <c r="D6350" s="2" t="s">
        <v>3</v>
      </c>
      <c r="E6350" s="2">
        <v>2766335</v>
      </c>
      <c r="F6350" s="2" t="s">
        <v>3</v>
      </c>
      <c r="G6350" s="2" t="s">
        <v>3</v>
      </c>
      <c r="H6350" s="2">
        <v>714900</v>
      </c>
      <c r="I6350" s="2" t="s">
        <v>3</v>
      </c>
    </row>
    <row r="6351" spans="1:9" hidden="1" x14ac:dyDescent="0.3">
      <c r="A6351" t="s">
        <v>93</v>
      </c>
      <c r="B6351" s="1">
        <v>44440</v>
      </c>
      <c r="C6351" s="2">
        <v>3362965</v>
      </c>
      <c r="D6351" s="2" t="s">
        <v>3</v>
      </c>
      <c r="E6351" s="2">
        <v>2689996</v>
      </c>
      <c r="F6351" s="2" t="s">
        <v>3</v>
      </c>
      <c r="G6351" s="2" t="s">
        <v>3</v>
      </c>
      <c r="H6351" s="2">
        <v>672969</v>
      </c>
      <c r="I6351" s="2" t="s">
        <v>3</v>
      </c>
    </row>
    <row r="6352" spans="1:9" hidden="1" x14ac:dyDescent="0.3">
      <c r="A6352" t="s">
        <v>93</v>
      </c>
      <c r="B6352" s="1">
        <v>44409</v>
      </c>
      <c r="C6352" s="2">
        <v>3362547</v>
      </c>
      <c r="D6352" s="2" t="s">
        <v>3</v>
      </c>
      <c r="E6352" s="2">
        <v>2696084</v>
      </c>
      <c r="F6352" s="2" t="s">
        <v>3</v>
      </c>
      <c r="G6352" s="2" t="s">
        <v>3</v>
      </c>
      <c r="H6352" s="2">
        <v>666463</v>
      </c>
      <c r="I6352" s="2" t="s">
        <v>3</v>
      </c>
    </row>
    <row r="6353" spans="1:9" hidden="1" x14ac:dyDescent="0.3">
      <c r="A6353" t="s">
        <v>93</v>
      </c>
      <c r="B6353" s="1">
        <v>44378</v>
      </c>
      <c r="C6353" s="2">
        <v>3313263</v>
      </c>
      <c r="D6353" s="2" t="s">
        <v>3</v>
      </c>
      <c r="E6353" s="2">
        <v>2664711</v>
      </c>
      <c r="F6353" s="2" t="s">
        <v>3</v>
      </c>
      <c r="G6353" s="2" t="s">
        <v>3</v>
      </c>
      <c r="H6353" s="2">
        <v>648552</v>
      </c>
      <c r="I6353" s="2" t="s">
        <v>3</v>
      </c>
    </row>
    <row r="6354" spans="1:9" hidden="1" x14ac:dyDescent="0.3">
      <c r="A6354" t="s">
        <v>93</v>
      </c>
      <c r="B6354" s="1">
        <v>44348</v>
      </c>
      <c r="C6354" s="2">
        <v>3303006</v>
      </c>
      <c r="D6354" s="2" t="s">
        <v>3</v>
      </c>
      <c r="E6354" s="2">
        <v>2645723</v>
      </c>
      <c r="F6354" s="2" t="s">
        <v>3</v>
      </c>
      <c r="G6354" s="2" t="s">
        <v>3</v>
      </c>
      <c r="H6354" s="2">
        <v>657283</v>
      </c>
      <c r="I6354" s="2" t="s">
        <v>3</v>
      </c>
    </row>
    <row r="6355" spans="1:9" hidden="1" x14ac:dyDescent="0.3">
      <c r="A6355" t="s">
        <v>93</v>
      </c>
      <c r="B6355" s="1">
        <v>44317</v>
      </c>
      <c r="C6355" s="2">
        <v>2918675</v>
      </c>
      <c r="D6355" s="2" t="s">
        <v>3</v>
      </c>
      <c r="E6355" s="2">
        <v>2326946</v>
      </c>
      <c r="F6355" s="2" t="s">
        <v>3</v>
      </c>
      <c r="G6355" s="2" t="s">
        <v>3</v>
      </c>
      <c r="H6355" s="2">
        <v>591729</v>
      </c>
      <c r="I6355" s="2" t="s">
        <v>3</v>
      </c>
    </row>
    <row r="6356" spans="1:9" hidden="1" x14ac:dyDescent="0.3">
      <c r="A6356" t="s">
        <v>93</v>
      </c>
      <c r="B6356" s="1">
        <v>44287</v>
      </c>
      <c r="C6356" s="2">
        <v>2877079</v>
      </c>
      <c r="D6356" s="2" t="s">
        <v>3</v>
      </c>
      <c r="E6356" s="2">
        <v>2291520</v>
      </c>
      <c r="F6356" s="2" t="s">
        <v>3</v>
      </c>
      <c r="G6356" s="2" t="s">
        <v>3</v>
      </c>
      <c r="H6356" s="2">
        <v>585559</v>
      </c>
      <c r="I6356" s="2" t="s">
        <v>3</v>
      </c>
    </row>
    <row r="6357" spans="1:9" hidden="1" x14ac:dyDescent="0.3">
      <c r="A6357" t="s">
        <v>93</v>
      </c>
      <c r="B6357" s="1">
        <v>44256</v>
      </c>
      <c r="C6357" s="2">
        <v>2836210</v>
      </c>
      <c r="D6357" s="2" t="s">
        <v>3</v>
      </c>
      <c r="E6357" s="2">
        <v>2230309</v>
      </c>
      <c r="F6357" s="2" t="s">
        <v>3</v>
      </c>
      <c r="G6357" s="2" t="s">
        <v>3</v>
      </c>
      <c r="H6357" s="2">
        <v>605901</v>
      </c>
      <c r="I6357" s="2" t="s">
        <v>3</v>
      </c>
    </row>
    <row r="6358" spans="1:9" hidden="1" x14ac:dyDescent="0.3">
      <c r="A6358" t="s">
        <v>93</v>
      </c>
      <c r="B6358" s="1">
        <v>44228</v>
      </c>
      <c r="C6358" s="2">
        <v>2873461</v>
      </c>
      <c r="D6358" s="2" t="s">
        <v>3</v>
      </c>
      <c r="E6358" s="2">
        <v>2244123</v>
      </c>
      <c r="F6358" s="2" t="s">
        <v>3</v>
      </c>
      <c r="G6358" s="2" t="s">
        <v>3</v>
      </c>
      <c r="H6358" s="2">
        <v>629338</v>
      </c>
      <c r="I6358" s="2" t="s">
        <v>3</v>
      </c>
    </row>
    <row r="6359" spans="1:9" hidden="1" x14ac:dyDescent="0.3">
      <c r="A6359" t="s">
        <v>93</v>
      </c>
      <c r="B6359" s="1">
        <v>44197</v>
      </c>
      <c r="C6359" s="2">
        <v>2903509</v>
      </c>
      <c r="D6359" s="2" t="s">
        <v>3</v>
      </c>
      <c r="E6359" s="2">
        <v>2266501</v>
      </c>
      <c r="F6359" s="2" t="s">
        <v>3</v>
      </c>
      <c r="G6359" s="2" t="s">
        <v>3</v>
      </c>
      <c r="H6359" s="2">
        <v>637008</v>
      </c>
      <c r="I6359" s="2" t="s">
        <v>3</v>
      </c>
    </row>
    <row r="6360" spans="1:9" hidden="1" x14ac:dyDescent="0.3">
      <c r="A6360" t="s">
        <v>93</v>
      </c>
      <c r="B6360" s="1">
        <v>44166</v>
      </c>
      <c r="C6360" s="2">
        <v>2884199</v>
      </c>
      <c r="D6360" s="2" t="s">
        <v>3</v>
      </c>
      <c r="E6360" s="2">
        <v>2217854</v>
      </c>
      <c r="F6360" s="2" t="s">
        <v>3</v>
      </c>
      <c r="G6360" s="2" t="s">
        <v>3</v>
      </c>
      <c r="H6360" s="2">
        <v>666345</v>
      </c>
      <c r="I6360" s="2" t="s">
        <v>3</v>
      </c>
    </row>
    <row r="6361" spans="1:9" hidden="1" x14ac:dyDescent="0.3">
      <c r="A6361" t="s">
        <v>93</v>
      </c>
      <c r="B6361" s="1">
        <v>44136</v>
      </c>
      <c r="C6361" s="2">
        <v>2874994</v>
      </c>
      <c r="D6361" s="2" t="s">
        <v>3</v>
      </c>
      <c r="E6361" s="2">
        <v>2221721</v>
      </c>
      <c r="F6361" s="2" t="s">
        <v>3</v>
      </c>
      <c r="G6361" s="2" t="s">
        <v>3</v>
      </c>
      <c r="H6361" s="2">
        <v>653273</v>
      </c>
      <c r="I6361" s="2" t="s">
        <v>3</v>
      </c>
    </row>
    <row r="6362" spans="1:9" hidden="1" x14ac:dyDescent="0.3">
      <c r="A6362" t="s">
        <v>93</v>
      </c>
      <c r="B6362" s="1">
        <v>44105</v>
      </c>
      <c r="C6362" s="2">
        <v>2903667</v>
      </c>
      <c r="D6362" s="2" t="s">
        <v>3</v>
      </c>
      <c r="E6362" s="2">
        <v>2267945</v>
      </c>
      <c r="F6362" s="2" t="s">
        <v>3</v>
      </c>
      <c r="G6362" s="2" t="s">
        <v>3</v>
      </c>
      <c r="H6362" s="2">
        <v>635722</v>
      </c>
      <c r="I6362" s="2" t="s">
        <v>3</v>
      </c>
    </row>
    <row r="6363" spans="1:9" hidden="1" x14ac:dyDescent="0.3">
      <c r="A6363" t="s">
        <v>93</v>
      </c>
      <c r="B6363" s="1">
        <v>44075</v>
      </c>
      <c r="C6363" s="2">
        <v>2870336</v>
      </c>
      <c r="D6363" s="2" t="s">
        <v>3</v>
      </c>
      <c r="E6363" s="2">
        <v>2224522</v>
      </c>
      <c r="F6363" s="2" t="s">
        <v>3</v>
      </c>
      <c r="G6363" s="2" t="s">
        <v>3</v>
      </c>
      <c r="H6363" s="2">
        <v>645814</v>
      </c>
      <c r="I6363" s="2" t="s">
        <v>3</v>
      </c>
    </row>
    <row r="6364" spans="1:9" hidden="1" x14ac:dyDescent="0.3">
      <c r="A6364" t="s">
        <v>93</v>
      </c>
      <c r="B6364" s="1">
        <v>44044</v>
      </c>
      <c r="C6364" s="2">
        <v>2882732</v>
      </c>
      <c r="D6364" s="2" t="s">
        <v>3</v>
      </c>
      <c r="E6364" s="2">
        <v>2220118</v>
      </c>
      <c r="F6364" s="2" t="s">
        <v>3</v>
      </c>
      <c r="G6364" s="2" t="s">
        <v>3</v>
      </c>
      <c r="H6364" s="2">
        <v>662614</v>
      </c>
      <c r="I6364" s="2" t="s">
        <v>3</v>
      </c>
    </row>
    <row r="6365" spans="1:9" hidden="1" x14ac:dyDescent="0.3">
      <c r="A6365" t="s">
        <v>93</v>
      </c>
      <c r="B6365" s="1">
        <v>44013</v>
      </c>
      <c r="C6365" s="2">
        <v>2905007</v>
      </c>
      <c r="D6365" s="2" t="s">
        <v>3</v>
      </c>
      <c r="E6365" s="2">
        <v>2259020</v>
      </c>
      <c r="F6365" s="2" t="s">
        <v>3</v>
      </c>
      <c r="G6365" s="2" t="s">
        <v>3</v>
      </c>
      <c r="H6365" s="2">
        <v>645987</v>
      </c>
      <c r="I6365" s="2" t="s">
        <v>3</v>
      </c>
    </row>
    <row r="6366" spans="1:9" hidden="1" x14ac:dyDescent="0.3">
      <c r="A6366" t="s">
        <v>93</v>
      </c>
      <c r="B6366" s="1">
        <v>43983</v>
      </c>
      <c r="C6366" s="2">
        <v>2905009</v>
      </c>
      <c r="D6366" s="2" t="s">
        <v>3</v>
      </c>
      <c r="E6366" s="2">
        <v>2246629</v>
      </c>
      <c r="F6366" s="2" t="s">
        <v>3</v>
      </c>
      <c r="G6366" s="2" t="s">
        <v>3</v>
      </c>
      <c r="H6366" s="2">
        <v>658380</v>
      </c>
      <c r="I6366" s="2" t="s">
        <v>3</v>
      </c>
    </row>
    <row r="6367" spans="1:9" hidden="1" x14ac:dyDescent="0.3">
      <c r="A6367" t="s">
        <v>93</v>
      </c>
      <c r="B6367" s="1">
        <v>43952</v>
      </c>
      <c r="C6367" s="2">
        <v>2872106</v>
      </c>
      <c r="D6367" s="2" t="s">
        <v>3</v>
      </c>
      <c r="E6367" s="2">
        <v>2265900</v>
      </c>
      <c r="F6367" s="2" t="s">
        <v>3</v>
      </c>
      <c r="G6367" s="2" t="s">
        <v>3</v>
      </c>
      <c r="H6367" s="2">
        <v>606206</v>
      </c>
      <c r="I6367" s="2" t="s">
        <v>3</v>
      </c>
    </row>
    <row r="6368" spans="1:9" hidden="1" x14ac:dyDescent="0.3">
      <c r="A6368" t="s">
        <v>93</v>
      </c>
      <c r="B6368" s="1">
        <v>43922</v>
      </c>
      <c r="C6368" s="2">
        <v>2855722</v>
      </c>
      <c r="D6368" s="2" t="s">
        <v>3</v>
      </c>
      <c r="E6368" s="2">
        <v>2305535</v>
      </c>
      <c r="F6368" s="2" t="s">
        <v>3</v>
      </c>
      <c r="G6368" s="2" t="s">
        <v>3</v>
      </c>
      <c r="H6368" s="2">
        <v>550187</v>
      </c>
      <c r="I6368" s="2" t="s">
        <v>3</v>
      </c>
    </row>
    <row r="6369" spans="1:9" hidden="1" x14ac:dyDescent="0.3">
      <c r="A6369" t="s">
        <v>93</v>
      </c>
      <c r="B6369" s="1">
        <v>43891</v>
      </c>
      <c r="C6369" s="2">
        <v>2831627</v>
      </c>
      <c r="D6369" s="2" t="s">
        <v>3</v>
      </c>
      <c r="E6369" s="2">
        <v>2385340</v>
      </c>
      <c r="F6369" s="2" t="s">
        <v>3</v>
      </c>
      <c r="G6369" s="2" t="s">
        <v>3</v>
      </c>
      <c r="H6369" s="2">
        <v>446287</v>
      </c>
      <c r="I6369" s="2" t="s">
        <v>3</v>
      </c>
    </row>
    <row r="6370" spans="1:9" hidden="1" x14ac:dyDescent="0.3">
      <c r="A6370" t="s">
        <v>93</v>
      </c>
      <c r="B6370" s="1">
        <v>43862</v>
      </c>
      <c r="C6370" s="2">
        <v>2961138</v>
      </c>
      <c r="D6370" s="2" t="s">
        <v>3</v>
      </c>
      <c r="E6370" s="2">
        <v>2529764</v>
      </c>
      <c r="F6370" s="2" t="s">
        <v>3</v>
      </c>
      <c r="G6370" s="2" t="s">
        <v>3</v>
      </c>
      <c r="H6370" s="2">
        <v>431374</v>
      </c>
      <c r="I6370" s="2" t="s">
        <v>3</v>
      </c>
    </row>
    <row r="6371" spans="1:9" hidden="1" x14ac:dyDescent="0.3">
      <c r="A6371" t="s">
        <v>93</v>
      </c>
      <c r="B6371" s="1">
        <v>43831</v>
      </c>
      <c r="C6371" s="2">
        <v>2857438</v>
      </c>
      <c r="D6371" s="2" t="s">
        <v>3</v>
      </c>
      <c r="E6371" s="2">
        <v>2446509</v>
      </c>
      <c r="F6371" s="2" t="s">
        <v>3</v>
      </c>
      <c r="G6371" s="2" t="s">
        <v>3</v>
      </c>
      <c r="H6371" s="2">
        <v>410929</v>
      </c>
      <c r="I6371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AFC0-6EE0-4EFC-8A02-77A874F6D2D8}">
  <dimension ref="A3:I36"/>
  <sheetViews>
    <sheetView workbookViewId="0">
      <selection activeCell="C2" sqref="C2"/>
    </sheetView>
  </sheetViews>
  <sheetFormatPr defaultRowHeight="14.4" x14ac:dyDescent="0.3"/>
  <cols>
    <col min="2" max="2" width="27.88671875" bestFit="1" customWidth="1"/>
    <col min="3" max="3" width="32" bestFit="1" customWidth="1"/>
    <col min="4" max="5" width="24.44140625" bestFit="1" customWidth="1"/>
    <col min="7" max="7" width="22.33203125" bestFit="1" customWidth="1"/>
    <col min="8" max="8" width="20.44140625" bestFit="1" customWidth="1"/>
    <col min="9" max="9" width="24.5546875" bestFit="1" customWidth="1"/>
  </cols>
  <sheetData>
    <row r="3" spans="1:9" x14ac:dyDescent="0.3">
      <c r="A3" t="s">
        <v>1</v>
      </c>
      <c r="B3" t="s">
        <v>117</v>
      </c>
      <c r="C3" t="s">
        <v>118</v>
      </c>
      <c r="D3" t="s">
        <v>116</v>
      </c>
      <c r="E3" t="s">
        <v>115</v>
      </c>
      <c r="H3" t="s">
        <v>116</v>
      </c>
      <c r="I3" t="s">
        <v>115</v>
      </c>
    </row>
    <row r="4" spans="1:9" x14ac:dyDescent="0.3">
      <c r="A4" s="1">
        <v>45931</v>
      </c>
      <c r="B4">
        <v>-9921</v>
      </c>
      <c r="C4">
        <v>-29458</v>
      </c>
      <c r="D4">
        <f>Table2[[#This Row],[Foreign official net sales (mn)]]*1000000</f>
        <v>-9921000000</v>
      </c>
      <c r="E4">
        <f>Table2[[#This Row],[Foreign non-official net sales (mn0]]*1000000</f>
        <v>-29458000000</v>
      </c>
      <c r="G4" t="s">
        <v>119</v>
      </c>
      <c r="H4" s="9">
        <f>AVERAGE(Table2[Foreign official net sales])</f>
        <v>4938666666.666667</v>
      </c>
      <c r="I4" s="9">
        <f>AVERAGE(Table2[Foreign non-official net sales])</f>
        <v>52657363636.36364</v>
      </c>
    </row>
    <row r="5" spans="1:9" x14ac:dyDescent="0.3">
      <c r="A5" s="1">
        <v>45901</v>
      </c>
      <c r="B5">
        <v>-56298</v>
      </c>
      <c r="C5">
        <v>60113</v>
      </c>
      <c r="D5">
        <f>Table2[[#This Row],[Foreign official net sales (mn)]]*1000000</f>
        <v>-56298000000</v>
      </c>
      <c r="E5">
        <f>Table2[[#This Row],[Foreign non-official net sales (mn0]]*1000000</f>
        <v>60113000000</v>
      </c>
      <c r="G5" t="s">
        <v>120</v>
      </c>
      <c r="H5" s="9">
        <f>STDEV(Table2[Foreign official net sales])</f>
        <v>24561406049.006371</v>
      </c>
      <c r="I5" s="9">
        <f>STDEV(Table2[Foreign non-official net sales])</f>
        <v>51169900296.596596</v>
      </c>
    </row>
    <row r="6" spans="1:9" x14ac:dyDescent="0.3">
      <c r="A6" s="1">
        <v>45870</v>
      </c>
      <c r="B6">
        <v>-6957</v>
      </c>
      <c r="C6">
        <v>80303</v>
      </c>
      <c r="D6">
        <f>Table2[[#This Row],[Foreign official net sales (mn)]]*1000000</f>
        <v>-6957000000</v>
      </c>
      <c r="E6">
        <f>Table2[[#This Row],[Foreign non-official net sales (mn0]]*1000000</f>
        <v>80303000000</v>
      </c>
    </row>
    <row r="7" spans="1:9" x14ac:dyDescent="0.3">
      <c r="A7" s="1">
        <v>45839</v>
      </c>
      <c r="B7">
        <v>14025</v>
      </c>
      <c r="C7">
        <v>27492</v>
      </c>
      <c r="D7">
        <f>Table2[[#This Row],[Foreign official net sales (mn)]]*1000000</f>
        <v>14025000000</v>
      </c>
      <c r="E7">
        <f>Table2[[#This Row],[Foreign non-official net sales (mn0]]*1000000</f>
        <v>27492000000</v>
      </c>
    </row>
    <row r="8" spans="1:9" x14ac:dyDescent="0.3">
      <c r="A8" s="1">
        <v>45809</v>
      </c>
      <c r="B8">
        <v>-3794</v>
      </c>
      <c r="C8">
        <v>13871</v>
      </c>
      <c r="D8">
        <f>Table2[[#This Row],[Foreign official net sales (mn)]]*1000000</f>
        <v>-3794000000</v>
      </c>
      <c r="E8">
        <f>Table2[[#This Row],[Foreign non-official net sales (mn0]]*1000000</f>
        <v>13871000000</v>
      </c>
    </row>
    <row r="9" spans="1:9" x14ac:dyDescent="0.3">
      <c r="A9" s="1">
        <v>45778</v>
      </c>
      <c r="B9">
        <v>-358</v>
      </c>
      <c r="C9">
        <v>138645</v>
      </c>
      <c r="D9">
        <f>Table2[[#This Row],[Foreign official net sales (mn)]]*1000000</f>
        <v>-358000000</v>
      </c>
      <c r="E9">
        <f>Table2[[#This Row],[Foreign non-official net sales (mn0]]*1000000</f>
        <v>138645000000</v>
      </c>
    </row>
    <row r="10" spans="1:9" x14ac:dyDescent="0.3">
      <c r="A10" s="1">
        <v>45748</v>
      </c>
      <c r="B10">
        <v>-11347</v>
      </c>
      <c r="C10">
        <v>-58948</v>
      </c>
      <c r="D10">
        <f>Table2[[#This Row],[Foreign official net sales (mn)]]*1000000</f>
        <v>-11347000000</v>
      </c>
      <c r="E10">
        <f>Table2[[#This Row],[Foreign non-official net sales (mn0]]*1000000</f>
        <v>-58948000000</v>
      </c>
    </row>
    <row r="11" spans="1:9" x14ac:dyDescent="0.3">
      <c r="A11" s="1">
        <v>45717</v>
      </c>
      <c r="B11">
        <v>25691</v>
      </c>
      <c r="C11">
        <v>118915</v>
      </c>
      <c r="D11">
        <f>Table2[[#This Row],[Foreign official net sales (mn)]]*1000000</f>
        <v>25691000000</v>
      </c>
      <c r="E11">
        <f>Table2[[#This Row],[Foreign non-official net sales (mn0]]*1000000</f>
        <v>118915000000</v>
      </c>
    </row>
    <row r="12" spans="1:9" x14ac:dyDescent="0.3">
      <c r="A12" s="1">
        <v>45689</v>
      </c>
      <c r="B12">
        <v>39886</v>
      </c>
      <c r="C12">
        <v>127623</v>
      </c>
      <c r="D12">
        <f>Table2[[#This Row],[Foreign official net sales (mn)]]*1000000</f>
        <v>39886000000</v>
      </c>
      <c r="E12">
        <f>Table2[[#This Row],[Foreign non-official net sales (mn0]]*1000000</f>
        <v>127623000000</v>
      </c>
    </row>
    <row r="13" spans="1:9" x14ac:dyDescent="0.3">
      <c r="A13" s="1">
        <v>45658</v>
      </c>
      <c r="B13">
        <v>42311</v>
      </c>
      <c r="C13">
        <v>-13781</v>
      </c>
      <c r="D13">
        <f>Table2[[#This Row],[Foreign official net sales (mn)]]*1000000</f>
        <v>42311000000</v>
      </c>
      <c r="E13">
        <f>Table2[[#This Row],[Foreign non-official net sales (mn0]]*1000000</f>
        <v>-13781000000</v>
      </c>
    </row>
    <row r="14" spans="1:9" x14ac:dyDescent="0.3">
      <c r="A14" s="1">
        <v>45627</v>
      </c>
      <c r="B14">
        <v>-37799</v>
      </c>
      <c r="C14">
        <v>41134</v>
      </c>
      <c r="D14">
        <f>Table2[[#This Row],[Foreign official net sales (mn)]]*1000000</f>
        <v>-37799000000</v>
      </c>
      <c r="E14">
        <f>Table2[[#This Row],[Foreign non-official net sales (mn0]]*1000000</f>
        <v>41134000000</v>
      </c>
    </row>
    <row r="15" spans="1:9" x14ac:dyDescent="0.3">
      <c r="A15" s="1">
        <v>45597</v>
      </c>
      <c r="B15">
        <v>-8469</v>
      </c>
      <c r="C15">
        <v>-17940</v>
      </c>
      <c r="D15">
        <f>Table2[[#This Row],[Foreign official net sales (mn)]]*1000000</f>
        <v>-8469000000</v>
      </c>
      <c r="E15">
        <f>Table2[[#This Row],[Foreign non-official net sales (mn0]]*1000000</f>
        <v>-17940000000</v>
      </c>
    </row>
    <row r="16" spans="1:9" x14ac:dyDescent="0.3">
      <c r="A16" s="1">
        <v>45566</v>
      </c>
      <c r="B16">
        <v>8810</v>
      </c>
      <c r="C16">
        <v>87292</v>
      </c>
      <c r="D16">
        <f>Table2[[#This Row],[Foreign official net sales (mn)]]*1000000</f>
        <v>8810000000</v>
      </c>
      <c r="E16">
        <f>Table2[[#This Row],[Foreign non-official net sales (mn0]]*1000000</f>
        <v>87292000000</v>
      </c>
    </row>
    <row r="17" spans="1:5" x14ac:dyDescent="0.3">
      <c r="A17" s="1">
        <v>45536</v>
      </c>
      <c r="B17">
        <v>6373</v>
      </c>
      <c r="C17">
        <v>68251</v>
      </c>
      <c r="D17">
        <f>Table2[[#This Row],[Foreign official net sales (mn)]]*1000000</f>
        <v>6373000000</v>
      </c>
      <c r="E17">
        <f>Table2[[#This Row],[Foreign non-official net sales (mn0]]*1000000</f>
        <v>68251000000</v>
      </c>
    </row>
    <row r="18" spans="1:5" x14ac:dyDescent="0.3">
      <c r="A18" s="1">
        <v>45505</v>
      </c>
      <c r="B18">
        <v>5507</v>
      </c>
      <c r="C18">
        <v>86731</v>
      </c>
      <c r="D18">
        <f>Table2[[#This Row],[Foreign official net sales (mn)]]*1000000</f>
        <v>5507000000</v>
      </c>
      <c r="E18">
        <f>Table2[[#This Row],[Foreign non-official net sales (mn0]]*1000000</f>
        <v>86731000000</v>
      </c>
    </row>
    <row r="19" spans="1:5" x14ac:dyDescent="0.3">
      <c r="A19" s="1">
        <v>45474</v>
      </c>
      <c r="B19">
        <v>-30014</v>
      </c>
      <c r="C19">
        <v>99742</v>
      </c>
      <c r="D19">
        <f>Table2[[#This Row],[Foreign official net sales (mn)]]*1000000</f>
        <v>-30014000000</v>
      </c>
      <c r="E19">
        <f>Table2[[#This Row],[Foreign non-official net sales (mn0]]*1000000</f>
        <v>99742000000</v>
      </c>
    </row>
    <row r="20" spans="1:5" x14ac:dyDescent="0.3">
      <c r="A20" s="1">
        <v>45444</v>
      </c>
      <c r="B20">
        <v>7026</v>
      </c>
      <c r="C20">
        <v>77805</v>
      </c>
      <c r="D20">
        <f>Table2[[#This Row],[Foreign official net sales (mn)]]*1000000</f>
        <v>7026000000</v>
      </c>
      <c r="E20">
        <f>Table2[[#This Row],[Foreign non-official net sales (mn0]]*1000000</f>
        <v>77805000000</v>
      </c>
    </row>
    <row r="21" spans="1:5" x14ac:dyDescent="0.3">
      <c r="A21" s="1">
        <v>45413</v>
      </c>
      <c r="B21">
        <v>-19157</v>
      </c>
      <c r="C21">
        <v>62621</v>
      </c>
      <c r="D21">
        <f>Table2[[#This Row],[Foreign official net sales (mn)]]*1000000</f>
        <v>-19157000000</v>
      </c>
      <c r="E21">
        <f>Table2[[#This Row],[Foreign non-official net sales (mn0]]*1000000</f>
        <v>62621000000</v>
      </c>
    </row>
    <row r="22" spans="1:5" x14ac:dyDescent="0.3">
      <c r="A22" s="1">
        <v>45383</v>
      </c>
      <c r="B22">
        <v>35302</v>
      </c>
      <c r="C22">
        <v>37632</v>
      </c>
      <c r="D22">
        <f>Table2[[#This Row],[Foreign official net sales (mn)]]*1000000</f>
        <v>35302000000</v>
      </c>
      <c r="E22">
        <f>Table2[[#This Row],[Foreign non-official net sales (mn0]]*1000000</f>
        <v>37632000000</v>
      </c>
    </row>
    <row r="23" spans="1:5" x14ac:dyDescent="0.3">
      <c r="A23" s="1">
        <v>45352</v>
      </c>
      <c r="B23">
        <v>32386</v>
      </c>
      <c r="C23">
        <v>17647</v>
      </c>
      <c r="D23">
        <f>Table2[[#This Row],[Foreign official net sales (mn)]]*1000000</f>
        <v>32386000000</v>
      </c>
      <c r="E23">
        <f>Table2[[#This Row],[Foreign non-official net sales (mn0]]*1000000</f>
        <v>17647000000</v>
      </c>
    </row>
    <row r="24" spans="1:5" x14ac:dyDescent="0.3">
      <c r="A24" s="1">
        <v>45323</v>
      </c>
      <c r="B24">
        <v>32676</v>
      </c>
      <c r="C24">
        <v>93655</v>
      </c>
      <c r="D24">
        <f>Table2[[#This Row],[Foreign official net sales (mn)]]*1000000</f>
        <v>32676000000</v>
      </c>
      <c r="E24">
        <f>Table2[[#This Row],[Foreign non-official net sales (mn0]]*1000000</f>
        <v>93655000000</v>
      </c>
    </row>
    <row r="25" spans="1:5" x14ac:dyDescent="0.3">
      <c r="A25" s="1">
        <v>45292</v>
      </c>
      <c r="B25">
        <v>-2440</v>
      </c>
      <c r="C25">
        <v>27392</v>
      </c>
      <c r="D25">
        <f>Table2[[#This Row],[Foreign official net sales (mn)]]*1000000</f>
        <v>-2440000000</v>
      </c>
      <c r="E25">
        <f>Table2[[#This Row],[Foreign non-official net sales (mn0]]*1000000</f>
        <v>27392000000</v>
      </c>
    </row>
    <row r="26" spans="1:5" x14ac:dyDescent="0.3">
      <c r="A26" s="1">
        <v>45261</v>
      </c>
      <c r="B26">
        <v>27700</v>
      </c>
      <c r="C26">
        <v>4662</v>
      </c>
      <c r="D26">
        <f>Table2[[#This Row],[Foreign official net sales (mn)]]*1000000</f>
        <v>27700000000</v>
      </c>
      <c r="E26">
        <f>Table2[[#This Row],[Foreign non-official net sales (mn0]]*1000000</f>
        <v>4662000000</v>
      </c>
    </row>
    <row r="27" spans="1:5" x14ac:dyDescent="0.3">
      <c r="A27" s="1">
        <v>45231</v>
      </c>
      <c r="B27">
        <v>-21137</v>
      </c>
      <c r="C27">
        <v>155741</v>
      </c>
      <c r="D27">
        <f>Table2[[#This Row],[Foreign official net sales (mn)]]*1000000</f>
        <v>-21137000000</v>
      </c>
      <c r="E27">
        <f>Table2[[#This Row],[Foreign non-official net sales (mn0]]*1000000</f>
        <v>155741000000</v>
      </c>
    </row>
    <row r="28" spans="1:5" x14ac:dyDescent="0.3">
      <c r="A28" s="1">
        <v>45200</v>
      </c>
      <c r="B28">
        <v>-19778</v>
      </c>
      <c r="C28">
        <v>13954</v>
      </c>
      <c r="D28">
        <f>Table2[[#This Row],[Foreign official net sales (mn)]]*1000000</f>
        <v>-19778000000</v>
      </c>
      <c r="E28">
        <f>Table2[[#This Row],[Foreign non-official net sales (mn0]]*1000000</f>
        <v>13954000000</v>
      </c>
    </row>
    <row r="29" spans="1:5" x14ac:dyDescent="0.3">
      <c r="A29" s="1">
        <v>45170</v>
      </c>
      <c r="B29">
        <v>12429</v>
      </c>
      <c r="C29">
        <v>20630</v>
      </c>
      <c r="D29">
        <f>Table2[[#This Row],[Foreign official net sales (mn)]]*1000000</f>
        <v>12429000000</v>
      </c>
      <c r="E29">
        <f>Table2[[#This Row],[Foreign non-official net sales (mn0]]*1000000</f>
        <v>20630000000</v>
      </c>
    </row>
    <row r="30" spans="1:5" x14ac:dyDescent="0.3">
      <c r="A30" s="1">
        <v>45139</v>
      </c>
      <c r="B30">
        <v>-4155</v>
      </c>
      <c r="C30">
        <v>46387</v>
      </c>
      <c r="D30">
        <f>Table2[[#This Row],[Foreign official net sales (mn)]]*1000000</f>
        <v>-4155000000</v>
      </c>
      <c r="E30">
        <f>Table2[[#This Row],[Foreign non-official net sales (mn0]]*1000000</f>
        <v>46387000000</v>
      </c>
    </row>
    <row r="31" spans="1:5" x14ac:dyDescent="0.3">
      <c r="A31" s="1">
        <v>45108</v>
      </c>
      <c r="B31">
        <v>-7251</v>
      </c>
      <c r="C31">
        <v>36972</v>
      </c>
      <c r="D31">
        <f>Table2[[#This Row],[Foreign official net sales (mn)]]*1000000</f>
        <v>-7251000000</v>
      </c>
      <c r="E31">
        <f>Table2[[#This Row],[Foreign non-official net sales (mn0]]*1000000</f>
        <v>36972000000</v>
      </c>
    </row>
    <row r="32" spans="1:5" x14ac:dyDescent="0.3">
      <c r="A32" s="1">
        <v>45078</v>
      </c>
      <c r="B32">
        <v>11987</v>
      </c>
      <c r="C32">
        <v>128450</v>
      </c>
      <c r="D32">
        <f>Table2[[#This Row],[Foreign official net sales (mn)]]*1000000</f>
        <v>11987000000</v>
      </c>
      <c r="E32">
        <f>Table2[[#This Row],[Foreign non-official net sales (mn0]]*1000000</f>
        <v>128450000000</v>
      </c>
    </row>
    <row r="33" spans="1:5" x14ac:dyDescent="0.3">
      <c r="A33" s="1">
        <v>45047</v>
      </c>
      <c r="B33">
        <v>29906</v>
      </c>
      <c r="C33">
        <v>14631</v>
      </c>
      <c r="D33">
        <f>Table2[[#This Row],[Foreign official net sales (mn)]]*1000000</f>
        <v>29906000000</v>
      </c>
      <c r="E33">
        <f>Table2[[#This Row],[Foreign non-official net sales (mn0]]*1000000</f>
        <v>14631000000</v>
      </c>
    </row>
    <row r="34" spans="1:5" x14ac:dyDescent="0.3">
      <c r="A34" s="1">
        <v>45017</v>
      </c>
      <c r="B34">
        <v>14536</v>
      </c>
      <c r="C34">
        <v>56487</v>
      </c>
      <c r="D34">
        <f>Table2[[#This Row],[Foreign official net sales (mn)]]*1000000</f>
        <v>14536000000</v>
      </c>
      <c r="E34">
        <f>Table2[[#This Row],[Foreign non-official net sales (mn0]]*1000000</f>
        <v>56487000000</v>
      </c>
    </row>
    <row r="35" spans="1:5" x14ac:dyDescent="0.3">
      <c r="A35" s="1">
        <v>44986</v>
      </c>
      <c r="B35">
        <v>549</v>
      </c>
      <c r="C35">
        <v>91160</v>
      </c>
      <c r="D35">
        <f>Table2[[#This Row],[Foreign official net sales (mn)]]*1000000</f>
        <v>549000000</v>
      </c>
      <c r="E35">
        <f>Table2[[#This Row],[Foreign non-official net sales (mn0]]*1000000</f>
        <v>91160000000</v>
      </c>
    </row>
    <row r="36" spans="1:5" x14ac:dyDescent="0.3">
      <c r="A36" s="1">
        <v>44958</v>
      </c>
      <c r="B36">
        <v>54751</v>
      </c>
      <c r="C36">
        <v>21882</v>
      </c>
      <c r="D36">
        <f>Table2[[#This Row],[Foreign official net sales (mn)]]*1000000</f>
        <v>54751000000</v>
      </c>
      <c r="E36">
        <f>Table2[[#This Row],[Foreign non-official net sales (mn0]]*1000000</f>
        <v>21882000000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77A5-394A-4546-9A9C-F1CD9AA08F8A}">
  <dimension ref="S4:AF37"/>
  <sheetViews>
    <sheetView topLeftCell="AA1" workbookViewId="0">
      <selection activeCell="AD2" sqref="AD2"/>
    </sheetView>
  </sheetViews>
  <sheetFormatPr defaultRowHeight="14.4" x14ac:dyDescent="0.3"/>
  <cols>
    <col min="19" max="19" width="25.44140625" bestFit="1" customWidth="1"/>
    <col min="20" max="20" width="26.44140625" bestFit="1" customWidth="1"/>
    <col min="21" max="21" width="24.6640625" bestFit="1" customWidth="1"/>
    <col min="22" max="22" width="27.44140625" bestFit="1" customWidth="1"/>
    <col min="27" max="27" width="10.33203125" customWidth="1"/>
    <col min="28" max="28" width="26.33203125" customWidth="1"/>
    <col min="29" max="29" width="21.109375" customWidth="1"/>
    <col min="30" max="30" width="40.6640625" customWidth="1"/>
    <col min="31" max="31" width="59.109375" bestFit="1" customWidth="1"/>
    <col min="32" max="32" width="43.5546875" bestFit="1" customWidth="1"/>
  </cols>
  <sheetData>
    <row r="4" spans="19:32" x14ac:dyDescent="0.3">
      <c r="S4" t="s">
        <v>103</v>
      </c>
      <c r="T4" t="s">
        <v>101</v>
      </c>
      <c r="U4" t="s">
        <v>105</v>
      </c>
      <c r="V4" t="s">
        <v>106</v>
      </c>
      <c r="AA4" t="s">
        <v>111</v>
      </c>
      <c r="AB4" t="s">
        <v>107</v>
      </c>
      <c r="AC4" t="s">
        <v>108</v>
      </c>
      <c r="AD4" t="s">
        <v>110</v>
      </c>
      <c r="AE4" t="s">
        <v>114</v>
      </c>
      <c r="AF4" t="s">
        <v>113</v>
      </c>
    </row>
    <row r="5" spans="19:32" x14ac:dyDescent="0.3">
      <c r="S5" t="s">
        <v>65</v>
      </c>
      <c r="T5" s="2">
        <v>1079292</v>
      </c>
      <c r="U5" s="4">
        <f>$T5/$T$16</f>
        <v>0.12521627027702434</v>
      </c>
      <c r="V5" s="5">
        <f>T5/$AB$28</f>
        <v>3.7330877950989001E-2</v>
      </c>
      <c r="AA5" s="1">
        <v>44958</v>
      </c>
      <c r="AB5" s="2">
        <v>24609240.800815798</v>
      </c>
      <c r="AC5" s="2">
        <v>7254900</v>
      </c>
      <c r="AD5" s="5">
        <f>AC5/AB5</f>
        <v>0.2948038933309759</v>
      </c>
      <c r="AE5" s="2">
        <v>31459291.457673501</v>
      </c>
      <c r="AF5" s="5">
        <f>Table3[[#This Row],[Total Foreign Holdings]]/Table3[[#This Row],[Total National Debt (public debt + intragovernmental debt)]]</f>
        <v>0.23061231400462442</v>
      </c>
    </row>
    <row r="6" spans="19:32" x14ac:dyDescent="0.3">
      <c r="S6" t="s">
        <v>60</v>
      </c>
      <c r="T6" s="2">
        <v>760818</v>
      </c>
      <c r="U6" s="4">
        <f t="shared" ref="U6:U16" si="0">$T6/$T$16</f>
        <v>8.8267857372819503E-2</v>
      </c>
      <c r="V6" s="5">
        <f t="shared" ref="V6:V16" si="1">T6/$AB$28</f>
        <v>2.6315402968719814E-2</v>
      </c>
      <c r="AA6" s="8">
        <v>44986</v>
      </c>
      <c r="AB6" s="2">
        <v>24693515.024481401</v>
      </c>
      <c r="AC6" s="2">
        <v>7468642</v>
      </c>
      <c r="AD6" s="5">
        <f t="shared" ref="AD6:AD37" si="2">AC6/AB6</f>
        <v>0.30245357911158105</v>
      </c>
      <c r="AE6" s="2">
        <v>31458437.645716801</v>
      </c>
      <c r="AF6" s="5">
        <f>Table3[[#This Row],[Total Foreign Holdings]]/Table3[[#This Row],[Total National Debt (public debt + intragovernmental debt)]]</f>
        <v>0.23741299819499737</v>
      </c>
    </row>
    <row r="7" spans="19:32" x14ac:dyDescent="0.3">
      <c r="S7" t="s">
        <v>21</v>
      </c>
      <c r="T7" s="2">
        <v>740229</v>
      </c>
      <c r="U7" s="4">
        <f t="shared" si="0"/>
        <v>8.5879182400028398E-2</v>
      </c>
      <c r="V7" s="5">
        <f t="shared" si="1"/>
        <v>2.5603264412950931E-2</v>
      </c>
      <c r="AA7" s="1">
        <v>45017</v>
      </c>
      <c r="AB7" s="2">
        <v>24605068.000536501</v>
      </c>
      <c r="AC7" s="2">
        <v>7505983</v>
      </c>
      <c r="AD7" s="5">
        <f t="shared" si="2"/>
        <v>0.30505841316253773</v>
      </c>
      <c r="AE7" s="2">
        <v>31457815.026385501</v>
      </c>
      <c r="AF7" s="5">
        <f>Table3[[#This Row],[Total Foreign Holdings]]/Table3[[#This Row],[Total National Debt (public debt + intragovernmental debt)]]</f>
        <v>0.23860471535306235</v>
      </c>
    </row>
    <row r="8" spans="19:32" x14ac:dyDescent="0.3">
      <c r="S8" t="s">
        <v>13</v>
      </c>
      <c r="T8" s="2">
        <v>409899</v>
      </c>
      <c r="U8" s="4">
        <f t="shared" si="0"/>
        <v>4.7555271391136043E-2</v>
      </c>
      <c r="V8" s="5">
        <f t="shared" si="1"/>
        <v>1.4177710518777531E-2</v>
      </c>
      <c r="AA8" s="1">
        <v>45047</v>
      </c>
      <c r="AB8" s="2">
        <v>24630686.2480428</v>
      </c>
      <c r="AC8" s="2">
        <v>7458553</v>
      </c>
      <c r="AD8" s="5">
        <f t="shared" si="2"/>
        <v>0.3028154767954413</v>
      </c>
      <c r="AE8" s="2">
        <v>31464457.4301522</v>
      </c>
      <c r="AF8" s="5">
        <f>Table3[[#This Row],[Total Foreign Holdings]]/Table3[[#This Row],[Total National Debt (public debt + intragovernmental debt)]]</f>
        <v>0.23704692879440895</v>
      </c>
    </row>
    <row r="9" spans="19:32" x14ac:dyDescent="0.3">
      <c r="S9" t="s">
        <v>56</v>
      </c>
      <c r="T9" s="2">
        <v>408574</v>
      </c>
      <c r="U9" s="4">
        <f t="shared" si="0"/>
        <v>4.740154880436892E-2</v>
      </c>
      <c r="V9" s="5">
        <f t="shared" si="1"/>
        <v>1.4131881018248424E-2</v>
      </c>
      <c r="AA9" s="1">
        <v>45078</v>
      </c>
      <c r="AB9" s="2">
        <v>25461998.182279699</v>
      </c>
      <c r="AC9" s="2">
        <v>7563215</v>
      </c>
      <c r="AD9" s="5">
        <f t="shared" si="2"/>
        <v>0.29703933469226412</v>
      </c>
      <c r="AE9" s="2">
        <v>32332274.179986801</v>
      </c>
      <c r="AF9" s="5">
        <f>Table3[[#This Row],[Total Foreign Holdings]]/Table3[[#This Row],[Total National Debt (public debt + intragovernmental debt)]]</f>
        <v>0.23392152862174842</v>
      </c>
    </row>
    <row r="10" spans="19:32" x14ac:dyDescent="0.3">
      <c r="S10" t="s">
        <v>4</v>
      </c>
      <c r="T10" s="2">
        <v>377671</v>
      </c>
      <c r="U10" s="4">
        <f t="shared" si="0"/>
        <v>4.3816274012773243E-2</v>
      </c>
      <c r="V10" s="5">
        <f t="shared" si="1"/>
        <v>1.3062998712700516E-2</v>
      </c>
      <c r="AA10" s="1">
        <v>45108</v>
      </c>
      <c r="AB10" s="2">
        <v>25708799.263748098</v>
      </c>
      <c r="AC10" s="2">
        <v>7595100</v>
      </c>
      <c r="AD10" s="5">
        <f t="shared" si="2"/>
        <v>0.29542803310576343</v>
      </c>
      <c r="AE10" s="2">
        <v>32608585.1096044</v>
      </c>
      <c r="AF10" s="5">
        <f>Table3[[#This Row],[Total Foreign Holdings]]/Table3[[#This Row],[Total National Debt (public debt + intragovernmental debt)]]</f>
        <v>0.23291718958278168</v>
      </c>
    </row>
    <row r="11" spans="19:32" x14ac:dyDescent="0.3">
      <c r="S11" t="s">
        <v>34</v>
      </c>
      <c r="T11" s="2">
        <v>350815</v>
      </c>
      <c r="U11" s="4">
        <f t="shared" si="0"/>
        <v>4.0700520208835328E-2</v>
      </c>
      <c r="V11" s="5">
        <f t="shared" si="1"/>
        <v>1.2134095266504528E-2</v>
      </c>
      <c r="AA11" s="1">
        <v>45139</v>
      </c>
      <c r="AB11" s="2">
        <v>26044050.623762101</v>
      </c>
      <c r="AC11" s="2">
        <v>7620532</v>
      </c>
      <c r="AD11" s="5">
        <f t="shared" si="2"/>
        <v>0.29260164288911228</v>
      </c>
      <c r="AE11" s="2">
        <v>32914149.2829662</v>
      </c>
      <c r="AF11" s="5">
        <f>Table3[[#This Row],[Total Foreign Holdings]]/Table3[[#This Row],[Total National Debt (public debt + intragovernmental debt)]]</f>
        <v>0.23152753955405414</v>
      </c>
    </row>
    <row r="12" spans="19:32" x14ac:dyDescent="0.3">
      <c r="S12" t="s">
        <v>8</v>
      </c>
      <c r="T12" s="2">
        <v>335391</v>
      </c>
      <c r="U12" s="4">
        <f t="shared" si="0"/>
        <v>3.8911073281819447E-2</v>
      </c>
      <c r="V12" s="5">
        <f t="shared" si="1"/>
        <v>1.1600605292043443E-2</v>
      </c>
      <c r="AA12" s="1">
        <v>45170</v>
      </c>
      <c r="AB12" s="2">
        <v>26330141.852956101</v>
      </c>
      <c r="AC12" s="2">
        <v>7509115</v>
      </c>
      <c r="AD12" s="5">
        <f t="shared" si="2"/>
        <v>0.28519082965582077</v>
      </c>
      <c r="AE12" s="2">
        <v>33167333.825457301</v>
      </c>
      <c r="AF12" s="5">
        <f>Table3[[#This Row],[Total Foreign Holdings]]/Table3[[#This Row],[Total National Debt (public debt + intragovernmental debt)]]</f>
        <v>0.22640092325529174</v>
      </c>
    </row>
    <row r="13" spans="19:32" x14ac:dyDescent="0.3">
      <c r="S13" t="s">
        <v>11</v>
      </c>
      <c r="T13" s="2">
        <v>329697</v>
      </c>
      <c r="U13" s="4">
        <f t="shared" si="0"/>
        <v>3.8250472218383992E-2</v>
      </c>
      <c r="V13" s="5">
        <f t="shared" si="1"/>
        <v>1.1403659498826286E-2</v>
      </c>
      <c r="AA13" s="1">
        <v>45200</v>
      </c>
      <c r="AB13" s="2">
        <v>26576222.041190598</v>
      </c>
      <c r="AC13" s="2">
        <v>7476742</v>
      </c>
      <c r="AD13" s="5">
        <f t="shared" si="2"/>
        <v>0.28133201131491775</v>
      </c>
      <c r="AE13" s="2">
        <v>33699579.587765403</v>
      </c>
      <c r="AF13" s="5">
        <f>Table3[[#This Row],[Total Foreign Holdings]]/Table3[[#This Row],[Total National Debt (public debt + intragovernmental debt)]]</f>
        <v>0.22186454820683946</v>
      </c>
    </row>
    <row r="14" spans="19:32" x14ac:dyDescent="0.3">
      <c r="S14" t="s">
        <v>19</v>
      </c>
      <c r="T14" s="2">
        <v>301150</v>
      </c>
      <c r="U14" s="4">
        <f t="shared" si="0"/>
        <v>3.4938533588617246E-2</v>
      </c>
      <c r="V14" s="5">
        <f t="shared" si="1"/>
        <v>1.0416267233464472E-2</v>
      </c>
      <c r="AA14" s="1">
        <v>45231</v>
      </c>
      <c r="AB14" s="2">
        <v>26843822.063999899</v>
      </c>
      <c r="AC14" s="2">
        <v>7716320</v>
      </c>
      <c r="AD14" s="5">
        <f t="shared" si="2"/>
        <v>0.28745235986153828</v>
      </c>
      <c r="AE14" s="2">
        <v>33878678.789783299</v>
      </c>
      <c r="AF14" s="5">
        <f>Table3[[#This Row],[Total Foreign Holdings]]/Table3[[#This Row],[Total National Debt (public debt + intragovernmental debt)]]</f>
        <v>0.22776330942182402</v>
      </c>
    </row>
    <row r="15" spans="19:32" x14ac:dyDescent="0.3">
      <c r="S15" t="s">
        <v>104</v>
      </c>
      <c r="T15" s="2">
        <f>SUM(T5:T14)</f>
        <v>5093536</v>
      </c>
      <c r="U15" s="4">
        <f t="shared" si="0"/>
        <v>0.59093700355580647</v>
      </c>
      <c r="V15" s="5">
        <f t="shared" si="1"/>
        <v>0.17617676287322495</v>
      </c>
      <c r="AA15" s="1">
        <v>45261</v>
      </c>
      <c r="AB15" s="2">
        <v>26938517.5432868</v>
      </c>
      <c r="AC15" s="2">
        <v>7940008</v>
      </c>
      <c r="AD15" s="5">
        <f t="shared" si="2"/>
        <v>0.29474554370861011</v>
      </c>
      <c r="AE15" s="2">
        <v>34001493.584167697</v>
      </c>
      <c r="AF15" s="5">
        <f>Table3[[#This Row],[Total Foreign Holdings]]/Table3[[#This Row],[Total National Debt (public debt + intragovernmental debt)]]</f>
        <v>0.23351938879817769</v>
      </c>
    </row>
    <row r="16" spans="19:32" x14ac:dyDescent="0.3">
      <c r="S16" t="s">
        <v>108</v>
      </c>
      <c r="T16" s="2">
        <v>8619423</v>
      </c>
      <c r="U16" s="4">
        <f t="shared" si="0"/>
        <v>1</v>
      </c>
      <c r="V16" s="5">
        <f t="shared" si="1"/>
        <v>0.2981312082559191</v>
      </c>
      <c r="AA16" s="1">
        <v>45292</v>
      </c>
      <c r="AB16" s="2">
        <v>27071861.911249202</v>
      </c>
      <c r="AC16" s="2">
        <v>7953787</v>
      </c>
      <c r="AD16" s="5">
        <f t="shared" si="2"/>
        <v>0.29380273237486315</v>
      </c>
      <c r="AE16" s="2">
        <v>34191150.4195747</v>
      </c>
      <c r="AF16" s="5">
        <f>Table3[[#This Row],[Total Foreign Holdings]]/Table3[[#This Row],[Total National Debt (public debt + intragovernmental debt)]]</f>
        <v>0.23262706584585685</v>
      </c>
    </row>
    <row r="17" spans="19:32" x14ac:dyDescent="0.3">
      <c r="AA17" s="1">
        <v>45323</v>
      </c>
      <c r="AB17" s="2">
        <v>27380289.958246201</v>
      </c>
      <c r="AC17" s="2">
        <v>7999272</v>
      </c>
      <c r="AD17" s="5">
        <f t="shared" si="2"/>
        <v>0.29215439325874765</v>
      </c>
      <c r="AE17" s="2">
        <v>34471082.589033499</v>
      </c>
      <c r="AF17" s="5">
        <f>Table3[[#This Row],[Total Foreign Holdings]]/Table3[[#This Row],[Total National Debt (public debt + intragovernmental debt)]]</f>
        <v>0.23205746379850739</v>
      </c>
    </row>
    <row r="18" spans="19:32" x14ac:dyDescent="0.3">
      <c r="S18" t="s">
        <v>109</v>
      </c>
      <c r="T18" t="s">
        <v>101</v>
      </c>
      <c r="U18" t="s">
        <v>105</v>
      </c>
      <c r="V18" t="s">
        <v>112</v>
      </c>
      <c r="AA18" s="1">
        <v>45352</v>
      </c>
      <c r="AB18" s="2">
        <v>27511455.249566302</v>
      </c>
      <c r="AC18" s="2">
        <v>8107871</v>
      </c>
      <c r="AD18" s="5">
        <f t="shared" si="2"/>
        <v>0.29470891039570923</v>
      </c>
      <c r="AE18" s="2">
        <v>34586532.7960632</v>
      </c>
      <c r="AF18" s="5">
        <f>Table3[[#This Row],[Total Foreign Holdings]]/Table3[[#This Row],[Total National Debt (public debt + intragovernmental debt)]]</f>
        <v>0.23442277512485657</v>
      </c>
    </row>
    <row r="19" spans="19:32" x14ac:dyDescent="0.3">
      <c r="S19" s="7" t="s">
        <v>65</v>
      </c>
      <c r="T19" s="2">
        <v>1199992</v>
      </c>
      <c r="U19" s="5">
        <f>$T19/$T$30</f>
        <v>0.12983236582330607</v>
      </c>
      <c r="V19" s="5">
        <f>$T19/$AB$37</f>
        <v>3.9252999386020837E-2</v>
      </c>
      <c r="AA19" s="1">
        <v>45383</v>
      </c>
      <c r="AB19" s="2">
        <v>27480960.204128101</v>
      </c>
      <c r="AC19" s="2">
        <v>8036194</v>
      </c>
      <c r="AD19" s="5">
        <f t="shared" si="2"/>
        <v>0.29242770049908334</v>
      </c>
      <c r="AE19" s="2">
        <v>34616994.374324903</v>
      </c>
      <c r="AF19" s="5">
        <f>Table3[[#This Row],[Total Foreign Holdings]]/Table3[[#This Row],[Total National Debt (public debt + intragovernmental debt)]]</f>
        <v>0.23214591980753735</v>
      </c>
    </row>
    <row r="20" spans="19:32" x14ac:dyDescent="0.3">
      <c r="S20" s="7" t="s">
        <v>21</v>
      </c>
      <c r="T20" s="2">
        <v>877911</v>
      </c>
      <c r="U20" s="5">
        <f t="shared" ref="U20:U30" si="3">$T20/$T$30</f>
        <v>9.498501832704255E-2</v>
      </c>
      <c r="V20" s="5">
        <f t="shared" ref="V20:V30" si="4">$T20/$AB$37</f>
        <v>2.8717391402593467E-2</v>
      </c>
      <c r="AA20" s="1">
        <v>45413</v>
      </c>
      <c r="AB20" s="2">
        <v>27606806.583404198</v>
      </c>
      <c r="AC20" s="2">
        <v>8130734</v>
      </c>
      <c r="AD20" s="5">
        <f t="shared" si="2"/>
        <v>0.29451917864660893</v>
      </c>
      <c r="AE20" s="2">
        <v>34667115.438421801</v>
      </c>
      <c r="AF20" s="5">
        <f>Table3[[#This Row],[Total Foreign Holdings]]/Table3[[#This Row],[Total National Debt (public debt + intragovernmental debt)]]</f>
        <v>0.23453736768039984</v>
      </c>
    </row>
    <row r="21" spans="19:32" x14ac:dyDescent="0.3">
      <c r="S21" s="7" t="s">
        <v>60</v>
      </c>
      <c r="T21" s="2">
        <v>688748</v>
      </c>
      <c r="U21" s="5">
        <f t="shared" si="3"/>
        <v>7.4518648704383364E-2</v>
      </c>
      <c r="V21" s="5">
        <f t="shared" si="4"/>
        <v>2.2529670882075113E-2</v>
      </c>
      <c r="AA21" s="1">
        <v>45444</v>
      </c>
      <c r="AB21" s="2">
        <v>27612897.138644401</v>
      </c>
      <c r="AC21" s="2">
        <v>8299265</v>
      </c>
      <c r="AD21" s="5">
        <f t="shared" si="2"/>
        <v>0.30055756041567738</v>
      </c>
      <c r="AE21" s="2">
        <v>34831633.985812299</v>
      </c>
      <c r="AF21" s="5">
        <f>Table3[[#This Row],[Total Foreign Holdings]]/Table3[[#This Row],[Total National Debt (public debt + intragovernmental debt)]]</f>
        <v>0.23826803541230582</v>
      </c>
    </row>
    <row r="22" spans="19:32" x14ac:dyDescent="0.3">
      <c r="S22" s="7" t="s">
        <v>4</v>
      </c>
      <c r="T22" s="2">
        <v>468376</v>
      </c>
      <c r="U22" s="5">
        <f t="shared" si="3"/>
        <v>5.0675641316656111E-2</v>
      </c>
      <c r="V22" s="5">
        <f t="shared" si="4"/>
        <v>1.5321071174163575E-2</v>
      </c>
      <c r="AA22" s="1">
        <v>45474</v>
      </c>
      <c r="AB22" s="2">
        <v>27930512.4980211</v>
      </c>
      <c r="AC22" s="2">
        <v>8428222</v>
      </c>
      <c r="AD22" s="5">
        <f t="shared" si="2"/>
        <v>0.30175679735905836</v>
      </c>
      <c r="AE22" s="2">
        <v>35104770.618528299</v>
      </c>
      <c r="AF22" s="5">
        <f>Table3[[#This Row],[Total Foreign Holdings]]/Table3[[#This Row],[Total National Debt (public debt + intragovernmental debt)]]</f>
        <v>0.24008765337300292</v>
      </c>
    </row>
    <row r="23" spans="19:32" x14ac:dyDescent="0.3">
      <c r="S23" s="7" t="s">
        <v>34</v>
      </c>
      <c r="T23" s="2">
        <v>419131</v>
      </c>
      <c r="U23" s="5">
        <f t="shared" si="3"/>
        <v>4.534761008397397E-2</v>
      </c>
      <c r="V23" s="5">
        <f t="shared" si="4"/>
        <v>1.3710215472821734E-2</v>
      </c>
      <c r="AA23" s="1">
        <v>45505</v>
      </c>
      <c r="AB23" s="2">
        <v>28168005.136298601</v>
      </c>
      <c r="AC23" s="2">
        <v>8611360</v>
      </c>
      <c r="AD23" s="5">
        <f t="shared" si="2"/>
        <v>0.30571422996877406</v>
      </c>
      <c r="AE23" s="2">
        <v>35256056.579804502</v>
      </c>
      <c r="AF23" s="5">
        <f>Table3[[#This Row],[Total Foreign Holdings]]/Table3[[#This Row],[Total National Debt (public debt + intragovernmental debt)]]</f>
        <v>0.24425193386298311</v>
      </c>
    </row>
    <row r="24" spans="19:32" x14ac:dyDescent="0.3">
      <c r="S24" s="7" t="s">
        <v>13</v>
      </c>
      <c r="T24" s="2">
        <v>418953</v>
      </c>
      <c r="U24" s="5">
        <f t="shared" si="3"/>
        <v>4.532835148798621E-2</v>
      </c>
      <c r="V24" s="5">
        <f t="shared" si="4"/>
        <v>1.3704392905762362E-2</v>
      </c>
      <c r="AA24" s="1">
        <v>45536</v>
      </c>
      <c r="AB24" s="2">
        <v>28307312.267010398</v>
      </c>
      <c r="AC24" s="2">
        <v>8766252</v>
      </c>
      <c r="AD24" s="5">
        <f t="shared" si="2"/>
        <v>0.30968153801787357</v>
      </c>
      <c r="AE24" s="2">
        <v>35464673.917480297</v>
      </c>
      <c r="AF24" s="5">
        <f>Table3[[#This Row],[Total Foreign Holdings]]/Table3[[#This Row],[Total National Debt (public debt + intragovernmental debt)]]</f>
        <v>0.24718264773553081</v>
      </c>
    </row>
    <row r="25" spans="19:32" x14ac:dyDescent="0.3">
      <c r="S25" s="7" t="s">
        <v>56</v>
      </c>
      <c r="T25" s="2">
        <v>418540</v>
      </c>
      <c r="U25" s="5">
        <f t="shared" si="3"/>
        <v>4.5283667217520217E-2</v>
      </c>
      <c r="V25" s="5">
        <f t="shared" si="4"/>
        <v>1.369088324174258E-2</v>
      </c>
      <c r="AA25" s="1">
        <v>45566</v>
      </c>
      <c r="AB25" s="2">
        <v>28572149.0401484</v>
      </c>
      <c r="AC25" s="2">
        <v>8693543</v>
      </c>
      <c r="AD25" s="5">
        <f t="shared" si="2"/>
        <v>0.30426633249687285</v>
      </c>
      <c r="AE25" s="2">
        <v>35951601.187741503</v>
      </c>
      <c r="AF25" s="5">
        <f>Table3[[#This Row],[Total Foreign Holdings]]/Table3[[#This Row],[Total National Debt (public debt + intragovernmental debt)]]</f>
        <v>0.24181240091649261</v>
      </c>
    </row>
    <row r="26" spans="19:32" x14ac:dyDescent="0.3">
      <c r="S26" s="7" t="s">
        <v>8</v>
      </c>
      <c r="T26" s="2">
        <v>390242</v>
      </c>
      <c r="U26" s="5">
        <f t="shared" si="3"/>
        <v>4.2221983232903722E-2</v>
      </c>
      <c r="V26" s="5">
        <f t="shared" si="4"/>
        <v>1.2765225923505777E-2</v>
      </c>
      <c r="AA26" s="1">
        <v>45597</v>
      </c>
      <c r="AB26" s="2">
        <v>28791208.127993599</v>
      </c>
      <c r="AC26" s="2">
        <v>8723263</v>
      </c>
      <c r="AD26" s="5">
        <f t="shared" si="2"/>
        <v>0.30298356919306901</v>
      </c>
      <c r="AE26" s="2">
        <v>36087363.352164403</v>
      </c>
      <c r="AF26" s="5">
        <f>Table3[[#This Row],[Total Foreign Holdings]]/Table3[[#This Row],[Total National Debt (public debt + intragovernmental debt)]]</f>
        <v>0.24172624957031688</v>
      </c>
    </row>
    <row r="27" spans="19:32" x14ac:dyDescent="0.3">
      <c r="S27" s="7" t="s">
        <v>11</v>
      </c>
      <c r="T27" s="2">
        <v>340388</v>
      </c>
      <c r="U27" s="5">
        <f t="shared" si="3"/>
        <v>3.6828061635297157E-2</v>
      </c>
      <c r="V27" s="5">
        <f t="shared" si="4"/>
        <v>1.1134449192168666E-2</v>
      </c>
      <c r="AA27" s="1">
        <v>45627</v>
      </c>
      <c r="AB27" s="2">
        <v>28836996.083105899</v>
      </c>
      <c r="AC27" s="2">
        <v>8619302</v>
      </c>
      <c r="AD27" s="5">
        <f t="shared" si="2"/>
        <v>0.29889736001488731</v>
      </c>
      <c r="AE27" s="2">
        <v>36218605.302380398</v>
      </c>
      <c r="AF27" s="5">
        <f>Table3[[#This Row],[Total Foreign Holdings]]/Table3[[#This Row],[Total National Debt (public debt + intragovernmental debt)]]</f>
        <v>0.23797995334275096</v>
      </c>
    </row>
    <row r="28" spans="19:32" x14ac:dyDescent="0.3">
      <c r="S28" s="7" t="s">
        <v>74</v>
      </c>
      <c r="T28" s="2">
        <v>309543</v>
      </c>
      <c r="U28" s="5">
        <f t="shared" si="3"/>
        <v>3.3490806617080468E-2</v>
      </c>
      <c r="V28" s="5">
        <f t="shared" si="4"/>
        <v>1.0125476827301388E-2</v>
      </c>
      <c r="AA28" s="1">
        <v>45658</v>
      </c>
      <c r="AB28" s="2">
        <v>28911508.6287813</v>
      </c>
      <c r="AC28" s="2">
        <v>8619423</v>
      </c>
      <c r="AD28" s="5">
        <f t="shared" si="2"/>
        <v>0.2981312082559191</v>
      </c>
      <c r="AE28" s="2">
        <v>36220206.708136201</v>
      </c>
      <c r="AF28" s="5">
        <f>Table3[[#This Row],[Total Foreign Holdings]]/Table3[[#This Row],[Total National Debt (public debt + intragovernmental debt)]]</f>
        <v>0.23797277220021512</v>
      </c>
    </row>
    <row r="29" spans="19:32" x14ac:dyDescent="0.3">
      <c r="S29" s="7" t="s">
        <v>104</v>
      </c>
      <c r="T29" s="2">
        <f>SUM(T19:T28)</f>
        <v>5531824</v>
      </c>
      <c r="U29" s="5">
        <f t="shared" si="3"/>
        <v>0.5985121544461498</v>
      </c>
      <c r="V29" s="5">
        <f t="shared" si="4"/>
        <v>0.18095177640815549</v>
      </c>
      <c r="AA29" s="1">
        <v>45689</v>
      </c>
      <c r="AB29" s="2">
        <v>28914410.533359699</v>
      </c>
      <c r="AC29" s="2">
        <v>8901681</v>
      </c>
      <c r="AD29" s="5">
        <f t="shared" si="2"/>
        <v>0.30786313245880559</v>
      </c>
      <c r="AE29" s="2">
        <v>36218923.314909503</v>
      </c>
      <c r="AF29" s="5">
        <f>Table3[[#This Row],[Total Foreign Holdings]]/Table3[[#This Row],[Total National Debt (public debt + intragovernmental debt)]]</f>
        <v>0.245774313129171</v>
      </c>
    </row>
    <row r="30" spans="19:32" x14ac:dyDescent="0.3">
      <c r="S30" s="7" t="s">
        <v>108</v>
      </c>
      <c r="T30" s="2">
        <v>9242626</v>
      </c>
      <c r="U30" s="5">
        <f t="shared" si="3"/>
        <v>1</v>
      </c>
      <c r="V30" s="5">
        <f t="shared" si="4"/>
        <v>0.3023360094927468</v>
      </c>
      <c r="AA30" s="1">
        <v>45717</v>
      </c>
      <c r="AB30" s="2">
        <v>28909508.836279001</v>
      </c>
      <c r="AC30" s="2">
        <v>9055878</v>
      </c>
      <c r="AD30" s="5">
        <f t="shared" si="2"/>
        <v>0.31324911299204211</v>
      </c>
      <c r="AE30" s="2">
        <v>36214310.406177498</v>
      </c>
      <c r="AF30" s="5">
        <f>Table3[[#This Row],[Total Foreign Holdings]]/Table3[[#This Row],[Total National Debt (public debt + intragovernmental debt)]]</f>
        <v>0.25006352180753477</v>
      </c>
    </row>
    <row r="31" spans="19:32" x14ac:dyDescent="0.3">
      <c r="AA31" s="1">
        <v>45748</v>
      </c>
      <c r="AB31" s="2">
        <v>28852660.931639001</v>
      </c>
      <c r="AC31" s="2">
        <v>9002770</v>
      </c>
      <c r="AD31" s="5">
        <f t="shared" si="2"/>
        <v>0.31202564024615909</v>
      </c>
      <c r="AE31" s="2">
        <v>36213557.178130403</v>
      </c>
      <c r="AF31" s="5">
        <f>Table3[[#This Row],[Total Foreign Holdings]]/Table3[[#This Row],[Total National Debt (public debt + intragovernmental debt)]]</f>
        <v>0.24860220043329048</v>
      </c>
    </row>
    <row r="32" spans="19:32" x14ac:dyDescent="0.3">
      <c r="AA32" s="1">
        <v>45778</v>
      </c>
      <c r="AB32" s="2">
        <v>28952461.137501299</v>
      </c>
      <c r="AC32" s="2">
        <v>9025232</v>
      </c>
      <c r="AD32" s="5">
        <f t="shared" si="2"/>
        <v>0.31172589981685095</v>
      </c>
      <c r="AE32" s="2">
        <v>36215818.373620801</v>
      </c>
      <c r="AF32" s="5">
        <f>Table3[[#This Row],[Total Foreign Holdings]]/Table3[[#This Row],[Total National Debt (public debt + intragovernmental debt)]]</f>
        <v>0.24920690475336266</v>
      </c>
    </row>
    <row r="33" spans="27:32" x14ac:dyDescent="0.3">
      <c r="AA33" s="1">
        <v>45809</v>
      </c>
      <c r="AB33" s="2">
        <v>28953497.4743427</v>
      </c>
      <c r="AC33" s="2">
        <v>9104553</v>
      </c>
      <c r="AD33" s="5">
        <f t="shared" si="2"/>
        <v>0.31445434210730672</v>
      </c>
      <c r="AE33" s="2">
        <v>36211469.320820399</v>
      </c>
      <c r="AF33" s="5">
        <f>Table3[[#This Row],[Total Foreign Holdings]]/Table3[[#This Row],[Total National Debt (public debt + intragovernmental debt)]]</f>
        <v>0.25142732871005546</v>
      </c>
    </row>
    <row r="34" spans="27:32" x14ac:dyDescent="0.3">
      <c r="AA34" s="1">
        <v>45839</v>
      </c>
      <c r="AB34" s="2">
        <v>29531340.685479201</v>
      </c>
      <c r="AC34" s="2">
        <v>9122502</v>
      </c>
      <c r="AD34" s="5">
        <f t="shared" si="2"/>
        <v>0.3089091720270461</v>
      </c>
      <c r="AE34" s="2">
        <v>36916986.849881098</v>
      </c>
      <c r="AF34" s="5">
        <f>Table3[[#This Row],[Total Foreign Holdings]]/Table3[[#This Row],[Total National Debt (public debt + intragovernmental debt)]]</f>
        <v>0.24710852045145668</v>
      </c>
    </row>
    <row r="35" spans="27:32" x14ac:dyDescent="0.3">
      <c r="AA35" s="1">
        <v>45870</v>
      </c>
      <c r="AB35" s="2">
        <v>29968531.276469301</v>
      </c>
      <c r="AC35" s="2">
        <v>9261833</v>
      </c>
      <c r="AD35" s="5">
        <f t="shared" si="2"/>
        <v>0.30905194901133537</v>
      </c>
      <c r="AE35" s="2">
        <v>37274265.948932096</v>
      </c>
      <c r="AF35" s="5">
        <f>Table3[[#This Row],[Total Foreign Holdings]]/Table3[[#This Row],[Total National Debt (public debt + intragovernmental debt)]]</f>
        <v>0.24847794488265035</v>
      </c>
    </row>
    <row r="36" spans="27:32" x14ac:dyDescent="0.3">
      <c r="AA36" s="1">
        <v>45901</v>
      </c>
      <c r="AB36" s="2">
        <v>30277766.420262799</v>
      </c>
      <c r="AC36" s="2">
        <v>9248442</v>
      </c>
      <c r="AD36" s="5">
        <f t="shared" si="2"/>
        <v>0.30545324485397518</v>
      </c>
      <c r="AE36" s="2">
        <v>37637552.527014203</v>
      </c>
      <c r="AF36" s="5">
        <f>Table3[[#This Row],[Total Foreign Holdings]]/Table3[[#This Row],[Total National Debt (public debt + intragovernmental debt)]]</f>
        <v>0.24572378858487059</v>
      </c>
    </row>
    <row r="37" spans="27:32" x14ac:dyDescent="0.3">
      <c r="AA37" s="1">
        <v>45931</v>
      </c>
      <c r="AB37" s="2">
        <v>30570708.449539602</v>
      </c>
      <c r="AC37" s="2">
        <v>9242626</v>
      </c>
      <c r="AD37" s="5">
        <f t="shared" si="2"/>
        <v>0.3023360094927468</v>
      </c>
      <c r="AE37" s="2">
        <v>38040093.805637904</v>
      </c>
      <c r="AF37" s="5">
        <f>Table3[[#This Row],[Total Foreign Holdings]]/Table3[[#This Row],[Total National Debt (public debt + intragovernmental debt)]]</f>
        <v>0.24297064163995713</v>
      </c>
    </row>
  </sheetData>
  <phoneticPr fontId="3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1B27-C697-484E-A266-73A16B10D6C3}">
  <dimension ref="A1:B34"/>
  <sheetViews>
    <sheetView tabSelected="1" topLeftCell="C1" workbookViewId="0">
      <selection activeCell="T4" sqref="T4"/>
    </sheetView>
  </sheetViews>
  <sheetFormatPr defaultRowHeight="14.4" x14ac:dyDescent="0.3"/>
  <cols>
    <col min="2" max="2" width="28.21875" bestFit="1" customWidth="1"/>
  </cols>
  <sheetData>
    <row r="1" spans="1:2" x14ac:dyDescent="0.3">
      <c r="A1" t="s">
        <v>1</v>
      </c>
      <c r="B1" t="s">
        <v>121</v>
      </c>
    </row>
    <row r="2" spans="1:2" x14ac:dyDescent="0.3">
      <c r="A2" s="1">
        <v>44958</v>
      </c>
      <c r="B2" s="2">
        <v>76633</v>
      </c>
    </row>
    <row r="3" spans="1:2" x14ac:dyDescent="0.3">
      <c r="A3" s="1">
        <v>44986</v>
      </c>
      <c r="B3" s="2">
        <v>91709</v>
      </c>
    </row>
    <row r="4" spans="1:2" x14ac:dyDescent="0.3">
      <c r="A4" s="1">
        <v>45017</v>
      </c>
      <c r="B4" s="2">
        <v>71023</v>
      </c>
    </row>
    <row r="5" spans="1:2" x14ac:dyDescent="0.3">
      <c r="A5" s="1">
        <v>45047</v>
      </c>
      <c r="B5" s="2">
        <v>44537</v>
      </c>
    </row>
    <row r="6" spans="1:2" x14ac:dyDescent="0.3">
      <c r="A6" s="1">
        <v>45078</v>
      </c>
      <c r="B6" s="2">
        <v>140437</v>
      </c>
    </row>
    <row r="7" spans="1:2" x14ac:dyDescent="0.3">
      <c r="A7" s="1">
        <v>45108</v>
      </c>
      <c r="B7" s="2">
        <v>29721</v>
      </c>
    </row>
    <row r="8" spans="1:2" x14ac:dyDescent="0.3">
      <c r="A8" s="1">
        <v>45139</v>
      </c>
      <c r="B8" s="2">
        <v>42232</v>
      </c>
    </row>
    <row r="9" spans="1:2" x14ac:dyDescent="0.3">
      <c r="A9" s="1">
        <v>45170</v>
      </c>
      <c r="B9" s="2">
        <v>33059</v>
      </c>
    </row>
    <row r="10" spans="1:2" x14ac:dyDescent="0.3">
      <c r="A10" s="1">
        <v>45200</v>
      </c>
      <c r="B10" s="2">
        <v>-5824</v>
      </c>
    </row>
    <row r="11" spans="1:2" x14ac:dyDescent="0.3">
      <c r="A11" s="1">
        <v>45231</v>
      </c>
      <c r="B11" s="2">
        <v>134604</v>
      </c>
    </row>
    <row r="12" spans="1:2" x14ac:dyDescent="0.3">
      <c r="A12" s="1">
        <v>45261</v>
      </c>
      <c r="B12" s="2">
        <v>32362</v>
      </c>
    </row>
    <row r="13" spans="1:2" x14ac:dyDescent="0.3">
      <c r="A13" s="1">
        <v>45292</v>
      </c>
      <c r="B13" s="2">
        <v>24952</v>
      </c>
    </row>
    <row r="14" spans="1:2" x14ac:dyDescent="0.3">
      <c r="A14" s="1">
        <v>45323</v>
      </c>
      <c r="B14" s="2">
        <v>126331</v>
      </c>
    </row>
    <row r="15" spans="1:2" x14ac:dyDescent="0.3">
      <c r="A15" s="1">
        <v>45352</v>
      </c>
      <c r="B15" s="2">
        <v>50033</v>
      </c>
    </row>
    <row r="16" spans="1:2" x14ac:dyDescent="0.3">
      <c r="A16" s="1">
        <v>45383</v>
      </c>
      <c r="B16" s="2">
        <v>72934</v>
      </c>
    </row>
    <row r="17" spans="1:2" x14ac:dyDescent="0.3">
      <c r="A17" s="1">
        <v>45413</v>
      </c>
      <c r="B17" s="2">
        <v>43464</v>
      </c>
    </row>
    <row r="18" spans="1:2" x14ac:dyDescent="0.3">
      <c r="A18" s="1">
        <v>45444</v>
      </c>
      <c r="B18" s="2">
        <v>84831</v>
      </c>
    </row>
    <row r="19" spans="1:2" x14ac:dyDescent="0.3">
      <c r="A19" s="1">
        <v>45474</v>
      </c>
      <c r="B19" s="2">
        <v>69728</v>
      </c>
    </row>
    <row r="20" spans="1:2" x14ac:dyDescent="0.3">
      <c r="A20" s="1">
        <v>45505</v>
      </c>
      <c r="B20" s="2">
        <v>92238</v>
      </c>
    </row>
    <row r="21" spans="1:2" x14ac:dyDescent="0.3">
      <c r="A21" s="1">
        <v>45536</v>
      </c>
      <c r="B21" s="2">
        <v>74624</v>
      </c>
    </row>
    <row r="22" spans="1:2" x14ac:dyDescent="0.3">
      <c r="A22" s="1">
        <v>45566</v>
      </c>
      <c r="B22" s="2">
        <v>96102</v>
      </c>
    </row>
    <row r="23" spans="1:2" x14ac:dyDescent="0.3">
      <c r="A23" s="1">
        <v>45597</v>
      </c>
      <c r="B23" s="2">
        <v>-26409</v>
      </c>
    </row>
    <row r="24" spans="1:2" x14ac:dyDescent="0.3">
      <c r="A24" s="1">
        <v>45627</v>
      </c>
      <c r="B24" s="2">
        <v>3335</v>
      </c>
    </row>
    <row r="25" spans="1:2" x14ac:dyDescent="0.3">
      <c r="A25" s="1">
        <v>45658</v>
      </c>
      <c r="B25" s="2">
        <v>28530</v>
      </c>
    </row>
    <row r="26" spans="1:2" x14ac:dyDescent="0.3">
      <c r="A26" s="1">
        <v>45689</v>
      </c>
      <c r="B26" s="2">
        <v>167509</v>
      </c>
    </row>
    <row r="27" spans="1:2" x14ac:dyDescent="0.3">
      <c r="A27" s="1">
        <v>45717</v>
      </c>
      <c r="B27" s="2">
        <v>144606</v>
      </c>
    </row>
    <row r="28" spans="1:2" x14ac:dyDescent="0.3">
      <c r="A28" s="1">
        <v>45748</v>
      </c>
      <c r="B28" s="2">
        <v>-70295</v>
      </c>
    </row>
    <row r="29" spans="1:2" x14ac:dyDescent="0.3">
      <c r="A29" s="1">
        <v>45778</v>
      </c>
      <c r="B29" s="2">
        <v>138287</v>
      </c>
    </row>
    <row r="30" spans="1:2" x14ac:dyDescent="0.3">
      <c r="A30" s="1">
        <v>45809</v>
      </c>
      <c r="B30" s="2">
        <v>10077</v>
      </c>
    </row>
    <row r="31" spans="1:2" x14ac:dyDescent="0.3">
      <c r="A31" s="1">
        <v>45839</v>
      </c>
      <c r="B31" s="2">
        <v>41517</v>
      </c>
    </row>
    <row r="32" spans="1:2" x14ac:dyDescent="0.3">
      <c r="A32" s="1">
        <v>45870</v>
      </c>
      <c r="B32" s="2">
        <v>73346</v>
      </c>
    </row>
    <row r="33" spans="1:2" x14ac:dyDescent="0.3">
      <c r="A33" s="1">
        <v>45901</v>
      </c>
      <c r="B33" s="2">
        <v>3815</v>
      </c>
    </row>
    <row r="34" spans="1:2" x14ac:dyDescent="0.3">
      <c r="A34" s="1">
        <v>45931</v>
      </c>
      <c r="B34" s="2">
        <v>-39379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6B7D42-A62F-4B17-8CEB-CE189C37EF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pvt_holdings</vt:lpstr>
      <vt:lpstr>TIC</vt:lpstr>
      <vt:lpstr>official_non_official</vt:lpstr>
      <vt:lpstr>foreign_share</vt:lpstr>
      <vt:lpstr>net_sales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2025-12-21T01:52:36Z</dcterms:created>
  <dcterms:modified xsi:type="dcterms:W3CDTF">2025-12-25T20:31:58Z</dcterms:modified>
</cp:coreProperties>
</file>